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amcotradingus.sharepoint.com/sites/Teams-ATA-Crude-TradingCoverage/Shared Documents/Trading Coverage/ATA Lights/Cargoes/Alberto Daily/"/>
    </mc:Choice>
  </mc:AlternateContent>
  <xr:revisionPtr revIDLastSave="28499" documentId="13_ncr:1_{E31B84A0-ECDA-44B6-9335-493B727D9B0B}" xr6:coauthVersionLast="47" xr6:coauthVersionMax="47" xr10:uidLastSave="{5E17B01F-F965-4D36-93F3-1CF45A684284}"/>
  <bookViews>
    <workbookView xWindow="9400" yWindow="4210" windowWidth="28800" windowHeight="15380" activeTab="1" xr2:uid="{00000000-000D-0000-FFFF-FFFF00000000}"/>
  </bookViews>
  <sheets>
    <sheet name="Sheet1" sheetId="20" r:id="rId1"/>
    <sheet name="USG" sheetId="1" r:id="rId2"/>
    <sheet name="FWD" sheetId="15" r:id="rId3"/>
    <sheet name="EFPs" sheetId="22" r:id="rId4"/>
    <sheet name="Freight" sheetId="18" r:id="rId5"/>
    <sheet name="Cash" sheetId="2" state="hidden" r:id="rId6"/>
    <sheet name="BBG" sheetId="8" r:id="rId7"/>
    <sheet name="FFAs" sheetId="13" r:id="rId8"/>
    <sheet name="CALENDAR" sheetId="6" r:id="rId9"/>
    <sheet name="Sheet2" sheetId="21" r:id="rId10"/>
    <sheet name="FWD_History" sheetId="23" r:id="rId11"/>
  </sheets>
  <externalReferences>
    <externalReference r:id="rId12"/>
  </externalReferences>
  <definedNames>
    <definedName name="SpreadsheetBuilder_2" hidden="1">Sheet1!$B$9:$C$11</definedName>
    <definedName name="SpreadsheetBuilder_4" hidden="1">BBG!$B$7:$B$9</definedName>
    <definedName name="SpreadsheetBuilder_5" hidden="1">BBG!$P$4:$Q$7</definedName>
    <definedName name="SpreadsheetBuilder_6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1" l="1"/>
  <c r="E8" i="1"/>
  <c r="B64" i="8" l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H65" i="8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64" i="8"/>
  <c r="AB12" i="8" a="1"/>
  <c r="AB12" i="8"/>
  <c r="AA12" i="8" a="1"/>
  <c r="AA12" i="8"/>
  <c r="AB10" i="8" a="1"/>
  <c r="AB10" i="8"/>
  <c r="AA10" i="8" a="1"/>
  <c r="AA10" i="8"/>
  <c r="AA26" i="8" a="1"/>
  <c r="AA26" i="8"/>
  <c r="AB26" i="8" a="1"/>
  <c r="AB26" i="8"/>
  <c r="AB20" i="8" a="1"/>
  <c r="AB20" i="8"/>
  <c r="AA20" i="8" a="1"/>
  <c r="AA20" i="8"/>
  <c r="AB17" i="8" a="1"/>
  <c r="AB17" i="8"/>
  <c r="AA17" i="8" a="1"/>
  <c r="AA17" i="8"/>
  <c r="AB9" i="8" a="1"/>
  <c r="AB9" i="8"/>
  <c r="AA9" i="8" a="1"/>
  <c r="AA9" i="8"/>
  <c r="O9" i="8" a="1"/>
  <c r="O9" i="8"/>
  <c r="D9" i="8" a="1"/>
  <c r="D9" i="8"/>
  <c r="F76" i="8" a="1"/>
  <c r="F76" i="8"/>
  <c r="AF86" i="8" a="1"/>
  <c r="AF86" i="8"/>
  <c r="T52" i="8" a="1"/>
  <c r="T52" i="8"/>
  <c r="J52" i="8" a="1"/>
  <c r="J52" i="8"/>
  <c r="F40" i="8" a="1"/>
  <c r="F40" i="8"/>
  <c r="AM95" i="8" a="1"/>
  <c r="AM95" i="8"/>
  <c r="L12" i="8" a="1"/>
  <c r="L12" i="8"/>
  <c r="T38" i="8" a="1"/>
  <c r="T38" i="8"/>
  <c r="J38" i="8" a="1"/>
  <c r="J38" i="8"/>
  <c r="AH86" i="8" a="1"/>
  <c r="AH86" i="8"/>
  <c r="L38" i="8" a="1"/>
  <c r="L38" i="8"/>
  <c r="O40" i="8" a="1"/>
  <c r="O40" i="8"/>
  <c r="D40" i="8" a="1"/>
  <c r="D40" i="8"/>
  <c r="T12" i="8" a="1"/>
  <c r="T12" i="8"/>
  <c r="J12" i="8" a="1"/>
  <c r="J12" i="8"/>
  <c r="D76" i="8" a="1"/>
  <c r="D76" i="8"/>
  <c r="L101" i="8" a="1"/>
  <c r="L101" i="8"/>
  <c r="L10" i="8" a="1"/>
  <c r="L10" i="8"/>
  <c r="AO95" i="8" a="1"/>
  <c r="AO95" i="8"/>
  <c r="L52" i="8" a="1"/>
  <c r="L52" i="8"/>
  <c r="F9" i="8" a="1"/>
  <c r="F9" i="8"/>
  <c r="J101" i="8" a="1"/>
  <c r="J101" i="8"/>
  <c r="T10" i="8" a="1"/>
  <c r="T10" i="8"/>
  <c r="J10" i="8" a="1"/>
  <c r="J10" i="8"/>
  <c r="AB28" i="8" a="1"/>
  <c r="AB28" i="8"/>
  <c r="AA28" i="8" a="1"/>
  <c r="AA28" i="8"/>
  <c r="AB27" i="8" a="1"/>
  <c r="AB27" i="8"/>
  <c r="AA27" i="8" a="1"/>
  <c r="AA27" i="8"/>
  <c r="AA25" i="8" a="1"/>
  <c r="AA25" i="8"/>
  <c r="AB25" i="8" a="1"/>
  <c r="AB25" i="8"/>
  <c r="AA24" i="8" a="1"/>
  <c r="AA24" i="8"/>
  <c r="AB24" i="8" a="1"/>
  <c r="AB24" i="8"/>
  <c r="AA23" i="8" a="1"/>
  <c r="AA23" i="8"/>
  <c r="AB23" i="8" a="1"/>
  <c r="AB23" i="8"/>
  <c r="AB22" i="8" a="1"/>
  <c r="AB22" i="8"/>
  <c r="AA22" i="8" a="1"/>
  <c r="AA22" i="8"/>
  <c r="AB21" i="8" a="1"/>
  <c r="AB21" i="8"/>
  <c r="AA21" i="8" a="1"/>
  <c r="AA21" i="8"/>
  <c r="AA19" i="8" a="1"/>
  <c r="AA19" i="8"/>
  <c r="AB19" i="8" a="1"/>
  <c r="AB19" i="8"/>
  <c r="AB18" i="8" a="1"/>
  <c r="AB18" i="8"/>
  <c r="AA18" i="8" a="1"/>
  <c r="AA18" i="8"/>
  <c r="AB16" i="8" a="1"/>
  <c r="AB16" i="8"/>
  <c r="AA16" i="8" a="1"/>
  <c r="AA16" i="8"/>
  <c r="AA15" i="8" a="1"/>
  <c r="AA15" i="8"/>
  <c r="AB15" i="8" a="1"/>
  <c r="AB15" i="8"/>
  <c r="AB14" i="8" a="1"/>
  <c r="AB14" i="8"/>
  <c r="AA14" i="8" a="1"/>
  <c r="AA14" i="8"/>
  <c r="AB13" i="8" a="1"/>
  <c r="AB13" i="8"/>
  <c r="AA13" i="8" a="1"/>
  <c r="AA13" i="8"/>
  <c r="AB11" i="8" a="1"/>
  <c r="AB11" i="8"/>
  <c r="AA11" i="8" a="1"/>
  <c r="AA11" i="8"/>
  <c r="AB8" i="8" a="1"/>
  <c r="AB8" i="8"/>
  <c r="AA8" i="8" a="1"/>
  <c r="AA8" i="8"/>
  <c r="AA7" i="8" a="1"/>
  <c r="AA7" i="8"/>
  <c r="AB7" i="8" a="1"/>
  <c r="AB7" i="8"/>
  <c r="AB6" i="8" a="1"/>
  <c r="AB6" i="8"/>
  <c r="AA6" i="8" a="1"/>
  <c r="AA6" i="8"/>
  <c r="AA5" i="8" a="1"/>
  <c r="AA5" i="8"/>
  <c r="AB5" i="8" a="1"/>
  <c r="AB5" i="8"/>
  <c r="D127" i="8" a="1"/>
  <c r="D127" i="8"/>
  <c r="W99" i="8" a="1"/>
  <c r="W99" i="8"/>
  <c r="P88" i="8" a="1"/>
  <c r="P88" i="8"/>
  <c r="W103" i="8" a="1"/>
  <c r="W103" i="8"/>
  <c r="W66" i="8" a="1"/>
  <c r="W66" i="8"/>
  <c r="L17" i="8" a="1"/>
  <c r="L17" i="8"/>
  <c r="AM76" i="8" a="1"/>
  <c r="AM76" i="8"/>
  <c r="D89" i="8" a="1"/>
  <c r="D89" i="8"/>
  <c r="D84" i="8" a="1"/>
  <c r="D84" i="8"/>
  <c r="T9" i="8" a="1"/>
  <c r="T9" i="8"/>
  <c r="J9" i="8" a="1"/>
  <c r="J9" i="8"/>
  <c r="L89" i="8" a="1"/>
  <c r="L89" i="8"/>
  <c r="F26" i="8" a="1"/>
  <c r="F26" i="8"/>
  <c r="T20" i="8" a="1"/>
  <c r="T20" i="8"/>
  <c r="J20" i="8" a="1"/>
  <c r="J20" i="8"/>
  <c r="L26" i="8" a="1"/>
  <c r="L26" i="8"/>
  <c r="J79" i="8" a="1"/>
  <c r="J79" i="8"/>
  <c r="O26" i="8" a="1"/>
  <c r="O26" i="8"/>
  <c r="D26" i="8" a="1"/>
  <c r="D26" i="8"/>
  <c r="F84" i="8" a="1"/>
  <c r="F84" i="8"/>
  <c r="T26" i="8" a="1"/>
  <c r="T26" i="8"/>
  <c r="J26" i="8" a="1"/>
  <c r="J26" i="8"/>
  <c r="L20" i="8" a="1"/>
  <c r="L20" i="8"/>
  <c r="J89" i="8" a="1"/>
  <c r="J89" i="8"/>
  <c r="L9" i="8" a="1"/>
  <c r="L9" i="8"/>
  <c r="T17" i="8" a="1"/>
  <c r="T17" i="8"/>
  <c r="J17" i="8" a="1"/>
  <c r="J17" i="8"/>
  <c r="AO76" i="8" a="1"/>
  <c r="AO76" i="8"/>
  <c r="L79" i="8" a="1"/>
  <c r="L79" i="8"/>
  <c r="F89" i="8" a="1"/>
  <c r="F89" i="8"/>
  <c r="D126" i="8" a="1"/>
  <c r="D126" i="8"/>
  <c r="AB81" i="8" a="1"/>
  <c r="AB81" i="8"/>
  <c r="D145" i="8" a="1"/>
  <c r="D145" i="8"/>
  <c r="D128" i="8" a="1"/>
  <c r="D128" i="8"/>
  <c r="W89" i="8" a="1"/>
  <c r="W89" i="8"/>
  <c r="P76" i="8" a="1"/>
  <c r="P76" i="8"/>
  <c r="D115" i="8" a="1"/>
  <c r="D115" i="8"/>
  <c r="D110" i="8" a="1"/>
  <c r="D110" i="8"/>
  <c r="W95" i="8" a="1"/>
  <c r="W95" i="8"/>
  <c r="P75" i="8" a="1"/>
  <c r="P75" i="8"/>
  <c r="W75" i="8" a="1"/>
  <c r="W75" i="8"/>
  <c r="D121" i="8" a="1"/>
  <c r="D121" i="8"/>
  <c r="AB89" i="8" a="1"/>
  <c r="AB89" i="8"/>
  <c r="W100" i="8" a="1"/>
  <c r="W100" i="8"/>
  <c r="P79" i="8" a="1"/>
  <c r="P79" i="8"/>
  <c r="D135" i="8" a="1"/>
  <c r="D135" i="8"/>
  <c r="AB87" i="8" a="1"/>
  <c r="AB87" i="8"/>
  <c r="P96" i="8" a="1"/>
  <c r="P96" i="8"/>
  <c r="D132" i="8" a="1"/>
  <c r="D132" i="8"/>
  <c r="AB78" i="8" a="1"/>
  <c r="AB78" i="8"/>
  <c r="D74" i="8" a="1"/>
  <c r="D74" i="8"/>
  <c r="F68" i="8" a="1"/>
  <c r="F68" i="8"/>
  <c r="O42" i="8" a="1"/>
  <c r="O42" i="8"/>
  <c r="D42" i="8" a="1"/>
  <c r="D42" i="8"/>
  <c r="J74" i="8" a="1"/>
  <c r="J74" i="8"/>
  <c r="F11" i="8" a="1"/>
  <c r="F11" i="8"/>
  <c r="T39" i="8" a="1"/>
  <c r="T39" i="8"/>
  <c r="J39" i="8" a="1"/>
  <c r="J39" i="8"/>
  <c r="AO83" i="8" a="1"/>
  <c r="AO83" i="8"/>
  <c r="O15" i="8" a="1"/>
  <c r="O15" i="8"/>
  <c r="D15" i="8" a="1"/>
  <c r="D15" i="8"/>
  <c r="AM93" i="8" a="1"/>
  <c r="AM93" i="8"/>
  <c r="F42" i="8" a="1"/>
  <c r="F42" i="8"/>
  <c r="J71" i="8" a="1"/>
  <c r="J71" i="8"/>
  <c r="L74" i="8" a="1"/>
  <c r="L74" i="8"/>
  <c r="AO93" i="8" a="1"/>
  <c r="AO93" i="8"/>
  <c r="D68" i="8" a="1"/>
  <c r="D68" i="8"/>
  <c r="O11" i="8" a="1"/>
  <c r="O11" i="8"/>
  <c r="D11" i="8" a="1"/>
  <c r="D11" i="8"/>
  <c r="AM83" i="8" a="1"/>
  <c r="AM83" i="8"/>
  <c r="F15" i="8" a="1"/>
  <c r="F15" i="8"/>
  <c r="L71" i="8" a="1"/>
  <c r="L71" i="8"/>
  <c r="F74" i="8" a="1"/>
  <c r="F74" i="8"/>
  <c r="L39" i="8" a="1"/>
  <c r="L39" i="8"/>
  <c r="W81" i="8" a="1"/>
  <c r="W81" i="8"/>
  <c r="D130" i="8" a="1"/>
  <c r="D130" i="8"/>
  <c r="W79" i="8" a="1"/>
  <c r="W79" i="8"/>
  <c r="W91" i="8" a="1"/>
  <c r="W91" i="8"/>
  <c r="W88" i="8" a="1"/>
  <c r="W88" i="8"/>
  <c r="W65" i="8" a="1"/>
  <c r="W65" i="8"/>
  <c r="D140" i="8" a="1"/>
  <c r="D140" i="8"/>
  <c r="P89" i="8" a="1"/>
  <c r="P89" i="8"/>
  <c r="D136" i="8" a="1"/>
  <c r="D136" i="8"/>
  <c r="W70" i="8" a="1"/>
  <c r="W70" i="8"/>
  <c r="AO100" i="8" a="1"/>
  <c r="AO100" i="8"/>
  <c r="T25" i="8" a="1"/>
  <c r="T25" i="8"/>
  <c r="J25" i="8" a="1"/>
  <c r="J25" i="8"/>
  <c r="F39" i="8" a="1"/>
  <c r="F39" i="8"/>
  <c r="L27" i="8" a="1"/>
  <c r="L27" i="8"/>
  <c r="D85" i="8" a="1"/>
  <c r="D85" i="8"/>
  <c r="AO84" i="8" a="1"/>
  <c r="AO84" i="8"/>
  <c r="AM96" i="8" a="1"/>
  <c r="AM96" i="8"/>
  <c r="D83" i="8" a="1"/>
  <c r="D83" i="8"/>
  <c r="AF75" i="8" a="1"/>
  <c r="AF75" i="8"/>
  <c r="O34" i="8" a="1"/>
  <c r="O34" i="8"/>
  <c r="D34" i="8" a="1"/>
  <c r="D34" i="8"/>
  <c r="AM84" i="8" a="1"/>
  <c r="AM84" i="8"/>
  <c r="O39" i="8" a="1"/>
  <c r="O39" i="8"/>
  <c r="D39" i="8" a="1"/>
  <c r="D39" i="8"/>
  <c r="F85" i="8" a="1"/>
  <c r="F85" i="8"/>
  <c r="F34" i="8" a="1"/>
  <c r="F34" i="8"/>
  <c r="T27" i="8" a="1"/>
  <c r="T27" i="8"/>
  <c r="J27" i="8" a="1"/>
  <c r="J27" i="8"/>
  <c r="AH75" i="8" a="1"/>
  <c r="AH75" i="8"/>
  <c r="AO96" i="8" a="1"/>
  <c r="AO96" i="8"/>
  <c r="L25" i="8" a="1"/>
  <c r="L25" i="8"/>
  <c r="F83" i="8" a="1"/>
  <c r="F83" i="8"/>
  <c r="AM100" i="8" a="1"/>
  <c r="AM100" i="8"/>
  <c r="D125" i="8" a="1"/>
  <c r="D125" i="8"/>
  <c r="D122" i="8" a="1"/>
  <c r="D122" i="8"/>
  <c r="D139" i="8" a="1"/>
  <c r="D139" i="8"/>
  <c r="W64" i="8" a="1"/>
  <c r="W64" i="8"/>
  <c r="AB64" i="8" a="1"/>
  <c r="AB64" i="8"/>
  <c r="D144" i="8" a="1"/>
  <c r="D144" i="8"/>
  <c r="AB77" i="8" a="1"/>
  <c r="AB77" i="8"/>
  <c r="AB97" i="8" a="1"/>
  <c r="AB97" i="8"/>
  <c r="AB99" i="8" a="1"/>
  <c r="AB99" i="8"/>
  <c r="AB70" i="8" a="1"/>
  <c r="AB70" i="8"/>
  <c r="L13" i="8" a="1"/>
  <c r="L13" i="8"/>
  <c r="O16" i="8" a="1"/>
  <c r="O16" i="8"/>
  <c r="D16" i="8" a="1"/>
  <c r="D16" i="8"/>
  <c r="L31" i="8" a="1"/>
  <c r="L31" i="8"/>
  <c r="O17" i="8" a="1"/>
  <c r="O17" i="8"/>
  <c r="D17" i="8" a="1"/>
  <c r="D17" i="8"/>
  <c r="AF91" i="8" a="1"/>
  <c r="AF91" i="8"/>
  <c r="L11" i="8" a="1"/>
  <c r="L11" i="8"/>
  <c r="T29" i="8" a="1"/>
  <c r="T29" i="8"/>
  <c r="J29" i="8" a="1"/>
  <c r="J29" i="8"/>
  <c r="L16" i="8" a="1"/>
  <c r="L16" i="8"/>
  <c r="F51" i="8" a="1"/>
  <c r="F51" i="8"/>
  <c r="L96" i="8" a="1"/>
  <c r="L96" i="8"/>
  <c r="L29" i="8" a="1"/>
  <c r="L29" i="8"/>
  <c r="AH91" i="8" a="1"/>
  <c r="AH91" i="8"/>
  <c r="T31" i="8" a="1"/>
  <c r="T31" i="8"/>
  <c r="J31" i="8" a="1"/>
  <c r="J31" i="8"/>
  <c r="T16" i="8" a="1"/>
  <c r="T16" i="8"/>
  <c r="J16" i="8" a="1"/>
  <c r="J16" i="8"/>
  <c r="T13" i="8" a="1"/>
  <c r="T13" i="8"/>
  <c r="J13" i="8" a="1"/>
  <c r="J13" i="8"/>
  <c r="J96" i="8" a="1"/>
  <c r="J96" i="8"/>
  <c r="F17" i="8" a="1"/>
  <c r="F17" i="8"/>
  <c r="F16" i="8" a="1"/>
  <c r="F16" i="8"/>
  <c r="O51" i="8" a="1"/>
  <c r="O51" i="8"/>
  <c r="D51" i="8" a="1"/>
  <c r="D51" i="8"/>
  <c r="T11" i="8" a="1"/>
  <c r="T11" i="8"/>
  <c r="J11" i="8" a="1"/>
  <c r="J11" i="8"/>
  <c r="F101" i="8" a="1"/>
  <c r="F101" i="8"/>
  <c r="T8" i="8" a="1"/>
  <c r="T8" i="8"/>
  <c r="J8" i="8" a="1"/>
  <c r="J8" i="8"/>
  <c r="D95" i="8" a="1"/>
  <c r="D95" i="8"/>
  <c r="F53" i="8" a="1"/>
  <c r="F53" i="8"/>
  <c r="AH83" i="8" a="1"/>
  <c r="AH83" i="8"/>
  <c r="L46" i="8" a="1"/>
  <c r="L46" i="8"/>
  <c r="AO94" i="8" a="1"/>
  <c r="AO94" i="8"/>
  <c r="AH87" i="8" a="1"/>
  <c r="AH87" i="8"/>
  <c r="O53" i="8" a="1"/>
  <c r="O53" i="8"/>
  <c r="D53" i="8" a="1"/>
  <c r="D53" i="8"/>
  <c r="L90" i="8" a="1"/>
  <c r="L90" i="8"/>
  <c r="AO68" i="8" a="1"/>
  <c r="AO68" i="8"/>
  <c r="L8" i="8" a="1"/>
  <c r="L8" i="8"/>
  <c r="AM68" i="8" a="1"/>
  <c r="AM68" i="8"/>
  <c r="AF87" i="8" a="1"/>
  <c r="AF87" i="8"/>
  <c r="D101" i="8" a="1"/>
  <c r="D101" i="8"/>
  <c r="AM94" i="8" a="1"/>
  <c r="AM94" i="8"/>
  <c r="J90" i="8" a="1"/>
  <c r="J90" i="8"/>
  <c r="AF83" i="8" a="1"/>
  <c r="AF83" i="8"/>
  <c r="T46" i="8" a="1"/>
  <c r="T46" i="8"/>
  <c r="J46" i="8" a="1"/>
  <c r="J46" i="8"/>
  <c r="F95" i="8" a="1"/>
  <c r="F95" i="8"/>
  <c r="P84" i="8" a="1"/>
  <c r="P84" i="8"/>
  <c r="D113" i="8" a="1"/>
  <c r="D113" i="8"/>
  <c r="D117" i="8" a="1"/>
  <c r="D117" i="8"/>
  <c r="W77" i="8" a="1"/>
  <c r="W77" i="8"/>
  <c r="AB82" i="8" a="1"/>
  <c r="AB82" i="8"/>
  <c r="W78" i="8" a="1"/>
  <c r="W78" i="8"/>
  <c r="P65" i="8" a="1"/>
  <c r="P65" i="8"/>
  <c r="W87" i="8" a="1"/>
  <c r="W87" i="8"/>
  <c r="W96" i="8" a="1"/>
  <c r="W96" i="8"/>
  <c r="AB74" i="8" a="1"/>
  <c r="AB74" i="8"/>
  <c r="D137" i="8" a="1"/>
  <c r="D137" i="8"/>
  <c r="AB93" i="8" a="1"/>
  <c r="AB93" i="8"/>
  <c r="D123" i="8" a="1"/>
  <c r="D123" i="8"/>
  <c r="W93" i="8" a="1"/>
  <c r="W93" i="8"/>
  <c r="P93" i="8" a="1"/>
  <c r="P93" i="8"/>
  <c r="D112" i="8" a="1"/>
  <c r="D112" i="8"/>
  <c r="W102" i="8" a="1"/>
  <c r="W102" i="8"/>
  <c r="P71" i="8" a="1"/>
  <c r="P71" i="8"/>
  <c r="AB80" i="8" a="1"/>
  <c r="AB80" i="8"/>
  <c r="AB75" i="8" a="1"/>
  <c r="AB75" i="8"/>
  <c r="AF79" i="8" a="1"/>
  <c r="AF79" i="8"/>
  <c r="L7" i="8" a="1"/>
  <c r="L7" i="8"/>
  <c r="AO65" i="8" a="1"/>
  <c r="AO65" i="8"/>
  <c r="L18" i="8" a="1"/>
  <c r="L18" i="8"/>
  <c r="AM92" i="8" a="1"/>
  <c r="AM92" i="8"/>
  <c r="AF94" i="8" a="1"/>
  <c r="AF94" i="8"/>
  <c r="F27" i="8" a="1"/>
  <c r="F27" i="8"/>
  <c r="F25" i="8" a="1"/>
  <c r="F25" i="8"/>
  <c r="F7" i="8" a="1"/>
  <c r="F7" i="8"/>
  <c r="AF77" i="8" a="1"/>
  <c r="AF77" i="8"/>
  <c r="O25" i="8" a="1"/>
  <c r="O25" i="8"/>
  <c r="D25" i="8" a="1"/>
  <c r="D25" i="8"/>
  <c r="O7" i="8" a="1"/>
  <c r="O7" i="8"/>
  <c r="D7" i="8" a="1"/>
  <c r="D7" i="8"/>
  <c r="T7" i="8" a="1"/>
  <c r="T7" i="8"/>
  <c r="J7" i="8" a="1"/>
  <c r="J7" i="8"/>
  <c r="O27" i="8" a="1"/>
  <c r="O27" i="8"/>
  <c r="D27" i="8" a="1"/>
  <c r="D27" i="8"/>
  <c r="AM65" i="8" a="1"/>
  <c r="AM65" i="8"/>
  <c r="AH79" i="8" a="1"/>
  <c r="AH79" i="8"/>
  <c r="AH94" i="8" a="1"/>
  <c r="AH94" i="8"/>
  <c r="AO92" i="8" a="1"/>
  <c r="AO92" i="8"/>
  <c r="AH77" i="8" a="1"/>
  <c r="AH77" i="8"/>
  <c r="T18" i="8" a="1"/>
  <c r="T18" i="8"/>
  <c r="J18" i="8" a="1"/>
  <c r="J18" i="8"/>
  <c r="P63" i="8" a="1"/>
  <c r="P63" i="8"/>
  <c r="AB65" i="8" a="1"/>
  <c r="AB65" i="8"/>
  <c r="D124" i="8" a="1"/>
  <c r="D124" i="8"/>
  <c r="W80" i="8" a="1"/>
  <c r="W80" i="8"/>
  <c r="D141" i="8" a="1"/>
  <c r="D141" i="8"/>
  <c r="W68" i="8" a="1"/>
  <c r="W68" i="8"/>
  <c r="D119" i="8" a="1"/>
  <c r="D119" i="8"/>
  <c r="P86" i="8" a="1"/>
  <c r="P86" i="8"/>
  <c r="AB94" i="8" a="1"/>
  <c r="AB94" i="8"/>
  <c r="AB100" i="8" a="1"/>
  <c r="AB100" i="8"/>
  <c r="D131" i="8" a="1"/>
  <c r="D131" i="8"/>
  <c r="P69" i="8" a="1"/>
  <c r="P69" i="8"/>
  <c r="AB79" i="8" a="1"/>
  <c r="AB79" i="8"/>
  <c r="W82" i="8" a="1"/>
  <c r="W82" i="8"/>
  <c r="AB71" i="8" a="1"/>
  <c r="AB71" i="8"/>
  <c r="W85" i="8" a="1"/>
  <c r="W85" i="8"/>
  <c r="AB83" i="8" a="1"/>
  <c r="AB83" i="8"/>
  <c r="D142" i="8" a="1"/>
  <c r="D142" i="8"/>
  <c r="P68" i="8" a="1"/>
  <c r="P68" i="8"/>
  <c r="AB73" i="8" a="1"/>
  <c r="AB73" i="8"/>
  <c r="AF73" i="8" a="1"/>
  <c r="AF73" i="8"/>
  <c r="O23" i="8" a="1"/>
  <c r="O23" i="8"/>
  <c r="D23" i="8" a="1"/>
  <c r="D23" i="8"/>
  <c r="AO74" i="8" a="1"/>
  <c r="AO74" i="8"/>
  <c r="AF84" i="8" a="1"/>
  <c r="AF84" i="8"/>
  <c r="F65" i="8" a="1"/>
  <c r="F65" i="8"/>
  <c r="O44" i="8" a="1"/>
  <c r="O44" i="8"/>
  <c r="D44" i="8" a="1"/>
  <c r="D44" i="8"/>
  <c r="O8" i="8" a="1"/>
  <c r="O8" i="8"/>
  <c r="D8" i="8" a="1"/>
  <c r="D8" i="8"/>
  <c r="F87" i="8" a="1"/>
  <c r="F87" i="8"/>
  <c r="AH80" i="8" a="1"/>
  <c r="AH80" i="8"/>
  <c r="D87" i="8" a="1"/>
  <c r="D87" i="8"/>
  <c r="AO97" i="8" a="1"/>
  <c r="AO97" i="8"/>
  <c r="AF80" i="8" a="1"/>
  <c r="AF80" i="8"/>
  <c r="F44" i="8" a="1"/>
  <c r="F44" i="8"/>
  <c r="D65" i="8" a="1"/>
  <c r="D65" i="8"/>
  <c r="F8" i="8" a="1"/>
  <c r="F8" i="8"/>
  <c r="AM97" i="8" a="1"/>
  <c r="AM97" i="8"/>
  <c r="AH73" i="8" a="1"/>
  <c r="AH73" i="8"/>
  <c r="F23" i="8" a="1"/>
  <c r="F23" i="8"/>
  <c r="AM74" i="8" a="1"/>
  <c r="AM74" i="8"/>
  <c r="AH84" i="8" a="1"/>
  <c r="AH84" i="8"/>
  <c r="D146" i="8" a="1"/>
  <c r="D146" i="8"/>
  <c r="AB95" i="8" a="1"/>
  <c r="AB95" i="8"/>
  <c r="W98" i="8" a="1"/>
  <c r="W98" i="8"/>
  <c r="W76" i="8" a="1"/>
  <c r="W76" i="8"/>
  <c r="P82" i="8" a="1"/>
  <c r="P82" i="8"/>
  <c r="W83" i="8" a="1"/>
  <c r="W83" i="8"/>
  <c r="P77" i="8" a="1"/>
  <c r="P77" i="8"/>
  <c r="W84" i="8" a="1"/>
  <c r="W84" i="8"/>
  <c r="W86" i="8" a="1"/>
  <c r="W86" i="8"/>
  <c r="W71" i="8" a="1"/>
  <c r="W71" i="8"/>
  <c r="P83" i="8" a="1"/>
  <c r="P83" i="8"/>
  <c r="W92" i="8" a="1"/>
  <c r="W92" i="8"/>
  <c r="W74" i="8" a="1"/>
  <c r="W74" i="8"/>
  <c r="P91" i="8" a="1"/>
  <c r="P91" i="8"/>
  <c r="W63" i="8" a="1"/>
  <c r="W63" i="8"/>
  <c r="D109" i="8" a="1"/>
  <c r="D109" i="8"/>
  <c r="W94" i="8" a="1"/>
  <c r="W94" i="8"/>
  <c r="P81" i="8" a="1"/>
  <c r="P81" i="8"/>
  <c r="D111" i="8" a="1"/>
  <c r="D111" i="8"/>
  <c r="D143" i="8" a="1"/>
  <c r="D143" i="8"/>
  <c r="D71" i="8" a="1"/>
  <c r="D71" i="8"/>
  <c r="T51" i="8" a="1"/>
  <c r="T51" i="8"/>
  <c r="J51" i="8" a="1"/>
  <c r="J51" i="8"/>
  <c r="J87" i="8" a="1"/>
  <c r="J87" i="8"/>
  <c r="L34" i="8" a="1"/>
  <c r="L34" i="8"/>
  <c r="L44" i="8" a="1"/>
  <c r="L44" i="8"/>
  <c r="AH65" i="8" a="1"/>
  <c r="AH65" i="8"/>
  <c r="AO89" i="8" a="1"/>
  <c r="AO89" i="8"/>
  <c r="D92" i="8" a="1"/>
  <c r="D92" i="8"/>
  <c r="F50" i="8" a="1"/>
  <c r="F50" i="8"/>
  <c r="AF64" i="8" a="1"/>
  <c r="AF64" i="8"/>
  <c r="O50" i="8" a="1"/>
  <c r="O50" i="8"/>
  <c r="D50" i="8" a="1"/>
  <c r="D50" i="8"/>
  <c r="AH64" i="8" a="1"/>
  <c r="AH64" i="8"/>
  <c r="F71" i="8" a="1"/>
  <c r="F71" i="8"/>
  <c r="AF65" i="8" a="1"/>
  <c r="AF65" i="8"/>
  <c r="T34" i="8" a="1"/>
  <c r="T34" i="8"/>
  <c r="J34" i="8" a="1"/>
  <c r="J34" i="8"/>
  <c r="L51" i="8" a="1"/>
  <c r="L51" i="8"/>
  <c r="F92" i="8" a="1"/>
  <c r="F92" i="8"/>
  <c r="AM89" i="8" a="1"/>
  <c r="AM89" i="8"/>
  <c r="T44" i="8" a="1"/>
  <c r="T44" i="8"/>
  <c r="J44" i="8" a="1"/>
  <c r="J44" i="8"/>
  <c r="L87" i="8" a="1"/>
  <c r="L87" i="8"/>
  <c r="W73" i="8" a="1"/>
  <c r="W73" i="8"/>
  <c r="P97" i="8" a="1"/>
  <c r="P97" i="8"/>
  <c r="P99" i="8" a="1"/>
  <c r="P99" i="8"/>
  <c r="P72" i="8" a="1"/>
  <c r="P72" i="8"/>
  <c r="AB66" i="8" a="1"/>
  <c r="AB66" i="8"/>
  <c r="D114" i="8" a="1"/>
  <c r="D114" i="8"/>
  <c r="P73" i="8" a="1"/>
  <c r="P73" i="8"/>
  <c r="P78" i="8" a="1"/>
  <c r="P78" i="8"/>
  <c r="P100" i="8" a="1"/>
  <c r="P100" i="8"/>
  <c r="AB76" i="8" a="1"/>
  <c r="AB76" i="8"/>
  <c r="D120" i="8" a="1"/>
  <c r="D120" i="8"/>
  <c r="AB90" i="8" a="1"/>
  <c r="AB90" i="8"/>
  <c r="P95" i="8" a="1"/>
  <c r="P95" i="8"/>
  <c r="AB72" i="8" a="1"/>
  <c r="AB72" i="8"/>
  <c r="D133" i="8" a="1"/>
  <c r="D133" i="8"/>
  <c r="P94" i="8" a="1"/>
  <c r="P94" i="8"/>
  <c r="D116" i="8" a="1"/>
  <c r="D116" i="8"/>
  <c r="P85" i="8" a="1"/>
  <c r="P85" i="8"/>
  <c r="W101" i="8" a="1"/>
  <c r="W101" i="8"/>
  <c r="AB84" i="8" a="1"/>
  <c r="AB84" i="8"/>
  <c r="J81" i="8" a="1"/>
  <c r="J81" i="8"/>
  <c r="T15" i="8" a="1"/>
  <c r="T15" i="8"/>
  <c r="J15" i="8" a="1"/>
  <c r="J15" i="8"/>
  <c r="J66" i="8" a="1"/>
  <c r="J66" i="8"/>
  <c r="D80" i="8" a="1"/>
  <c r="D80" i="8"/>
  <c r="AF67" i="8" a="1"/>
  <c r="AF67" i="8"/>
  <c r="J86" i="8" a="1"/>
  <c r="J86" i="8"/>
  <c r="AO77" i="8" a="1"/>
  <c r="AO77" i="8"/>
  <c r="AH97" i="8" a="1"/>
  <c r="AH97" i="8"/>
  <c r="L77" i="8" a="1"/>
  <c r="L77" i="8"/>
  <c r="AF95" i="8" a="1"/>
  <c r="AF95" i="8"/>
  <c r="AH67" i="8" a="1"/>
  <c r="AH67" i="8"/>
  <c r="AM77" i="8" a="1"/>
  <c r="AM77" i="8"/>
  <c r="AH95" i="8" a="1"/>
  <c r="AH95" i="8"/>
  <c r="L81" i="8" a="1"/>
  <c r="L81" i="8"/>
  <c r="F80" i="8" a="1"/>
  <c r="F80" i="8"/>
  <c r="AF97" i="8" a="1"/>
  <c r="AF97" i="8"/>
  <c r="L86" i="8" a="1"/>
  <c r="L86" i="8"/>
  <c r="L15" i="8" a="1"/>
  <c r="L15" i="8"/>
  <c r="J77" i="8" a="1"/>
  <c r="J77" i="8"/>
  <c r="L66" i="8" a="1"/>
  <c r="L66" i="8"/>
  <c r="D73" i="8" a="1"/>
  <c r="D73" i="8"/>
  <c r="D67" i="8" a="1"/>
  <c r="D67" i="8"/>
  <c r="L93" i="8" a="1"/>
  <c r="L93" i="8"/>
  <c r="AH72" i="8" a="1"/>
  <c r="AH72" i="8"/>
  <c r="F81" i="8" a="1"/>
  <c r="F81" i="8"/>
  <c r="O38" i="8" a="1"/>
  <c r="O38" i="8"/>
  <c r="D38" i="8" a="1"/>
  <c r="D38" i="8"/>
  <c r="F38" i="8" a="1"/>
  <c r="F38" i="8"/>
  <c r="J93" i="8" a="1"/>
  <c r="J93" i="8"/>
  <c r="L100" i="8" a="1"/>
  <c r="L100" i="8"/>
  <c r="J100" i="8" a="1"/>
  <c r="J100" i="8"/>
  <c r="AM66" i="8" a="1"/>
  <c r="AM66" i="8"/>
  <c r="F67" i="8" a="1"/>
  <c r="F67" i="8"/>
  <c r="D81" i="8" a="1"/>
  <c r="D81" i="8"/>
  <c r="J65" i="8" a="1"/>
  <c r="J65" i="8"/>
  <c r="L65" i="8" a="1"/>
  <c r="L65" i="8"/>
  <c r="AO66" i="8" a="1"/>
  <c r="AO66" i="8"/>
  <c r="AF72" i="8" a="1"/>
  <c r="AF72" i="8"/>
  <c r="D79" i="8" a="1"/>
  <c r="D79" i="8"/>
  <c r="F73" i="8" a="1"/>
  <c r="F73" i="8"/>
  <c r="F79" i="8" a="1"/>
  <c r="F79" i="8"/>
  <c r="W97" i="8" a="1"/>
  <c r="W97" i="8"/>
  <c r="AB88" i="8" a="1"/>
  <c r="AB88" i="8"/>
  <c r="P74" i="8" a="1"/>
  <c r="P74" i="8"/>
  <c r="D118" i="8" a="1"/>
  <c r="D118" i="8"/>
  <c r="W67" i="8" a="1"/>
  <c r="W67" i="8"/>
  <c r="AB91" i="8" a="1"/>
  <c r="AB91" i="8"/>
  <c r="AB86" i="8" a="1"/>
  <c r="AB86" i="8"/>
  <c r="AB92" i="8" a="1"/>
  <c r="AB92" i="8"/>
  <c r="D138" i="8" a="1"/>
  <c r="D138" i="8"/>
  <c r="P66" i="8" a="1"/>
  <c r="P66" i="8"/>
  <c r="L59" i="8" a="1"/>
  <c r="L59" i="8"/>
  <c r="L58" i="8" a="1"/>
  <c r="L58" i="8"/>
  <c r="L57" i="8" a="1"/>
  <c r="L57" i="8"/>
  <c r="F98" i="8" a="1"/>
  <c r="F98" i="8"/>
  <c r="AH85" i="8" a="1"/>
  <c r="AH85" i="8"/>
  <c r="AF98" i="8" a="1"/>
  <c r="AF98" i="8"/>
  <c r="AF71" i="8" a="1"/>
  <c r="AF71" i="8"/>
  <c r="L47" i="8" a="1"/>
  <c r="L47" i="8"/>
  <c r="AO73" i="8" a="1"/>
  <c r="AO73" i="8"/>
  <c r="D96" i="8" a="1"/>
  <c r="D96" i="8"/>
  <c r="O35" i="8" a="1"/>
  <c r="O35" i="8"/>
  <c r="D35" i="8" a="1"/>
  <c r="D35" i="8"/>
  <c r="AM86" i="8" a="1"/>
  <c r="AM86" i="8"/>
  <c r="AO75" i="8" a="1"/>
  <c r="AO75" i="8"/>
  <c r="AM75" i="8" a="1"/>
  <c r="AM75" i="8"/>
  <c r="AO86" i="8" a="1"/>
  <c r="AO86" i="8"/>
  <c r="AH71" i="8" a="1"/>
  <c r="AH71" i="8"/>
  <c r="F96" i="8" a="1"/>
  <c r="F96" i="8"/>
  <c r="AH98" i="8" a="1"/>
  <c r="AH98" i="8"/>
  <c r="AM73" i="8" a="1"/>
  <c r="AM73" i="8"/>
  <c r="AF85" i="8" a="1"/>
  <c r="AF85" i="8"/>
  <c r="F35" i="8" a="1"/>
  <c r="F35" i="8"/>
  <c r="P87" i="8" a="1"/>
  <c r="P87" i="8"/>
  <c r="D98" i="8" a="1"/>
  <c r="D98" i="8"/>
  <c r="D129" i="8" a="1"/>
  <c r="D129" i="8"/>
  <c r="AB96" i="8" a="1"/>
  <c r="AB96" i="8"/>
  <c r="P98" i="8" a="1"/>
  <c r="P98" i="8"/>
  <c r="AB68" i="8" a="1"/>
  <c r="AB68" i="8"/>
  <c r="P80" i="8" a="1"/>
  <c r="P80" i="8"/>
  <c r="T47" i="8" a="1"/>
  <c r="T47" i="8"/>
  <c r="J47" i="8" a="1"/>
  <c r="J47" i="8"/>
  <c r="AB98" i="8" a="1"/>
  <c r="AB98" i="8"/>
  <c r="W90" i="8" a="1"/>
  <c r="W90" i="8"/>
  <c r="W72" i="8" a="1"/>
  <c r="W72" i="8"/>
  <c r="AB69" i="8" a="1"/>
  <c r="AB69" i="8"/>
  <c r="AB67" i="8" a="1"/>
  <c r="AB67" i="8"/>
  <c r="P90" i="8" a="1"/>
  <c r="P90" i="8"/>
  <c r="AB85" i="8" a="1"/>
  <c r="AB85" i="8"/>
  <c r="W69" i="8" a="1"/>
  <c r="W69" i="8"/>
  <c r="P64" i="8" a="1"/>
  <c r="P64" i="8"/>
  <c r="D134" i="8" a="1"/>
  <c r="D134" i="8"/>
  <c r="P70" i="8" a="1"/>
  <c r="P70" i="8"/>
  <c r="P92" i="8" a="1"/>
  <c r="P92" i="8"/>
  <c r="AB63" i="8" a="1"/>
  <c r="AB63" i="8"/>
  <c r="P67" i="8" a="1"/>
  <c r="P67" i="8"/>
  <c r="D63" i="8" a="1"/>
  <c r="D63" i="8"/>
  <c r="O52" i="8" a="1"/>
  <c r="O52" i="8"/>
  <c r="D52" i="8" a="1"/>
  <c r="D52" i="8"/>
  <c r="F78" i="8" a="1"/>
  <c r="F78" i="8"/>
  <c r="F72" i="8" a="1"/>
  <c r="F72" i="8"/>
  <c r="L99" i="8" a="1"/>
  <c r="L99" i="8"/>
  <c r="L36" i="8" a="1"/>
  <c r="L36" i="8"/>
  <c r="O29" i="8" a="1"/>
  <c r="O29" i="8"/>
  <c r="D29" i="8" a="1"/>
  <c r="D29" i="8"/>
  <c r="F6" i="8" a="1"/>
  <c r="F6" i="8"/>
  <c r="AO72" i="8" a="1"/>
  <c r="AO72" i="8"/>
  <c r="T23" i="8" a="1"/>
  <c r="T23" i="8"/>
  <c r="J23" i="8" a="1"/>
  <c r="J23" i="8"/>
  <c r="L23" i="8" a="1"/>
  <c r="L23" i="8"/>
  <c r="O6" i="8" a="1"/>
  <c r="O6" i="8"/>
  <c r="D6" i="8" a="1"/>
  <c r="D6" i="8"/>
  <c r="D72" i="8" a="1"/>
  <c r="D72" i="8"/>
  <c r="F63" i="8" a="1"/>
  <c r="F63" i="8"/>
  <c r="D78" i="8" a="1"/>
  <c r="D78" i="8"/>
  <c r="AM72" i="8" a="1"/>
  <c r="AM72" i="8"/>
  <c r="F52" i="8" a="1"/>
  <c r="F52" i="8"/>
  <c r="F29" i="8" a="1"/>
  <c r="F29" i="8"/>
  <c r="T36" i="8" a="1"/>
  <c r="T36" i="8"/>
  <c r="J36" i="8" a="1"/>
  <c r="J36" i="8"/>
  <c r="J99" i="8" a="1"/>
  <c r="J99" i="8"/>
  <c r="F33" i="8" a="1"/>
  <c r="F33" i="8"/>
  <c r="L45" i="8" a="1"/>
  <c r="L45" i="8"/>
  <c r="F66" i="8" a="1"/>
  <c r="F66" i="8"/>
  <c r="O41" i="8" a="1"/>
  <c r="O41" i="8"/>
  <c r="D41" i="8" a="1"/>
  <c r="D41" i="8"/>
  <c r="T50" i="8" a="1"/>
  <c r="T50" i="8"/>
  <c r="J50" i="8" a="1"/>
  <c r="J50" i="8"/>
  <c r="F99" i="8" a="1"/>
  <c r="F99" i="8"/>
  <c r="L35" i="8" a="1"/>
  <c r="L35" i="8"/>
  <c r="AO99" i="8" a="1"/>
  <c r="AO99" i="8"/>
  <c r="AH82" i="8" a="1"/>
  <c r="AH82" i="8"/>
  <c r="J75" i="8" a="1"/>
  <c r="J75" i="8"/>
  <c r="L75" i="8" a="1"/>
  <c r="L75" i="8"/>
  <c r="L50" i="8" a="1"/>
  <c r="L50" i="8"/>
  <c r="AF82" i="8" a="1"/>
  <c r="AF82" i="8"/>
  <c r="D99" i="8" a="1"/>
  <c r="D99" i="8"/>
  <c r="D66" i="8" a="1"/>
  <c r="D66" i="8"/>
  <c r="T35" i="8" a="1"/>
  <c r="T35" i="8"/>
  <c r="J35" i="8" a="1"/>
  <c r="J35" i="8"/>
  <c r="AM99" i="8" a="1"/>
  <c r="AM99" i="8"/>
  <c r="T45" i="8" a="1"/>
  <c r="T45" i="8"/>
  <c r="J45" i="8" a="1"/>
  <c r="J45" i="8"/>
  <c r="F41" i="8" a="1"/>
  <c r="F41" i="8"/>
  <c r="O33" i="8" a="1"/>
  <c r="O33" i="8"/>
  <c r="D33" i="8" a="1"/>
  <c r="D33" i="8"/>
  <c r="O31" i="8" a="1"/>
  <c r="O31" i="8"/>
  <c r="D31" i="8" a="1"/>
  <c r="D31" i="8"/>
  <c r="AH68" i="8" a="1"/>
  <c r="AH68" i="8"/>
  <c r="L30" i="8" a="1"/>
  <c r="L30" i="8"/>
  <c r="D88" i="8" a="1"/>
  <c r="D88" i="8"/>
  <c r="O48" i="8" a="1"/>
  <c r="O48" i="8"/>
  <c r="D48" i="8" a="1"/>
  <c r="D48" i="8"/>
  <c r="F12" i="8" a="1"/>
  <c r="F12" i="8"/>
  <c r="J70" i="8" a="1"/>
  <c r="J70" i="8"/>
  <c r="F70" i="8" a="1"/>
  <c r="F70" i="8"/>
  <c r="F37" i="8" a="1"/>
  <c r="F37" i="8"/>
  <c r="L48" i="8" a="1"/>
  <c r="L48" i="8"/>
  <c r="D70" i="8" a="1"/>
  <c r="D70" i="8"/>
  <c r="AF68" i="8" a="1"/>
  <c r="AF68" i="8"/>
  <c r="O37" i="8" a="1"/>
  <c r="O37" i="8"/>
  <c r="D37" i="8" a="1"/>
  <c r="D37" i="8"/>
  <c r="F48" i="8" a="1"/>
  <c r="F48" i="8"/>
  <c r="L70" i="8" a="1"/>
  <c r="L70" i="8"/>
  <c r="F31" i="8" a="1"/>
  <c r="F31" i="8"/>
  <c r="O12" i="8" a="1"/>
  <c r="O12" i="8"/>
  <c r="D12" i="8" a="1"/>
  <c r="D12" i="8"/>
  <c r="F88" i="8" a="1"/>
  <c r="F88" i="8"/>
  <c r="T48" i="8" a="1"/>
  <c r="T48" i="8"/>
  <c r="J48" i="8" a="1"/>
  <c r="J48" i="8"/>
  <c r="T30" i="8" a="1"/>
  <c r="T30" i="8"/>
  <c r="J30" i="8" a="1"/>
  <c r="J30" i="8"/>
  <c r="L69" i="8" a="1"/>
  <c r="L69" i="8"/>
  <c r="AF99" i="8" a="1"/>
  <c r="AF99" i="8"/>
  <c r="O20" i="8" a="1"/>
  <c r="O20" i="8"/>
  <c r="D20" i="8" a="1"/>
  <c r="D20" i="8"/>
  <c r="L53" i="8" a="1"/>
  <c r="L53" i="8"/>
  <c r="T14" i="8" a="1"/>
  <c r="T14" i="8"/>
  <c r="J14" i="8" a="1"/>
  <c r="J14" i="8"/>
  <c r="F45" i="8" a="1"/>
  <c r="F45" i="8"/>
  <c r="F32" i="8" a="1"/>
  <c r="F32" i="8"/>
  <c r="D77" i="8" a="1"/>
  <c r="D77" i="8"/>
  <c r="L5" i="8" a="1"/>
  <c r="L5" i="8"/>
  <c r="J82" i="8" a="1"/>
  <c r="J82" i="8"/>
  <c r="AH99" i="8" a="1"/>
  <c r="AH99" i="8"/>
  <c r="F20" i="8" a="1"/>
  <c r="F20" i="8"/>
  <c r="L14" i="8" a="1"/>
  <c r="L14" i="8"/>
  <c r="O45" i="8" a="1"/>
  <c r="O45" i="8"/>
  <c r="D45" i="8" a="1"/>
  <c r="D45" i="8"/>
  <c r="F77" i="8" a="1"/>
  <c r="F77" i="8"/>
  <c r="L82" i="8" a="1"/>
  <c r="L82" i="8"/>
  <c r="T53" i="8" a="1"/>
  <c r="T53" i="8"/>
  <c r="J53" i="8" a="1"/>
  <c r="J53" i="8"/>
  <c r="O32" i="8" a="1"/>
  <c r="O32" i="8"/>
  <c r="D32" i="8" a="1"/>
  <c r="D32" i="8"/>
  <c r="T5" i="8" a="1"/>
  <c r="T5" i="8"/>
  <c r="J5" i="8" a="1"/>
  <c r="J5" i="8"/>
  <c r="J69" i="8" a="1"/>
  <c r="J69" i="8"/>
  <c r="AH74" i="8" a="1"/>
  <c r="AH74" i="8"/>
  <c r="L80" i="8" a="1"/>
  <c r="L80" i="8"/>
  <c r="T33" i="8" a="1"/>
  <c r="T33" i="8"/>
  <c r="J33" i="8" a="1"/>
  <c r="J33" i="8"/>
  <c r="AF78" i="8" a="1"/>
  <c r="AF78" i="8"/>
  <c r="AM80" i="8" a="1"/>
  <c r="AM80" i="8"/>
  <c r="F82" i="8" a="1"/>
  <c r="F82" i="8"/>
  <c r="T6" i="8" a="1"/>
  <c r="T6" i="8"/>
  <c r="J6" i="8" a="1"/>
  <c r="J6" i="8"/>
  <c r="T22" i="8" a="1"/>
  <c r="T22" i="8"/>
  <c r="J22" i="8" a="1"/>
  <c r="J22" i="8"/>
  <c r="F69" i="8" a="1"/>
  <c r="F69" i="8"/>
  <c r="O24" i="8" a="1"/>
  <c r="O24" i="8"/>
  <c r="D24" i="8" a="1"/>
  <c r="D24" i="8"/>
  <c r="F24" i="8" a="1"/>
  <c r="F24" i="8"/>
  <c r="AH78" i="8" a="1"/>
  <c r="AH78" i="8"/>
  <c r="L6" i="8" a="1"/>
  <c r="L6" i="8"/>
  <c r="AO80" i="8" a="1"/>
  <c r="AO80" i="8"/>
  <c r="D82" i="8" a="1"/>
  <c r="D82" i="8"/>
  <c r="L22" i="8" a="1"/>
  <c r="L22" i="8"/>
  <c r="AF74" i="8" a="1"/>
  <c r="AF74" i="8"/>
  <c r="L33" i="8" a="1"/>
  <c r="L33" i="8"/>
  <c r="D69" i="8" a="1"/>
  <c r="D69" i="8"/>
  <c r="J80" i="8" a="1"/>
  <c r="J80" i="8"/>
  <c r="F14" i="8" a="1"/>
  <c r="F14" i="8"/>
  <c r="O14" i="8" a="1"/>
  <c r="O14" i="8"/>
  <c r="D14" i="8" a="1"/>
  <c r="D14" i="8"/>
  <c r="AO87" i="8" a="1"/>
  <c r="AO87" i="8"/>
  <c r="AH90" i="8" a="1"/>
  <c r="AH90" i="8"/>
  <c r="AM71" i="8" a="1"/>
  <c r="AM71" i="8"/>
  <c r="O18" i="8" a="1"/>
  <c r="O18" i="8"/>
  <c r="D18" i="8" a="1"/>
  <c r="D18" i="8"/>
  <c r="AF93" i="8" a="1"/>
  <c r="AF93" i="8"/>
  <c r="F46" i="8" a="1"/>
  <c r="F46" i="8"/>
  <c r="J85" i="8" a="1"/>
  <c r="J85" i="8"/>
  <c r="O19" i="8" a="1"/>
  <c r="O19" i="8"/>
  <c r="D19" i="8" a="1"/>
  <c r="D19" i="8"/>
  <c r="AH69" i="8" a="1"/>
  <c r="AH69" i="8"/>
  <c r="T42" i="8" a="1"/>
  <c r="T42" i="8"/>
  <c r="J42" i="8" a="1"/>
  <c r="J42" i="8"/>
  <c r="F19" i="8" a="1"/>
  <c r="F19" i="8"/>
  <c r="F18" i="8" a="1"/>
  <c r="F18" i="8"/>
  <c r="AO71" i="8" a="1"/>
  <c r="AO71" i="8"/>
  <c r="AF69" i="8" a="1"/>
  <c r="AF69" i="8"/>
  <c r="O46" i="8" a="1"/>
  <c r="O46" i="8"/>
  <c r="D46" i="8" a="1"/>
  <c r="D46" i="8"/>
  <c r="AM87" i="8" a="1"/>
  <c r="AM87" i="8"/>
  <c r="L85" i="8" a="1"/>
  <c r="L85" i="8"/>
  <c r="AH93" i="8" a="1"/>
  <c r="AH93" i="8"/>
  <c r="AF90" i="8" a="1"/>
  <c r="AF90" i="8"/>
  <c r="L42" i="8" a="1"/>
  <c r="L42" i="8"/>
  <c r="O5" i="8" a="1"/>
  <c r="O5" i="8"/>
  <c r="D5" i="8" a="1"/>
  <c r="D5" i="8"/>
  <c r="L41" i="8" a="1"/>
  <c r="L41" i="8"/>
  <c r="AO81" i="8" a="1"/>
  <c r="AO81" i="8"/>
  <c r="AF100" i="8" a="1"/>
  <c r="AF100" i="8"/>
  <c r="AH70" i="8" a="1"/>
  <c r="AH70" i="8"/>
  <c r="AH76" i="8" a="1"/>
  <c r="AH76" i="8"/>
  <c r="D97" i="8" a="1"/>
  <c r="D97" i="8"/>
  <c r="L63" i="8" a="1"/>
  <c r="L63" i="8"/>
  <c r="O30" i="8" a="1"/>
  <c r="O30" i="8"/>
  <c r="D30" i="8" a="1"/>
  <c r="D30" i="8"/>
  <c r="F30" i="8" a="1"/>
  <c r="F30" i="8"/>
  <c r="L72" i="8" a="1"/>
  <c r="L72" i="8"/>
  <c r="T41" i="8" a="1"/>
  <c r="T41" i="8"/>
  <c r="J41" i="8" a="1"/>
  <c r="J41" i="8"/>
  <c r="F5" i="8" a="1"/>
  <c r="F5" i="8"/>
  <c r="F97" i="8" a="1"/>
  <c r="F97" i="8"/>
  <c r="AF76" i="8" a="1"/>
  <c r="AF76" i="8"/>
  <c r="AH100" i="8" a="1"/>
  <c r="AH100" i="8"/>
  <c r="J63" i="8" a="1"/>
  <c r="J63" i="8"/>
  <c r="AF70" i="8" a="1"/>
  <c r="AF70" i="8"/>
  <c r="J72" i="8" a="1"/>
  <c r="J72" i="8"/>
  <c r="AM81" i="8" a="1"/>
  <c r="AM81" i="8"/>
  <c r="J64" i="8" a="1"/>
  <c r="J64" i="8"/>
  <c r="AH66" i="8" a="1"/>
  <c r="AH66" i="8"/>
  <c r="L28" i="8" a="1"/>
  <c r="L28" i="8"/>
  <c r="F86" i="8" a="1"/>
  <c r="F86" i="8"/>
  <c r="F43" i="8" a="1"/>
  <c r="F43" i="8"/>
  <c r="L98" i="8" a="1"/>
  <c r="L98" i="8"/>
  <c r="F91" i="8" a="1"/>
  <c r="F91" i="8"/>
  <c r="AO90" i="8" a="1"/>
  <c r="AO90" i="8"/>
  <c r="AO82" i="8" a="1"/>
  <c r="AO82" i="8"/>
  <c r="AF96" i="8" a="1"/>
  <c r="AF96" i="8"/>
  <c r="AF66" i="8" a="1"/>
  <c r="AF66" i="8"/>
  <c r="AH96" i="8" a="1"/>
  <c r="AH96" i="8"/>
  <c r="T28" i="8" a="1"/>
  <c r="T28" i="8"/>
  <c r="J28" i="8" a="1"/>
  <c r="J28" i="8"/>
  <c r="L64" i="8" a="1"/>
  <c r="L64" i="8"/>
  <c r="J98" i="8" a="1"/>
  <c r="J98" i="8"/>
  <c r="AM90" i="8" a="1"/>
  <c r="AM90" i="8"/>
  <c r="O43" i="8" a="1"/>
  <c r="O43" i="8"/>
  <c r="D43" i="8" a="1"/>
  <c r="D43" i="8"/>
  <c r="D86" i="8" a="1"/>
  <c r="D86" i="8"/>
  <c r="D91" i="8" a="1"/>
  <c r="D91" i="8"/>
  <c r="AM82" i="8" a="1"/>
  <c r="AM82" i="8"/>
  <c r="AF92" i="8" a="1"/>
  <c r="AF92" i="8"/>
  <c r="O47" i="8" a="1"/>
  <c r="O47" i="8"/>
  <c r="D47" i="8" a="1"/>
  <c r="D47" i="8"/>
  <c r="L91" i="8" a="1"/>
  <c r="L91" i="8"/>
  <c r="AM85" i="8" a="1"/>
  <c r="AM85" i="8"/>
  <c r="F64" i="8" a="1"/>
  <c r="F64" i="8"/>
  <c r="F49" i="8" a="1"/>
  <c r="F49" i="8"/>
  <c r="L78" i="8" a="1"/>
  <c r="L78" i="8"/>
  <c r="T37" i="8" a="1"/>
  <c r="T37" i="8"/>
  <c r="J37" i="8" a="1"/>
  <c r="J37" i="8"/>
  <c r="L68" i="8" a="1"/>
  <c r="L68" i="8"/>
  <c r="AM70" i="8" a="1"/>
  <c r="AM70" i="8"/>
  <c r="F13" i="8" a="1"/>
  <c r="F13" i="8"/>
  <c r="L40" i="8" a="1"/>
  <c r="L40" i="8"/>
  <c r="T21" i="8" a="1"/>
  <c r="T21" i="8"/>
  <c r="J21" i="8" a="1"/>
  <c r="J21" i="8"/>
  <c r="F94" i="8" a="1"/>
  <c r="F94" i="8"/>
  <c r="F58" i="8" a="1"/>
  <c r="F58" i="8"/>
  <c r="L24" i="8" a="1"/>
  <c r="L24" i="8"/>
  <c r="F36" i="8" a="1"/>
  <c r="F36" i="8"/>
  <c r="L32" i="8" a="1"/>
  <c r="L32" i="8"/>
  <c r="D100" i="8" a="1"/>
  <c r="D100" i="8"/>
  <c r="AF89" i="8" a="1"/>
  <c r="AF89" i="8"/>
  <c r="J94" i="8" a="1"/>
  <c r="J94" i="8"/>
  <c r="L92" i="8" a="1"/>
  <c r="L92" i="8"/>
  <c r="D75" i="8" a="1"/>
  <c r="D75" i="8"/>
  <c r="J95" i="8" a="1"/>
  <c r="J95" i="8"/>
  <c r="AH89" i="8" a="1"/>
  <c r="AH89" i="8"/>
  <c r="T43" i="8" a="1"/>
  <c r="T43" i="8"/>
  <c r="J43" i="8" a="1"/>
  <c r="J43" i="8"/>
  <c r="F47" i="8" a="1"/>
  <c r="F47" i="8"/>
  <c r="L94" i="8" a="1"/>
  <c r="L94" i="8"/>
  <c r="T24" i="8" a="1"/>
  <c r="T24" i="8"/>
  <c r="J24" i="8" a="1"/>
  <c r="J24" i="8"/>
  <c r="L43" i="8" a="1"/>
  <c r="L43" i="8"/>
  <c r="O49" i="8" a="1"/>
  <c r="O49" i="8"/>
  <c r="D49" i="8" a="1"/>
  <c r="D49" i="8"/>
  <c r="D94" i="8" a="1"/>
  <c r="D94" i="8"/>
  <c r="AM98" i="8" a="1"/>
  <c r="AM98" i="8"/>
  <c r="T40" i="8" a="1"/>
  <c r="T40" i="8"/>
  <c r="J40" i="8" a="1"/>
  <c r="J40" i="8"/>
  <c r="AM69" i="8" a="1"/>
  <c r="AM69" i="8"/>
  <c r="J78" i="8" a="1"/>
  <c r="J78" i="8"/>
  <c r="AO98" i="8" a="1"/>
  <c r="AO98" i="8"/>
  <c r="T32" i="8" a="1"/>
  <c r="T32" i="8"/>
  <c r="J32" i="8" a="1"/>
  <c r="J32" i="8"/>
  <c r="D58" i="8" a="1"/>
  <c r="D58" i="8"/>
  <c r="L21" i="8" a="1"/>
  <c r="L21" i="8"/>
  <c r="AO85" i="8" a="1"/>
  <c r="AO85" i="8"/>
  <c r="AO69" i="8" a="1"/>
  <c r="AO69" i="8"/>
  <c r="D64" i="8" a="1"/>
  <c r="D64" i="8"/>
  <c r="AH92" i="8" a="1"/>
  <c r="AH92" i="8"/>
  <c r="F75" i="8" a="1"/>
  <c r="F75" i="8"/>
  <c r="J92" i="8" a="1"/>
  <c r="J92" i="8"/>
  <c r="L37" i="8" a="1"/>
  <c r="L37" i="8"/>
  <c r="L49" i="8" a="1"/>
  <c r="L49" i="8"/>
  <c r="AO91" i="8" a="1"/>
  <c r="AO91" i="8"/>
  <c r="O28" i="8" a="1"/>
  <c r="O28" i="8"/>
  <c r="D28" i="8" a="1"/>
  <c r="D28" i="8"/>
  <c r="AM91" i="8" a="1"/>
  <c r="AM91" i="8"/>
  <c r="J68" i="8" a="1"/>
  <c r="J68" i="8"/>
  <c r="O36" i="8" a="1"/>
  <c r="O36" i="8"/>
  <c r="D36" i="8" a="1"/>
  <c r="D36" i="8"/>
  <c r="O13" i="8" a="1"/>
  <c r="O13" i="8"/>
  <c r="D13" i="8" a="1"/>
  <c r="D13" i="8"/>
  <c r="T49" i="8" a="1"/>
  <c r="T49" i="8"/>
  <c r="J49" i="8" a="1"/>
  <c r="J49" i="8"/>
  <c r="J91" i="8" a="1"/>
  <c r="J91" i="8"/>
  <c r="AO70" i="8" a="1"/>
  <c r="AO70" i="8"/>
  <c r="L95" i="8" a="1"/>
  <c r="L95" i="8"/>
  <c r="F28" i="8" a="1"/>
  <c r="F28" i="8"/>
  <c r="F100" i="8" a="1"/>
  <c r="F100" i="8"/>
  <c r="J67" i="8" a="1"/>
  <c r="J67" i="8"/>
  <c r="AM88" i="8" a="1"/>
  <c r="AM88" i="8"/>
  <c r="AO79" i="8" a="1"/>
  <c r="AO79" i="8"/>
  <c r="L76" i="8" a="1"/>
  <c r="L76" i="8"/>
  <c r="AH88" i="8" a="1"/>
  <c r="AH88" i="8"/>
  <c r="AF81" i="8" a="1"/>
  <c r="AF81" i="8"/>
  <c r="J84" i="8" a="1"/>
  <c r="J84" i="8"/>
  <c r="J88" i="8" a="1"/>
  <c r="J88" i="8"/>
  <c r="AM78" i="8" a="1"/>
  <c r="AM78" i="8"/>
  <c r="AH81" i="8" a="1"/>
  <c r="AH81" i="8"/>
  <c r="D90" i="8" a="1"/>
  <c r="D90" i="8"/>
  <c r="L88" i="8" a="1"/>
  <c r="L88" i="8"/>
  <c r="O10" i="8" a="1"/>
  <c r="O10" i="8"/>
  <c r="D10" i="8" a="1"/>
  <c r="D10" i="8"/>
  <c r="AO78" i="8" a="1"/>
  <c r="AO78" i="8"/>
  <c r="J97" i="8" a="1"/>
  <c r="J97" i="8"/>
  <c r="J76" i="8" a="1"/>
  <c r="J76" i="8"/>
  <c r="F10" i="8" a="1"/>
  <c r="F10" i="8"/>
  <c r="AM79" i="8" a="1"/>
  <c r="AM79" i="8"/>
  <c r="F21" i="8" a="1"/>
  <c r="F21" i="8"/>
  <c r="O22" i="8" a="1"/>
  <c r="O22" i="8"/>
  <c r="D22" i="8" a="1"/>
  <c r="D22" i="8"/>
  <c r="AM67" i="8" a="1"/>
  <c r="AM67" i="8"/>
  <c r="L67" i="8" a="1"/>
  <c r="L67" i="8"/>
  <c r="J83" i="8" a="1"/>
  <c r="J83" i="8"/>
  <c r="F22" i="8" a="1"/>
  <c r="F22" i="8"/>
  <c r="L97" i="8" a="1"/>
  <c r="L97" i="8"/>
  <c r="J73" i="8" a="1"/>
  <c r="J73" i="8"/>
  <c r="L83" i="8" a="1"/>
  <c r="L83" i="8"/>
  <c r="F90" i="8" a="1"/>
  <c r="F90" i="8"/>
  <c r="F93" i="8" a="1"/>
  <c r="F93" i="8"/>
  <c r="D93" i="8" a="1"/>
  <c r="D93" i="8"/>
  <c r="L84" i="8" a="1"/>
  <c r="L84" i="8"/>
  <c r="AO88" i="8" a="1"/>
  <c r="AO88" i="8"/>
  <c r="L19" i="8" a="1"/>
  <c r="L19" i="8"/>
  <c r="AF88" i="8" a="1"/>
  <c r="AF88" i="8"/>
  <c r="T19" i="8" a="1"/>
  <c r="T19" i="8"/>
  <c r="J19" i="8" a="1"/>
  <c r="J19" i="8"/>
  <c r="O21" i="8" a="1"/>
  <c r="O21" i="8"/>
  <c r="D21" i="8" a="1"/>
  <c r="D21" i="8"/>
  <c r="AO67" i="8" a="1"/>
  <c r="AO67" i="8"/>
  <c r="AM64" i="8" a="1"/>
  <c r="AM64" i="8"/>
  <c r="AO64" i="8" a="1"/>
  <c r="AO64" i="8"/>
  <c r="L73" i="8" a="1"/>
  <c r="L73" i="8"/>
  <c r="I68" i="1"/>
  <c r="I67" i="1" l="1"/>
  <c r="J64" i="1"/>
  <c r="H65" i="1"/>
  <c r="J65" i="1" s="1"/>
  <c r="I65" i="1"/>
  <c r="I64" i="1"/>
  <c r="H64" i="1"/>
  <c r="J18" i="1" l="1"/>
  <c r="L18" i="1" s="1"/>
  <c r="J17" i="1"/>
  <c r="J16" i="1"/>
  <c r="K15" i="1"/>
  <c r="J15" i="1"/>
  <c r="L15" i="1" s="1"/>
  <c r="D26" i="1"/>
  <c r="K16" i="1" l="1"/>
  <c r="K17" i="1"/>
  <c r="L17" i="1"/>
  <c r="L16" i="1"/>
  <c r="K18" i="1"/>
  <c r="H39" i="23"/>
  <c r="W19" i="21"/>
  <c r="V19" i="21"/>
  <c r="T19" i="21"/>
  <c r="V18" i="21"/>
  <c r="T18" i="21"/>
  <c r="V17" i="21"/>
  <c r="T17" i="21"/>
  <c r="I17" i="21"/>
  <c r="I18" i="21" s="1"/>
  <c r="I21" i="21" s="1"/>
  <c r="G17" i="21"/>
  <c r="V16" i="21"/>
  <c r="T16" i="21"/>
  <c r="J16" i="21"/>
  <c r="J17" i="21" s="1"/>
  <c r="J18" i="21" s="1"/>
  <c r="J21" i="21" s="1"/>
  <c r="V15" i="21"/>
  <c r="T15" i="21"/>
  <c r="K8" i="21"/>
  <c r="K9" i="21" s="1"/>
  <c r="K12" i="21" s="1"/>
  <c r="J8" i="21"/>
  <c r="J9" i="21" s="1"/>
  <c r="J12" i="21" s="1"/>
  <c r="I8" i="21"/>
  <c r="I9" i="21" s="1"/>
  <c r="I12" i="21" s="1"/>
  <c r="M12" i="21" s="1"/>
  <c r="W74" i="6"/>
  <c r="V74" i="6"/>
  <c r="U74" i="6"/>
  <c r="Q74" i="6"/>
  <c r="T74" i="6" s="1"/>
  <c r="K74" i="6"/>
  <c r="I74" i="6"/>
  <c r="L74" i="6" s="1"/>
  <c r="W73" i="6"/>
  <c r="V73" i="6"/>
  <c r="U73" i="6"/>
  <c r="T73" i="6"/>
  <c r="Q73" i="6"/>
  <c r="L73" i="6"/>
  <c r="K73" i="6"/>
  <c r="J74" i="6" s="1"/>
  <c r="I73" i="6"/>
  <c r="W72" i="6"/>
  <c r="V72" i="6"/>
  <c r="U72" i="6"/>
  <c r="Q72" i="6"/>
  <c r="T72" i="6" s="1"/>
  <c r="K72" i="6"/>
  <c r="J73" i="6" s="1"/>
  <c r="I72" i="6"/>
  <c r="L72" i="6" s="1"/>
  <c r="W71" i="6"/>
  <c r="V71" i="6"/>
  <c r="U71" i="6"/>
  <c r="T71" i="6"/>
  <c r="Q71" i="6"/>
  <c r="K71" i="6"/>
  <c r="J72" i="6" s="1"/>
  <c r="I71" i="6"/>
  <c r="L71" i="6" s="1"/>
  <c r="W70" i="6"/>
  <c r="V70" i="6"/>
  <c r="U70" i="6"/>
  <c r="Q70" i="6"/>
  <c r="T70" i="6" s="1"/>
  <c r="L70" i="6"/>
  <c r="K70" i="6"/>
  <c r="J71" i="6" s="1"/>
  <c r="I70" i="6"/>
  <c r="W69" i="6"/>
  <c r="V69" i="6"/>
  <c r="U69" i="6"/>
  <c r="Q69" i="6"/>
  <c r="T69" i="6" s="1"/>
  <c r="K69" i="6"/>
  <c r="J70" i="6" s="1"/>
  <c r="I69" i="6"/>
  <c r="L69" i="6" s="1"/>
  <c r="W68" i="6"/>
  <c r="V68" i="6"/>
  <c r="U68" i="6"/>
  <c r="T68" i="6"/>
  <c r="Q68" i="6"/>
  <c r="K68" i="6"/>
  <c r="J69" i="6" s="1"/>
  <c r="I68" i="6"/>
  <c r="L68" i="6" s="1"/>
  <c r="W67" i="6"/>
  <c r="V67" i="6"/>
  <c r="U67" i="6"/>
  <c r="Q67" i="6"/>
  <c r="T67" i="6" s="1"/>
  <c r="K67" i="6"/>
  <c r="J68" i="6" s="1"/>
  <c r="I67" i="6"/>
  <c r="L67" i="6" s="1"/>
  <c r="W66" i="6"/>
  <c r="V66" i="6"/>
  <c r="U66" i="6"/>
  <c r="T66" i="6"/>
  <c r="Q66" i="6"/>
  <c r="K66" i="6"/>
  <c r="J67" i="6" s="1"/>
  <c r="I66" i="6"/>
  <c r="L66" i="6" s="1"/>
  <c r="W65" i="6"/>
  <c r="V65" i="6"/>
  <c r="U65" i="6"/>
  <c r="T65" i="6"/>
  <c r="Q65" i="6"/>
  <c r="K65" i="6"/>
  <c r="J66" i="6" s="1"/>
  <c r="I65" i="6"/>
  <c r="L65" i="6" s="1"/>
  <c r="W64" i="6"/>
  <c r="V64" i="6"/>
  <c r="U64" i="6"/>
  <c r="T64" i="6"/>
  <c r="Q64" i="6"/>
  <c r="L64" i="6"/>
  <c r="K64" i="6"/>
  <c r="J65" i="6" s="1"/>
  <c r="I64" i="6"/>
  <c r="W63" i="6"/>
  <c r="V63" i="6"/>
  <c r="U63" i="6"/>
  <c r="Q63" i="6"/>
  <c r="T63" i="6" s="1"/>
  <c r="L63" i="6"/>
  <c r="K63" i="6"/>
  <c r="J64" i="6" s="1"/>
  <c r="J63" i="6"/>
  <c r="I63" i="6"/>
  <c r="W62" i="6"/>
  <c r="V62" i="6"/>
  <c r="U62" i="6"/>
  <c r="Q62" i="6"/>
  <c r="T62" i="6" s="1"/>
  <c r="I62" i="6"/>
  <c r="L62" i="6" s="1"/>
  <c r="W61" i="6"/>
  <c r="V61" i="6"/>
  <c r="U61" i="6"/>
  <c r="Q61" i="6"/>
  <c r="T61" i="6" s="1"/>
  <c r="I61" i="6"/>
  <c r="L61" i="6" s="1"/>
  <c r="W60" i="6"/>
  <c r="V60" i="6"/>
  <c r="U60" i="6"/>
  <c r="Q60" i="6"/>
  <c r="T60" i="6" s="1"/>
  <c r="L60" i="6"/>
  <c r="I60" i="6"/>
  <c r="W59" i="6"/>
  <c r="V59" i="6"/>
  <c r="U59" i="6"/>
  <c r="Q59" i="6"/>
  <c r="T59" i="6" s="1"/>
  <c r="I59" i="6"/>
  <c r="L59" i="6" s="1"/>
  <c r="W58" i="6"/>
  <c r="V58" i="6"/>
  <c r="U58" i="6"/>
  <c r="Q58" i="6"/>
  <c r="T58" i="6" s="1"/>
  <c r="I58" i="6"/>
  <c r="L58" i="6" s="1"/>
  <c r="W57" i="6"/>
  <c r="V57" i="6"/>
  <c r="U57" i="6"/>
  <c r="Q57" i="6"/>
  <c r="T57" i="6" s="1"/>
  <c r="L57" i="6"/>
  <c r="I57" i="6"/>
  <c r="W56" i="6"/>
  <c r="V56" i="6"/>
  <c r="U56" i="6"/>
  <c r="T56" i="6"/>
  <c r="Q56" i="6"/>
  <c r="I56" i="6"/>
  <c r="L56" i="6" s="1"/>
  <c r="W55" i="6"/>
  <c r="V55" i="6"/>
  <c r="U55" i="6"/>
  <c r="Q55" i="6"/>
  <c r="T55" i="6" s="1"/>
  <c r="I55" i="6"/>
  <c r="L55" i="6" s="1"/>
  <c r="W54" i="6"/>
  <c r="V54" i="6"/>
  <c r="U54" i="6"/>
  <c r="Q54" i="6"/>
  <c r="T54" i="6" s="1"/>
  <c r="L54" i="6"/>
  <c r="I54" i="6"/>
  <c r="W53" i="6"/>
  <c r="V53" i="6"/>
  <c r="U53" i="6"/>
  <c r="T53" i="6"/>
  <c r="Q53" i="6"/>
  <c r="I53" i="6"/>
  <c r="L53" i="6" s="1"/>
  <c r="W52" i="6"/>
  <c r="V52" i="6"/>
  <c r="U52" i="6"/>
  <c r="Q52" i="6"/>
  <c r="T52" i="6" s="1"/>
  <c r="I52" i="6"/>
  <c r="L52" i="6" s="1"/>
  <c r="W51" i="6"/>
  <c r="V51" i="6"/>
  <c r="U51" i="6"/>
  <c r="Q51" i="6"/>
  <c r="T51" i="6" s="1"/>
  <c r="L51" i="6"/>
  <c r="I51" i="6"/>
  <c r="W50" i="6"/>
  <c r="V50" i="6"/>
  <c r="U50" i="6"/>
  <c r="Q50" i="6"/>
  <c r="T50" i="6" s="1"/>
  <c r="I50" i="6"/>
  <c r="L50" i="6" s="1"/>
  <c r="W49" i="6"/>
  <c r="V49" i="6"/>
  <c r="U49" i="6"/>
  <c r="T49" i="6"/>
  <c r="Q49" i="6"/>
  <c r="I49" i="6"/>
  <c r="L49" i="6" s="1"/>
  <c r="W48" i="6"/>
  <c r="V48" i="6"/>
  <c r="U48" i="6"/>
  <c r="T48" i="6"/>
  <c r="Q48" i="6"/>
  <c r="I48" i="6"/>
  <c r="L48" i="6" s="1"/>
  <c r="W47" i="6"/>
  <c r="V47" i="6"/>
  <c r="U47" i="6"/>
  <c r="Q47" i="6"/>
  <c r="T47" i="6" s="1"/>
  <c r="I47" i="6"/>
  <c r="L47" i="6" s="1"/>
  <c r="W46" i="6"/>
  <c r="V46" i="6"/>
  <c r="U46" i="6"/>
  <c r="Q46" i="6"/>
  <c r="T46" i="6" s="1"/>
  <c r="L46" i="6"/>
  <c r="I46" i="6"/>
  <c r="W45" i="6"/>
  <c r="V45" i="6"/>
  <c r="U45" i="6"/>
  <c r="T45" i="6"/>
  <c r="Q45" i="6"/>
  <c r="I45" i="6"/>
  <c r="L45" i="6" s="1"/>
  <c r="W44" i="6"/>
  <c r="V44" i="6"/>
  <c r="U44" i="6"/>
  <c r="Q44" i="6"/>
  <c r="T44" i="6" s="1"/>
  <c r="I44" i="6"/>
  <c r="L44" i="6" s="1"/>
  <c r="W43" i="6"/>
  <c r="V43" i="6"/>
  <c r="U43" i="6"/>
  <c r="T43" i="6"/>
  <c r="Q43" i="6"/>
  <c r="I43" i="6"/>
  <c r="L43" i="6" s="1"/>
  <c r="W42" i="6"/>
  <c r="V42" i="6"/>
  <c r="U42" i="6"/>
  <c r="Q42" i="6"/>
  <c r="T42" i="6" s="1"/>
  <c r="I42" i="6"/>
  <c r="L42" i="6" s="1"/>
  <c r="W41" i="6"/>
  <c r="V41" i="6"/>
  <c r="U41" i="6"/>
  <c r="T41" i="6"/>
  <c r="Q41" i="6"/>
  <c r="I41" i="6"/>
  <c r="L41" i="6" s="1"/>
  <c r="W40" i="6"/>
  <c r="V40" i="6"/>
  <c r="U40" i="6"/>
  <c r="T40" i="6"/>
  <c r="Q40" i="6"/>
  <c r="I40" i="6"/>
  <c r="L40" i="6" s="1"/>
  <c r="W39" i="6"/>
  <c r="V39" i="6"/>
  <c r="U39" i="6"/>
  <c r="T39" i="6"/>
  <c r="Q39" i="6"/>
  <c r="I39" i="6"/>
  <c r="L39" i="6" s="1"/>
  <c r="W38" i="6"/>
  <c r="V38" i="6"/>
  <c r="U38" i="6"/>
  <c r="T38" i="6"/>
  <c r="Q38" i="6"/>
  <c r="L38" i="6"/>
  <c r="I38" i="6"/>
  <c r="W37" i="6"/>
  <c r="V37" i="6"/>
  <c r="U37" i="6"/>
  <c r="T37" i="6"/>
  <c r="Q37" i="6"/>
  <c r="I37" i="6"/>
  <c r="L37" i="6" s="1"/>
  <c r="W36" i="6"/>
  <c r="V36" i="6"/>
  <c r="U36" i="6"/>
  <c r="Q36" i="6"/>
  <c r="T36" i="6" s="1"/>
  <c r="L36" i="6"/>
  <c r="I36" i="6"/>
  <c r="W35" i="6"/>
  <c r="V35" i="6"/>
  <c r="U35" i="6"/>
  <c r="Q35" i="6"/>
  <c r="T35" i="6" s="1"/>
  <c r="I35" i="6"/>
  <c r="L35" i="6" s="1"/>
  <c r="W34" i="6"/>
  <c r="V34" i="6"/>
  <c r="U34" i="6"/>
  <c r="Q34" i="6"/>
  <c r="T34" i="6" s="1"/>
  <c r="L34" i="6"/>
  <c r="I34" i="6"/>
  <c r="W33" i="6"/>
  <c r="V33" i="6"/>
  <c r="U33" i="6"/>
  <c r="Q33" i="6"/>
  <c r="T33" i="6" s="1"/>
  <c r="L33" i="6"/>
  <c r="I33" i="6"/>
  <c r="AG32" i="6"/>
  <c r="AE32" i="6"/>
  <c r="AF32" i="6" s="1"/>
  <c r="Y32" i="6"/>
  <c r="W32" i="6"/>
  <c r="V32" i="6"/>
  <c r="U32" i="6"/>
  <c r="Q32" i="6"/>
  <c r="T32" i="6" s="1"/>
  <c r="L32" i="6"/>
  <c r="I32" i="6"/>
  <c r="AH31" i="6"/>
  <c r="W31" i="6"/>
  <c r="V31" i="6"/>
  <c r="U31" i="6"/>
  <c r="T31" i="6"/>
  <c r="Q31" i="6"/>
  <c r="I31" i="6"/>
  <c r="L31" i="6" s="1"/>
  <c r="AH30" i="6"/>
  <c r="AG30" i="6"/>
  <c r="Y30" i="6"/>
  <c r="W30" i="6"/>
  <c r="V30" i="6"/>
  <c r="U30" i="6"/>
  <c r="T30" i="6"/>
  <c r="Q30" i="6"/>
  <c r="L30" i="6"/>
  <c r="I30" i="6"/>
  <c r="Y29" i="6"/>
  <c r="W29" i="6"/>
  <c r="V29" i="6"/>
  <c r="U29" i="6"/>
  <c r="Q29" i="6"/>
  <c r="T29" i="6" s="1"/>
  <c r="I29" i="6"/>
  <c r="L29" i="6" s="1"/>
  <c r="Y28" i="6"/>
  <c r="W28" i="6"/>
  <c r="V28" i="6"/>
  <c r="U28" i="6"/>
  <c r="Q28" i="6"/>
  <c r="T28" i="6" s="1"/>
  <c r="I28" i="6"/>
  <c r="L28" i="6" s="1"/>
  <c r="W27" i="6"/>
  <c r="V27" i="6"/>
  <c r="U27" i="6"/>
  <c r="T27" i="6"/>
  <c r="Q27" i="6"/>
  <c r="I27" i="6"/>
  <c r="L27" i="6" s="1"/>
  <c r="W26" i="6"/>
  <c r="V26" i="6"/>
  <c r="U26" i="6"/>
  <c r="T26" i="6"/>
  <c r="Q26" i="6"/>
  <c r="I26" i="6"/>
  <c r="L26" i="6" s="1"/>
  <c r="W25" i="6"/>
  <c r="V25" i="6"/>
  <c r="U25" i="6"/>
  <c r="Q25" i="6"/>
  <c r="T25" i="6" s="1"/>
  <c r="I25" i="6"/>
  <c r="L25" i="6" s="1"/>
  <c r="W24" i="6"/>
  <c r="V24" i="6"/>
  <c r="U24" i="6"/>
  <c r="Q24" i="6"/>
  <c r="T24" i="6" s="1"/>
  <c r="L24" i="6"/>
  <c r="I24" i="6"/>
  <c r="W23" i="6"/>
  <c r="V23" i="6"/>
  <c r="U23" i="6"/>
  <c r="Q23" i="6"/>
  <c r="T23" i="6" s="1"/>
  <c r="I23" i="6"/>
  <c r="L23" i="6" s="1"/>
  <c r="W22" i="6"/>
  <c r="V22" i="6"/>
  <c r="U22" i="6"/>
  <c r="T22" i="6"/>
  <c r="Q22" i="6"/>
  <c r="I22" i="6"/>
  <c r="L22" i="6" s="1"/>
  <c r="W21" i="6"/>
  <c r="V21" i="6"/>
  <c r="U21" i="6"/>
  <c r="Q21" i="6"/>
  <c r="T21" i="6" s="1"/>
  <c r="I21" i="6"/>
  <c r="L21" i="6" s="1"/>
  <c r="W20" i="6"/>
  <c r="V20" i="6"/>
  <c r="U20" i="6"/>
  <c r="Q20" i="6"/>
  <c r="T20" i="6" s="1"/>
  <c r="I20" i="6"/>
  <c r="L20" i="6" s="1"/>
  <c r="W19" i="6"/>
  <c r="V19" i="6"/>
  <c r="U19" i="6"/>
  <c r="Q19" i="6"/>
  <c r="T19" i="6" s="1"/>
  <c r="I19" i="6"/>
  <c r="L19" i="6" s="1"/>
  <c r="W18" i="6"/>
  <c r="V18" i="6"/>
  <c r="U18" i="6"/>
  <c r="Q18" i="6"/>
  <c r="T18" i="6" s="1"/>
  <c r="L18" i="6"/>
  <c r="I18" i="6"/>
  <c r="W17" i="6"/>
  <c r="V17" i="6"/>
  <c r="U17" i="6"/>
  <c r="Q17" i="6"/>
  <c r="T17" i="6" s="1"/>
  <c r="L17" i="6"/>
  <c r="I17" i="6"/>
  <c r="W16" i="6"/>
  <c r="V16" i="6"/>
  <c r="U16" i="6"/>
  <c r="T16" i="6"/>
  <c r="Q16" i="6"/>
  <c r="L16" i="6"/>
  <c r="I16" i="6"/>
  <c r="W15" i="6"/>
  <c r="V15" i="6"/>
  <c r="U15" i="6"/>
  <c r="T15" i="6"/>
  <c r="Q15" i="6"/>
  <c r="I15" i="6"/>
  <c r="L15" i="6" s="1"/>
  <c r="W14" i="6"/>
  <c r="V14" i="6"/>
  <c r="U14" i="6"/>
  <c r="Q14" i="6"/>
  <c r="T14" i="6" s="1"/>
  <c r="I14" i="6"/>
  <c r="L14" i="6" s="1"/>
  <c r="W13" i="6"/>
  <c r="V13" i="6"/>
  <c r="U13" i="6"/>
  <c r="Q13" i="6"/>
  <c r="T13" i="6" s="1"/>
  <c r="L13" i="6"/>
  <c r="I13" i="6"/>
  <c r="W12" i="6"/>
  <c r="V12" i="6"/>
  <c r="U12" i="6"/>
  <c r="Q12" i="6"/>
  <c r="T12" i="6" s="1"/>
  <c r="L12" i="6"/>
  <c r="I12" i="6"/>
  <c r="W11" i="6"/>
  <c r="V11" i="6"/>
  <c r="U11" i="6"/>
  <c r="Q11" i="6"/>
  <c r="T11" i="6" s="1"/>
  <c r="I11" i="6"/>
  <c r="L11" i="6" s="1"/>
  <c r="W10" i="6"/>
  <c r="V10" i="6"/>
  <c r="U10" i="6"/>
  <c r="Q10" i="6"/>
  <c r="T10" i="6" s="1"/>
  <c r="L10" i="6"/>
  <c r="I10" i="6"/>
  <c r="W9" i="6"/>
  <c r="V9" i="6"/>
  <c r="U9" i="6"/>
  <c r="T9" i="6"/>
  <c r="Q9" i="6"/>
  <c r="I9" i="6"/>
  <c r="L9" i="6" s="1"/>
  <c r="W8" i="6"/>
  <c r="V8" i="6"/>
  <c r="U8" i="6"/>
  <c r="T8" i="6"/>
  <c r="Q8" i="6"/>
  <c r="I8" i="6"/>
  <c r="L8" i="6" s="1"/>
  <c r="W7" i="6"/>
  <c r="V7" i="6"/>
  <c r="U7" i="6"/>
  <c r="T7" i="6"/>
  <c r="Q7" i="6"/>
  <c r="I7" i="6"/>
  <c r="L7" i="6" s="1"/>
  <c r="W6" i="6"/>
  <c r="V6" i="6"/>
  <c r="U6" i="6"/>
  <c r="T6" i="6"/>
  <c r="Q6" i="6"/>
  <c r="I6" i="6"/>
  <c r="L6" i="6" s="1"/>
  <c r="W5" i="6"/>
  <c r="V5" i="6"/>
  <c r="U5" i="6"/>
  <c r="T5" i="6"/>
  <c r="Q5" i="6"/>
  <c r="L5" i="6"/>
  <c r="I5" i="6"/>
  <c r="W4" i="6"/>
  <c r="AH32" i="6" s="1"/>
  <c r="V4" i="6"/>
  <c r="U4" i="6"/>
  <c r="Q4" i="6"/>
  <c r="T4" i="6" s="1"/>
  <c r="AC32" i="6" s="1"/>
  <c r="I4" i="6"/>
  <c r="L4" i="6" s="1"/>
  <c r="W3" i="6"/>
  <c r="V3" i="6"/>
  <c r="AG31" i="6" s="1"/>
  <c r="U3" i="6"/>
  <c r="AE31" i="6" s="1"/>
  <c r="AF31" i="6" s="1"/>
  <c r="Q3" i="6"/>
  <c r="T3" i="6" s="1"/>
  <c r="L3" i="6"/>
  <c r="I3" i="6"/>
  <c r="W2" i="6"/>
  <c r="V2" i="6"/>
  <c r="U2" i="6"/>
  <c r="T2" i="6"/>
  <c r="Q2" i="6"/>
  <c r="L2" i="6"/>
  <c r="I2" i="6"/>
  <c r="AN21" i="13"/>
  <c r="AM21" i="13"/>
  <c r="AK21" i="13"/>
  <c r="AI21" i="13"/>
  <c r="AH21" i="13"/>
  <c r="AG21" i="13"/>
  <c r="AE21" i="13"/>
  <c r="AF21" i="13" s="1"/>
  <c r="AD21" i="13"/>
  <c r="AM20" i="13"/>
  <c r="AN20" i="13" s="1"/>
  <c r="AI20" i="13"/>
  <c r="AG20" i="13"/>
  <c r="AH20" i="13" s="1"/>
  <c r="AE20" i="13"/>
  <c r="AF20" i="13" s="1"/>
  <c r="A20" i="13"/>
  <c r="AD20" i="13" s="1"/>
  <c r="AN19" i="13"/>
  <c r="AM19" i="13"/>
  <c r="AI19" i="13"/>
  <c r="AG19" i="13"/>
  <c r="AH19" i="13" s="1"/>
  <c r="AE19" i="13"/>
  <c r="AF19" i="13" s="1"/>
  <c r="A19" i="13"/>
  <c r="AD19" i="13" s="1"/>
  <c r="AM18" i="13"/>
  <c r="AN18" i="13" s="1"/>
  <c r="AI18" i="13"/>
  <c r="AG18" i="13"/>
  <c r="AH18" i="13" s="1"/>
  <c r="AE18" i="13"/>
  <c r="AF18" i="13" s="1"/>
  <c r="AD18" i="13"/>
  <c r="A18" i="13"/>
  <c r="AM17" i="13"/>
  <c r="AN17" i="13" s="1"/>
  <c r="AI17" i="13"/>
  <c r="AG17" i="13"/>
  <c r="AH17" i="13" s="1"/>
  <c r="AE17" i="13"/>
  <c r="AF17" i="13" s="1"/>
  <c r="A17" i="13"/>
  <c r="AD17" i="13" s="1"/>
  <c r="AM16" i="13"/>
  <c r="AN16" i="13" s="1"/>
  <c r="AI16" i="13"/>
  <c r="AK16" i="13" s="1"/>
  <c r="AG16" i="13"/>
  <c r="AH16" i="13" s="1"/>
  <c r="AE16" i="13"/>
  <c r="AF16" i="13" s="1"/>
  <c r="A16" i="13"/>
  <c r="AD16" i="13" s="1"/>
  <c r="AM15" i="13"/>
  <c r="AN15" i="13" s="1"/>
  <c r="AI15" i="13"/>
  <c r="AG15" i="13"/>
  <c r="AH15" i="13" s="1"/>
  <c r="AE15" i="13"/>
  <c r="AF15" i="13" s="1"/>
  <c r="A15" i="13"/>
  <c r="AD15" i="13" s="1"/>
  <c r="AN14" i="13"/>
  <c r="AM14" i="13"/>
  <c r="AI14" i="13"/>
  <c r="AG14" i="13"/>
  <c r="AH14" i="13" s="1"/>
  <c r="AF14" i="13"/>
  <c r="AE14" i="13"/>
  <c r="A14" i="13"/>
  <c r="AD14" i="13" s="1"/>
  <c r="AN13" i="13"/>
  <c r="AM13" i="13"/>
  <c r="AI13" i="13"/>
  <c r="AH13" i="13"/>
  <c r="AG13" i="13"/>
  <c r="AE13" i="13"/>
  <c r="AF13" i="13" s="1"/>
  <c r="A13" i="13"/>
  <c r="AD13" i="13" s="1"/>
  <c r="AM12" i="13"/>
  <c r="AN12" i="13" s="1"/>
  <c r="AI12" i="13"/>
  <c r="AH12" i="13"/>
  <c r="AG12" i="13"/>
  <c r="AE12" i="13"/>
  <c r="AF12" i="13" s="1"/>
  <c r="A12" i="13"/>
  <c r="AD12" i="13" s="1"/>
  <c r="AM11" i="13"/>
  <c r="AN11" i="13" s="1"/>
  <c r="AI11" i="13"/>
  <c r="AG11" i="13"/>
  <c r="AH11" i="13" s="1"/>
  <c r="AE11" i="13"/>
  <c r="AF11" i="13" s="1"/>
  <c r="A11" i="13"/>
  <c r="AD11" i="13" s="1"/>
  <c r="AM10" i="13"/>
  <c r="AN10" i="13" s="1"/>
  <c r="AK10" i="13"/>
  <c r="AI10" i="13"/>
  <c r="AG10" i="13"/>
  <c r="AH10" i="13" s="1"/>
  <c r="AF10" i="13"/>
  <c r="AE10" i="13"/>
  <c r="AD10" i="13"/>
  <c r="A10" i="13"/>
  <c r="AN9" i="13"/>
  <c r="AM9" i="13"/>
  <c r="AI9" i="13"/>
  <c r="AG9" i="13"/>
  <c r="AH9" i="13" s="1"/>
  <c r="AE9" i="13"/>
  <c r="AF9" i="13" s="1"/>
  <c r="A9" i="13"/>
  <c r="AD9" i="13" s="1"/>
  <c r="AN8" i="13"/>
  <c r="AM8" i="13"/>
  <c r="AI8" i="13"/>
  <c r="AG8" i="13"/>
  <c r="AH8" i="13" s="1"/>
  <c r="AE8" i="13"/>
  <c r="AF8" i="13" s="1"/>
  <c r="A8" i="13"/>
  <c r="AD8" i="13" s="1"/>
  <c r="AM7" i="13"/>
  <c r="AN7" i="13" s="1"/>
  <c r="AI7" i="13"/>
  <c r="AG7" i="13"/>
  <c r="AH7" i="13" s="1"/>
  <c r="AE7" i="13"/>
  <c r="AF7" i="13" s="1"/>
  <c r="AD7" i="13"/>
  <c r="A7" i="13"/>
  <c r="AM6" i="13"/>
  <c r="AN6" i="13" s="1"/>
  <c r="AI6" i="13"/>
  <c r="AH6" i="13"/>
  <c r="AG6" i="13"/>
  <c r="AE6" i="13"/>
  <c r="AF6" i="13" s="1"/>
  <c r="AD6" i="13"/>
  <c r="A6" i="13"/>
  <c r="AM5" i="13"/>
  <c r="AN5" i="13" s="1"/>
  <c r="AI5" i="13"/>
  <c r="AG5" i="13"/>
  <c r="AH5" i="13" s="1"/>
  <c r="AF5" i="13"/>
  <c r="AE5" i="13"/>
  <c r="A5" i="13"/>
  <c r="AD5" i="13" s="1"/>
  <c r="AM4" i="13"/>
  <c r="AN4" i="13" s="1"/>
  <c r="AJ4" i="13"/>
  <c r="AK9" i="13" s="1"/>
  <c r="AI4" i="13"/>
  <c r="AG4" i="13"/>
  <c r="AH4" i="13" s="1"/>
  <c r="AE4" i="13"/>
  <c r="AF4" i="13" s="1"/>
  <c r="AB4" i="13"/>
  <c r="AA4" i="13"/>
  <c r="Z4" i="13"/>
  <c r="Y4" i="13"/>
  <c r="X4" i="13"/>
  <c r="A4" i="13"/>
  <c r="AD4" i="13" s="1"/>
  <c r="AK14" i="13" l="1"/>
  <c r="AK12" i="13"/>
  <c r="AK8" i="13"/>
  <c r="AK5" i="13"/>
  <c r="AK4" i="13"/>
  <c r="AK19" i="13"/>
  <c r="AA30" i="6"/>
  <c r="Z30" i="6" s="1"/>
  <c r="AA28" i="6"/>
  <c r="Z28" i="6" s="1"/>
  <c r="AC31" i="6"/>
  <c r="AC30" i="6"/>
  <c r="AB32" i="6"/>
  <c r="AD32" i="6"/>
  <c r="AA31" i="6"/>
  <c r="Z31" i="6" s="1"/>
  <c r="AK18" i="13"/>
  <c r="AE28" i="6"/>
  <c r="AF28" i="6" s="1"/>
  <c r="AH28" i="6"/>
  <c r="AK6" i="13"/>
  <c r="AG28" i="6"/>
  <c r="AK15" i="13"/>
  <c r="AC28" i="6"/>
  <c r="AK13" i="13"/>
  <c r="AH29" i="6"/>
  <c r="AC29" i="6"/>
  <c r="AK11" i="13"/>
  <c r="AA29" i="6"/>
  <c r="Z29" i="6" s="1"/>
  <c r="Y27" i="6"/>
  <c r="AE29" i="6"/>
  <c r="AF29" i="6" s="1"/>
  <c r="AG29" i="6"/>
  <c r="AK20" i="13"/>
  <c r="AK17" i="13"/>
  <c r="AK7" i="13"/>
  <c r="AA32" i="6"/>
  <c r="Z32" i="6" s="1"/>
  <c r="Y33" i="6"/>
  <c r="AE30" i="6"/>
  <c r="AF30" i="6" s="1"/>
  <c r="J23" i="21"/>
  <c r="I23" i="21"/>
  <c r="K16" i="21"/>
  <c r="K17" i="21" s="1"/>
  <c r="K18" i="21" s="1"/>
  <c r="K21" i="21" s="1"/>
  <c r="K23" i="21" s="1"/>
  <c r="M21" i="21" l="1"/>
  <c r="M23" i="21"/>
  <c r="AA33" i="6"/>
  <c r="Z33" i="6" s="1"/>
  <c r="Y34" i="6"/>
  <c r="AG33" i="6"/>
  <c r="AE33" i="6"/>
  <c r="AF33" i="6" s="1"/>
  <c r="AH33" i="6"/>
  <c r="AC33" i="6"/>
  <c r="AA27" i="6"/>
  <c r="Z27" i="6" s="1"/>
  <c r="AH27" i="6"/>
  <c r="AC27" i="6"/>
  <c r="AE27" i="6"/>
  <c r="AF27" i="6" s="1"/>
  <c r="AG27" i="6"/>
  <c r="Y26" i="6"/>
  <c r="AD29" i="6"/>
  <c r="AB29" i="6"/>
  <c r="AB28" i="6"/>
  <c r="AD28" i="6"/>
  <c r="AB30" i="6"/>
  <c r="AD30" i="6"/>
  <c r="AD31" i="6"/>
  <c r="AB31" i="6"/>
  <c r="AE26" i="6" l="1"/>
  <c r="AF26" i="6" s="1"/>
  <c r="Y25" i="6"/>
  <c r="AA26" i="6"/>
  <c r="Z26" i="6" s="1"/>
  <c r="AH26" i="6"/>
  <c r="AG26" i="6"/>
  <c r="AC26" i="6"/>
  <c r="AB27" i="6"/>
  <c r="AD27" i="6"/>
  <c r="AD33" i="6"/>
  <c r="AB33" i="6"/>
  <c r="AH34" i="6"/>
  <c r="AA34" i="6"/>
  <c r="Z34" i="6" s="1"/>
  <c r="AE34" i="6"/>
  <c r="AF34" i="6" s="1"/>
  <c r="AC34" i="6"/>
  <c r="AG34" i="6"/>
  <c r="Y35" i="6"/>
  <c r="AE35" i="6" l="1"/>
  <c r="AF35" i="6" s="1"/>
  <c r="Y36" i="6"/>
  <c r="AG35" i="6"/>
  <c r="AC35" i="6"/>
  <c r="AH35" i="6"/>
  <c r="AA35" i="6"/>
  <c r="Z35" i="6" s="1"/>
  <c r="AD34" i="6"/>
  <c r="AB34" i="6"/>
  <c r="AD26" i="6"/>
  <c r="AB26" i="6"/>
  <c r="AG25" i="6"/>
  <c r="Y24" i="6"/>
  <c r="AC25" i="6"/>
  <c r="AA25" i="6"/>
  <c r="Z25" i="6" s="1"/>
  <c r="AE25" i="6"/>
  <c r="AF25" i="6" s="1"/>
  <c r="AH25" i="6"/>
  <c r="AH24" i="6" l="1"/>
  <c r="AG24" i="6"/>
  <c r="AA24" i="6"/>
  <c r="Z24" i="6" s="1"/>
  <c r="Y23" i="6"/>
  <c r="AE24" i="6"/>
  <c r="AF24" i="6" s="1"/>
  <c r="AC24" i="6"/>
  <c r="AD25" i="6"/>
  <c r="AB25" i="6"/>
  <c r="AB35" i="6"/>
  <c r="AD35" i="6"/>
  <c r="Y37" i="6"/>
  <c r="AE36" i="6"/>
  <c r="AF36" i="6" s="1"/>
  <c r="AH36" i="6"/>
  <c r="AA36" i="6"/>
  <c r="Z36" i="6" s="1"/>
  <c r="AG36" i="6"/>
  <c r="AC36" i="6"/>
  <c r="AD36" i="6" l="1"/>
  <c r="AB36" i="6"/>
  <c r="Y38" i="6"/>
  <c r="AG37" i="6"/>
  <c r="AE37" i="6"/>
  <c r="AF37" i="6" s="1"/>
  <c r="AA37" i="6"/>
  <c r="Z37" i="6" s="1"/>
  <c r="AC37" i="6"/>
  <c r="AH37" i="6"/>
  <c r="AD24" i="6"/>
  <c r="AB24" i="6"/>
  <c r="AA23" i="6"/>
  <c r="Z23" i="6" s="1"/>
  <c r="Y22" i="6"/>
  <c r="AG23" i="6"/>
  <c r="AC23" i="6"/>
  <c r="AH23" i="6"/>
  <c r="AE23" i="6"/>
  <c r="AF23" i="6" s="1"/>
  <c r="AB23" i="6" l="1"/>
  <c r="AD23" i="6"/>
  <c r="AA22" i="6"/>
  <c r="Z22" i="6" s="1"/>
  <c r="AE22" i="6"/>
  <c r="AF22" i="6" s="1"/>
  <c r="AC22" i="6"/>
  <c r="Y21" i="6"/>
  <c r="AH22" i="6"/>
  <c r="AG22" i="6"/>
  <c r="AD37" i="6"/>
  <c r="AB37" i="6"/>
  <c r="AH38" i="6"/>
  <c r="AA38" i="6"/>
  <c r="Z38" i="6" s="1"/>
  <c r="Y39" i="6"/>
  <c r="AG38" i="6"/>
  <c r="AE38" i="6"/>
  <c r="AF38" i="6" s="1"/>
  <c r="AC38" i="6"/>
  <c r="AB38" i="6" l="1"/>
  <c r="AD38" i="6"/>
  <c r="AE39" i="6"/>
  <c r="AF39" i="6" s="1"/>
  <c r="Y40" i="6"/>
  <c r="AG39" i="6"/>
  <c r="AA39" i="6"/>
  <c r="Z39" i="6" s="1"/>
  <c r="AH39" i="6"/>
  <c r="AC39" i="6"/>
  <c r="AG21" i="6"/>
  <c r="AH21" i="6"/>
  <c r="Y20" i="6"/>
  <c r="AE21" i="6"/>
  <c r="AF21" i="6" s="1"/>
  <c r="AC21" i="6"/>
  <c r="AA21" i="6"/>
  <c r="Z21" i="6" s="1"/>
  <c r="AB22" i="6"/>
  <c r="AD22" i="6"/>
  <c r="AD21" i="6" l="1"/>
  <c r="AB21" i="6"/>
  <c r="AH20" i="6"/>
  <c r="AG20" i="6"/>
  <c r="Y19" i="6"/>
  <c r="AE20" i="6"/>
  <c r="AF20" i="6" s="1"/>
  <c r="AC20" i="6"/>
  <c r="AA20" i="6"/>
  <c r="Z20" i="6" s="1"/>
  <c r="AD39" i="6"/>
  <c r="AB39" i="6"/>
  <c r="AE40" i="6"/>
  <c r="AF40" i="6" s="1"/>
  <c r="Y41" i="6"/>
  <c r="AG40" i="6"/>
  <c r="AC40" i="6"/>
  <c r="AH40" i="6"/>
  <c r="AA40" i="6"/>
  <c r="Z40" i="6" s="1"/>
  <c r="Y42" i="6" l="1"/>
  <c r="AE41" i="6"/>
  <c r="AF41" i="6" s="1"/>
  <c r="AC41" i="6"/>
  <c r="AH41" i="6"/>
  <c r="AA41" i="6"/>
  <c r="Z41" i="6" s="1"/>
  <c r="AG41" i="6"/>
  <c r="AD40" i="6"/>
  <c r="AB40" i="6"/>
  <c r="AD20" i="6"/>
  <c r="AB20" i="6"/>
  <c r="AA19" i="6"/>
  <c r="Z19" i="6" s="1"/>
  <c r="AH19" i="6"/>
  <c r="Y18" i="6"/>
  <c r="AG19" i="6"/>
  <c r="AE19" i="6"/>
  <c r="AF19" i="6" s="1"/>
  <c r="AC19" i="6"/>
  <c r="AB19" i="6" l="1"/>
  <c r="AD19" i="6"/>
  <c r="Y17" i="6"/>
  <c r="AH18" i="6"/>
  <c r="AA18" i="6"/>
  <c r="Z18" i="6" s="1"/>
  <c r="AG18" i="6"/>
  <c r="AE18" i="6"/>
  <c r="AF18" i="6" s="1"/>
  <c r="AC18" i="6"/>
  <c r="AD41" i="6"/>
  <c r="AB41" i="6"/>
  <c r="Y43" i="6"/>
  <c r="AC42" i="6"/>
  <c r="AG42" i="6"/>
  <c r="AE42" i="6"/>
  <c r="AF42" i="6" s="1"/>
  <c r="AA42" i="6"/>
  <c r="Z42" i="6" s="1"/>
  <c r="AH42" i="6"/>
  <c r="AE43" i="6" l="1"/>
  <c r="AF43" i="6" s="1"/>
  <c r="AC43" i="6"/>
  <c r="AA43" i="6"/>
  <c r="Z43" i="6" s="1"/>
  <c r="Y44" i="6"/>
  <c r="AH43" i="6"/>
  <c r="AG43" i="6"/>
  <c r="AD42" i="6"/>
  <c r="AB42" i="6"/>
  <c r="AC17" i="6"/>
  <c r="AG17" i="6"/>
  <c r="AH17" i="6"/>
  <c r="AE17" i="6"/>
  <c r="AF17" i="6" s="1"/>
  <c r="Y16" i="6"/>
  <c r="AA17" i="6"/>
  <c r="Z17" i="6" s="1"/>
  <c r="AB18" i="6"/>
  <c r="AD18" i="6"/>
  <c r="AH16" i="6" l="1"/>
  <c r="AE16" i="6"/>
  <c r="AF16" i="6" s="1"/>
  <c r="AG16" i="6"/>
  <c r="AC16" i="6"/>
  <c r="AA16" i="6"/>
  <c r="Z16" i="6" s="1"/>
  <c r="Y15" i="6"/>
  <c r="AD17" i="6"/>
  <c r="AB17" i="6"/>
  <c r="AE44" i="6"/>
  <c r="AF44" i="6" s="1"/>
  <c r="AA44" i="6"/>
  <c r="Z44" i="6" s="1"/>
  <c r="Y45" i="6"/>
  <c r="AH44" i="6"/>
  <c r="AG44" i="6"/>
  <c r="AC44" i="6"/>
  <c r="AB43" i="6"/>
  <c r="AD43" i="6"/>
  <c r="AB44" i="6" l="1"/>
  <c r="AD44" i="6"/>
  <c r="AE45" i="6"/>
  <c r="AF45" i="6" s="1"/>
  <c r="Y46" i="6"/>
  <c r="AC45" i="6"/>
  <c r="AA45" i="6"/>
  <c r="Z45" i="6" s="1"/>
  <c r="AH45" i="6"/>
  <c r="AG45" i="6"/>
  <c r="Y14" i="6"/>
  <c r="AE15" i="6"/>
  <c r="AF15" i="6" s="1"/>
  <c r="AH15" i="6"/>
  <c r="AG15" i="6"/>
  <c r="AC15" i="6"/>
  <c r="AA15" i="6"/>
  <c r="Z15" i="6" s="1"/>
  <c r="AB16" i="6"/>
  <c r="AD16" i="6"/>
  <c r="AD15" i="6" l="1"/>
  <c r="AB15" i="6"/>
  <c r="Y13" i="6"/>
  <c r="AH14" i="6"/>
  <c r="AG14" i="6"/>
  <c r="AE14" i="6"/>
  <c r="AF14" i="6" s="1"/>
  <c r="AC14" i="6"/>
  <c r="AA14" i="6"/>
  <c r="Z14" i="6" s="1"/>
  <c r="AD45" i="6"/>
  <c r="AB45" i="6"/>
  <c r="Y47" i="6"/>
  <c r="AE46" i="6"/>
  <c r="AF46" i="6" s="1"/>
  <c r="AC46" i="6"/>
  <c r="AA46" i="6"/>
  <c r="Z46" i="6" s="1"/>
  <c r="AH46" i="6"/>
  <c r="AG46" i="6"/>
  <c r="AD46" i="6" l="1"/>
  <c r="AB46" i="6"/>
  <c r="AG47" i="6"/>
  <c r="Y48" i="6"/>
  <c r="AE47" i="6"/>
  <c r="AF47" i="6" s="1"/>
  <c r="AC47" i="6"/>
  <c r="AA47" i="6"/>
  <c r="Z47" i="6" s="1"/>
  <c r="AH47" i="6"/>
  <c r="AD14" i="6"/>
  <c r="AB14" i="6"/>
  <c r="AC13" i="6"/>
  <c r="AH13" i="6"/>
  <c r="AE13" i="6"/>
  <c r="AF13" i="6" s="1"/>
  <c r="Y12" i="6"/>
  <c r="AG13" i="6"/>
  <c r="AA13" i="6"/>
  <c r="Z13" i="6" s="1"/>
  <c r="AE12" i="6" l="1"/>
  <c r="AF12" i="6" s="1"/>
  <c r="AC12" i="6"/>
  <c r="AA12" i="6"/>
  <c r="Z12" i="6" s="1"/>
  <c r="AH12" i="6"/>
  <c r="AG12" i="6"/>
  <c r="Y11" i="6"/>
  <c r="AD13" i="6"/>
  <c r="AB13" i="6"/>
  <c r="AC48" i="6"/>
  <c r="AH48" i="6"/>
  <c r="AE48" i="6"/>
  <c r="AF48" i="6" s="1"/>
  <c r="Y49" i="6"/>
  <c r="AG48" i="6"/>
  <c r="AA48" i="6"/>
  <c r="Z48" i="6" s="1"/>
  <c r="AD47" i="6"/>
  <c r="AB47" i="6"/>
  <c r="AD48" i="6" l="1"/>
  <c r="AB48" i="6"/>
  <c r="AA49" i="6"/>
  <c r="Z49" i="6" s="1"/>
  <c r="AC49" i="6"/>
  <c r="AH49" i="6"/>
  <c r="AG49" i="6"/>
  <c r="AE49" i="6"/>
  <c r="AF49" i="6" s="1"/>
  <c r="Y50" i="6"/>
  <c r="AE11" i="6"/>
  <c r="AF11" i="6" s="1"/>
  <c r="Y10" i="6"/>
  <c r="AH11" i="6"/>
  <c r="AG11" i="6"/>
  <c r="AC11" i="6"/>
  <c r="AA11" i="6"/>
  <c r="Z11" i="6" s="1"/>
  <c r="AD12" i="6"/>
  <c r="AB12" i="6"/>
  <c r="Y9" i="6" l="1"/>
  <c r="AH10" i="6"/>
  <c r="AG10" i="6"/>
  <c r="AE10" i="6"/>
  <c r="AF10" i="6" s="1"/>
  <c r="AC10" i="6"/>
  <c r="AA10" i="6"/>
  <c r="Z10" i="6" s="1"/>
  <c r="AD11" i="6"/>
  <c r="AB11" i="6"/>
  <c r="AE50" i="6"/>
  <c r="AF50" i="6" s="1"/>
  <c r="AC50" i="6"/>
  <c r="AA50" i="6"/>
  <c r="Z50" i="6" s="1"/>
  <c r="Y51" i="6"/>
  <c r="AG50" i="6"/>
  <c r="AH50" i="6"/>
  <c r="AD49" i="6"/>
  <c r="AB49" i="6"/>
  <c r="AB50" i="6" l="1"/>
  <c r="AD50" i="6"/>
  <c r="AG51" i="6"/>
  <c r="AE51" i="6"/>
  <c r="AF51" i="6" s="1"/>
  <c r="AA51" i="6"/>
  <c r="Z51" i="6" s="1"/>
  <c r="Y52" i="6"/>
  <c r="AH51" i="6"/>
  <c r="AC51" i="6"/>
  <c r="AB10" i="6"/>
  <c r="AD10" i="6"/>
  <c r="AE9" i="6"/>
  <c r="AF9" i="6" s="1"/>
  <c r="Y8" i="6"/>
  <c r="AH9" i="6"/>
  <c r="AG9" i="6"/>
  <c r="AC9" i="6"/>
  <c r="AA9" i="6"/>
  <c r="Z9" i="6" s="1"/>
  <c r="AD9" i="6" l="1"/>
  <c r="AB9" i="6"/>
  <c r="AG8" i="6"/>
  <c r="AE8" i="6"/>
  <c r="AF8" i="6" s="1"/>
  <c r="AC8" i="6"/>
  <c r="AH8" i="6"/>
  <c r="AA8" i="6"/>
  <c r="Z8" i="6" s="1"/>
  <c r="Y7" i="6"/>
  <c r="AD51" i="6"/>
  <c r="AB51" i="6"/>
  <c r="AA52" i="6"/>
  <c r="Z52" i="6" s="1"/>
  <c r="AG52" i="6"/>
  <c r="AE52" i="6"/>
  <c r="AF52" i="6" s="1"/>
  <c r="Y53" i="6"/>
  <c r="AH52" i="6"/>
  <c r="AC52" i="6"/>
  <c r="AD52" i="6" l="1"/>
  <c r="AB52" i="6"/>
  <c r="AA53" i="6"/>
  <c r="Z53" i="6" s="1"/>
  <c r="Y54" i="6"/>
  <c r="AG53" i="6"/>
  <c r="AE53" i="6"/>
  <c r="AF53" i="6" s="1"/>
  <c r="AC53" i="6"/>
  <c r="AH53" i="6"/>
  <c r="AE7" i="6"/>
  <c r="AF7" i="6" s="1"/>
  <c r="AA7" i="6"/>
  <c r="Z7" i="6" s="1"/>
  <c r="Y6" i="6"/>
  <c r="AG7" i="6"/>
  <c r="AH7" i="6"/>
  <c r="AC7" i="6"/>
  <c r="AD8" i="6"/>
  <c r="AB8" i="6"/>
  <c r="Y5" i="6" l="1"/>
  <c r="AH6" i="6"/>
  <c r="AG6" i="6"/>
  <c r="AE6" i="6"/>
  <c r="AF6" i="6" s="1"/>
  <c r="AC6" i="6"/>
  <c r="AA6" i="6"/>
  <c r="Z6" i="6" s="1"/>
  <c r="AD7" i="6"/>
  <c r="AB7" i="6"/>
  <c r="AB53" i="6"/>
  <c r="AD53" i="6"/>
  <c r="AH54" i="6"/>
  <c r="AE54" i="6"/>
  <c r="AF54" i="6" s="1"/>
  <c r="AA54" i="6"/>
  <c r="Z54" i="6" s="1"/>
  <c r="Y55" i="6"/>
  <c r="AG54" i="6"/>
  <c r="AC54" i="6"/>
  <c r="AH55" i="6" l="1"/>
  <c r="AG55" i="6"/>
  <c r="Y56" i="6"/>
  <c r="AE55" i="6"/>
  <c r="AF55" i="6" s="1"/>
  <c r="AC55" i="6"/>
  <c r="AA55" i="6"/>
  <c r="Z55" i="6" s="1"/>
  <c r="AD54" i="6"/>
  <c r="AB54" i="6"/>
  <c r="AB6" i="6"/>
  <c r="AD6" i="6"/>
  <c r="AE5" i="6"/>
  <c r="AF5" i="6" s="1"/>
  <c r="Y4" i="6"/>
  <c r="AH5" i="6"/>
  <c r="AC5" i="6"/>
  <c r="AG5" i="6"/>
  <c r="AA5" i="6"/>
  <c r="Z5" i="6" s="1"/>
  <c r="AD5" i="6" l="1"/>
  <c r="AB5" i="6"/>
  <c r="AE4" i="6"/>
  <c r="AF4" i="6" s="1"/>
  <c r="AH4" i="6"/>
  <c r="AG4" i="6"/>
  <c r="AC4" i="6"/>
  <c r="AA4" i="6"/>
  <c r="Z4" i="6" s="1"/>
  <c r="Y3" i="6"/>
  <c r="AD55" i="6"/>
  <c r="AB55" i="6"/>
  <c r="AH56" i="6"/>
  <c r="AG56" i="6"/>
  <c r="AE56" i="6"/>
  <c r="AF56" i="6" s="1"/>
  <c r="AC56" i="6"/>
  <c r="Y57" i="6"/>
  <c r="AA56" i="6"/>
  <c r="Z56" i="6" s="1"/>
  <c r="AB56" i="6" l="1"/>
  <c r="AD56" i="6"/>
  <c r="AE57" i="6"/>
  <c r="AF57" i="6" s="1"/>
  <c r="AA57" i="6"/>
  <c r="Z57" i="6" s="1"/>
  <c r="Y58" i="6"/>
  <c r="AH57" i="6"/>
  <c r="AG57" i="6"/>
  <c r="AC57" i="6"/>
  <c r="AE3" i="6"/>
  <c r="AF3" i="6" s="1"/>
  <c r="AC3" i="6"/>
  <c r="Y2" i="6"/>
  <c r="AH3" i="6"/>
  <c r="AG3" i="6"/>
  <c r="AA3" i="6"/>
  <c r="Z3" i="6" s="1"/>
  <c r="AB4" i="6"/>
  <c r="AD4" i="6"/>
  <c r="AH2" i="6" l="1"/>
  <c r="AC2" i="6"/>
  <c r="AG2" i="6"/>
  <c r="AE2" i="6"/>
  <c r="AF2" i="6" s="1"/>
  <c r="AA2" i="6"/>
  <c r="Z2" i="6" s="1"/>
  <c r="AB3" i="6"/>
  <c r="AD3" i="6"/>
  <c r="AB57" i="6"/>
  <c r="AD57" i="6"/>
  <c r="Y59" i="6"/>
  <c r="AC58" i="6"/>
  <c r="AA58" i="6"/>
  <c r="Z58" i="6" s="1"/>
  <c r="AH58" i="6"/>
  <c r="AG58" i="6"/>
  <c r="AE58" i="6"/>
  <c r="AF58" i="6" s="1"/>
  <c r="AB58" i="6" l="1"/>
  <c r="AD58" i="6"/>
  <c r="AE59" i="6"/>
  <c r="AF59" i="6" s="1"/>
  <c r="AA59" i="6"/>
  <c r="Z59" i="6" s="1"/>
  <c r="Y60" i="6"/>
  <c r="AG59" i="6"/>
  <c r="AH59" i="6"/>
  <c r="AC59" i="6"/>
  <c r="AD2" i="6"/>
  <c r="AB2" i="6"/>
  <c r="AD59" i="6" l="1"/>
  <c r="AB59" i="6"/>
  <c r="AH60" i="6"/>
  <c r="AC60" i="6"/>
  <c r="AA60" i="6"/>
  <c r="Z60" i="6" s="1"/>
  <c r="AG60" i="6"/>
  <c r="Y61" i="6"/>
  <c r="AE60" i="6"/>
  <c r="AF60" i="6" s="1"/>
  <c r="AH61" i="6" l="1"/>
  <c r="AG61" i="6"/>
  <c r="AA61" i="6"/>
  <c r="Z61" i="6" s="1"/>
  <c r="AE61" i="6"/>
  <c r="AF61" i="6" s="1"/>
  <c r="AC61" i="6"/>
  <c r="Y62" i="6"/>
  <c r="AB60" i="6"/>
  <c r="AD60" i="6"/>
  <c r="AE62" i="6" l="1"/>
  <c r="AF62" i="6" s="1"/>
  <c r="AC62" i="6"/>
  <c r="AA62" i="6"/>
  <c r="Z62" i="6" s="1"/>
  <c r="Y63" i="6"/>
  <c r="AH62" i="6"/>
  <c r="AG62" i="6"/>
  <c r="AD61" i="6"/>
  <c r="AB61" i="6"/>
  <c r="AC63" i="6" l="1"/>
  <c r="AA63" i="6"/>
  <c r="Z63" i="6" s="1"/>
  <c r="AG63" i="6"/>
  <c r="AE63" i="6"/>
  <c r="AF63" i="6" s="1"/>
  <c r="Y64" i="6"/>
  <c r="AH63" i="6"/>
  <c r="AD62" i="6"/>
  <c r="AB62" i="6"/>
  <c r="AH64" i="6" l="1"/>
  <c r="AA64" i="6"/>
  <c r="Z64" i="6" s="1"/>
  <c r="Y65" i="6"/>
  <c r="AC64" i="6"/>
  <c r="AE64" i="6"/>
  <c r="AF64" i="6" s="1"/>
  <c r="AG64" i="6"/>
  <c r="AB63" i="6"/>
  <c r="AD63" i="6"/>
  <c r="AB64" i="6" l="1"/>
  <c r="AD64" i="6"/>
  <c r="AC65" i="6"/>
  <c r="AE65" i="6"/>
  <c r="AF65" i="6" s="1"/>
  <c r="AH65" i="6"/>
  <c r="AG65" i="6"/>
  <c r="Y66" i="6"/>
  <c r="AA65" i="6"/>
  <c r="Z65" i="6" s="1"/>
  <c r="AC66" i="6" l="1"/>
  <c r="AA66" i="6"/>
  <c r="Z66" i="6" s="1"/>
  <c r="AH66" i="6"/>
  <c r="AG66" i="6"/>
  <c r="AE66" i="6"/>
  <c r="AF66" i="6" s="1"/>
  <c r="Y67" i="6"/>
  <c r="AD65" i="6"/>
  <c r="AB65" i="6"/>
  <c r="AG67" i="6" l="1"/>
  <c r="AH67" i="6"/>
  <c r="AC67" i="6"/>
  <c r="AA67" i="6"/>
  <c r="Z67" i="6" s="1"/>
  <c r="Y68" i="6"/>
  <c r="AE67" i="6"/>
  <c r="AF67" i="6" s="1"/>
  <c r="AB66" i="6"/>
  <c r="AD66" i="6"/>
  <c r="AE68" i="6" l="1"/>
  <c r="AF68" i="6" s="1"/>
  <c r="Y69" i="6"/>
  <c r="AH68" i="6"/>
  <c r="AG68" i="6"/>
  <c r="AC68" i="6"/>
  <c r="AA68" i="6"/>
  <c r="Z68" i="6" s="1"/>
  <c r="AD67" i="6"/>
  <c r="AB67" i="6"/>
  <c r="AB68" i="6" l="1"/>
  <c r="AD68" i="6"/>
  <c r="AC69" i="6"/>
  <c r="AE69" i="6"/>
  <c r="AF69" i="6" s="1"/>
  <c r="AA69" i="6"/>
  <c r="Z69" i="6" s="1"/>
  <c r="Y70" i="6"/>
  <c r="AH69" i="6"/>
  <c r="AG69" i="6"/>
  <c r="AG70" i="6" l="1"/>
  <c r="Y71" i="6"/>
  <c r="AA70" i="6"/>
  <c r="Z70" i="6" s="1"/>
  <c r="AH70" i="6"/>
  <c r="AE70" i="6"/>
  <c r="AF70" i="6" s="1"/>
  <c r="AC70" i="6"/>
  <c r="AD69" i="6"/>
  <c r="AB69" i="6"/>
  <c r="AD70" i="6" l="1"/>
  <c r="AB70" i="6"/>
  <c r="AA71" i="6"/>
  <c r="Z71" i="6" s="1"/>
  <c r="AE71" i="6"/>
  <c r="AF71" i="6" s="1"/>
  <c r="Y72" i="6"/>
  <c r="AH71" i="6"/>
  <c r="AG71" i="6"/>
  <c r="AC71" i="6"/>
  <c r="AD71" i="6" l="1"/>
  <c r="AB71" i="6"/>
  <c r="AC72" i="6"/>
  <c r="AH72" i="6"/>
  <c r="AG72" i="6"/>
  <c r="AE72" i="6"/>
  <c r="AF72" i="6" s="1"/>
  <c r="AA72" i="6"/>
  <c r="Z72" i="6" s="1"/>
  <c r="Y73" i="6"/>
  <c r="AH73" i="6" l="1"/>
  <c r="Y74" i="6"/>
  <c r="AG73" i="6"/>
  <c r="AE73" i="6"/>
  <c r="AF73" i="6" s="1"/>
  <c r="AC73" i="6"/>
  <c r="AA73" i="6"/>
  <c r="Z73" i="6" s="1"/>
  <c r="AD72" i="6"/>
  <c r="AB72" i="6"/>
  <c r="AD73" i="6" l="1"/>
  <c r="AB73" i="6"/>
  <c r="AH74" i="6"/>
  <c r="AG74" i="6"/>
  <c r="Y75" i="6"/>
  <c r="AE74" i="6"/>
  <c r="AF74" i="6" s="1"/>
  <c r="AC74" i="6"/>
  <c r="AA74" i="6"/>
  <c r="Z74" i="6" s="1"/>
  <c r="AD74" i="6" l="1"/>
  <c r="AB74" i="6"/>
  <c r="Y76" i="6"/>
  <c r="AA75" i="6"/>
  <c r="Z75" i="6" s="1"/>
  <c r="AH75" i="6"/>
  <c r="AG75" i="6"/>
  <c r="AE75" i="6"/>
  <c r="AF75" i="6" s="1"/>
  <c r="AC75" i="6"/>
  <c r="AB75" i="6" l="1"/>
  <c r="AD75" i="6"/>
  <c r="AH76" i="6"/>
  <c r="AE76" i="6"/>
  <c r="AF76" i="6" s="1"/>
  <c r="AC76" i="6"/>
  <c r="Y77" i="6"/>
  <c r="AG76" i="6"/>
  <c r="AA76" i="6"/>
  <c r="Z76" i="6" s="1"/>
  <c r="AH77" i="6" l="1"/>
  <c r="AG77" i="6"/>
  <c r="Y78" i="6"/>
  <c r="AC77" i="6"/>
  <c r="AA77" i="6"/>
  <c r="Z77" i="6" s="1"/>
  <c r="AE77" i="6"/>
  <c r="AF77" i="6" s="1"/>
  <c r="AD76" i="6"/>
  <c r="AB76" i="6"/>
  <c r="AD77" i="6" l="1"/>
  <c r="AB77" i="6"/>
  <c r="Y79" i="6"/>
  <c r="AH78" i="6"/>
  <c r="AG78" i="6"/>
  <c r="AE78" i="6"/>
  <c r="AF78" i="6" s="1"/>
  <c r="AC78" i="6"/>
  <c r="AA78" i="6"/>
  <c r="Z78" i="6" s="1"/>
  <c r="AD78" i="6" l="1"/>
  <c r="AB78" i="6"/>
  <c r="AE79" i="6"/>
  <c r="AF79" i="6" s="1"/>
  <c r="AC79" i="6"/>
  <c r="AG79" i="6"/>
  <c r="Y80" i="6"/>
  <c r="AH79" i="6"/>
  <c r="AA79" i="6"/>
  <c r="Z79" i="6" s="1"/>
  <c r="AH80" i="6" l="1"/>
  <c r="AG80" i="6"/>
  <c r="Y81" i="6"/>
  <c r="AE80" i="6"/>
  <c r="AF80" i="6" s="1"/>
  <c r="AC80" i="6"/>
  <c r="AA80" i="6"/>
  <c r="Z80" i="6" s="1"/>
  <c r="AD79" i="6"/>
  <c r="AB79" i="6"/>
  <c r="AB80" i="6" l="1"/>
  <c r="AD80" i="6"/>
  <c r="Y82" i="6"/>
  <c r="AH81" i="6"/>
  <c r="AG81" i="6"/>
  <c r="AE81" i="6"/>
  <c r="AF81" i="6" s="1"/>
  <c r="AC81" i="6"/>
  <c r="AA81" i="6"/>
  <c r="Z81" i="6" s="1"/>
  <c r="AD81" i="6" l="1"/>
  <c r="AB81" i="6"/>
  <c r="AE82" i="6"/>
  <c r="AF82" i="6" s="1"/>
  <c r="AC82" i="6"/>
  <c r="Y83" i="6"/>
  <c r="AH82" i="6"/>
  <c r="AG82" i="6"/>
  <c r="AA82" i="6"/>
  <c r="Z82" i="6" s="1"/>
  <c r="AH83" i="6" l="1"/>
  <c r="AG83" i="6"/>
  <c r="Y84" i="6"/>
  <c r="AE83" i="6"/>
  <c r="AF83" i="6" s="1"/>
  <c r="AC83" i="6"/>
  <c r="AA83" i="6"/>
  <c r="Z83" i="6" s="1"/>
  <c r="AD82" i="6"/>
  <c r="AB82" i="6"/>
  <c r="AD83" i="6" l="1"/>
  <c r="AB83" i="6"/>
  <c r="Y85" i="6"/>
  <c r="AH84" i="6"/>
  <c r="AE84" i="6"/>
  <c r="AF84" i="6" s="1"/>
  <c r="AC84" i="6"/>
  <c r="AA84" i="6"/>
  <c r="Z84" i="6" s="1"/>
  <c r="AG84" i="6"/>
  <c r="AD84" i="6" l="1"/>
  <c r="AB84" i="6"/>
  <c r="AH85" i="6"/>
  <c r="AE85" i="6"/>
  <c r="AF85" i="6" s="1"/>
  <c r="Y86" i="6"/>
  <c r="AG85" i="6"/>
  <c r="AC85" i="6"/>
  <c r="AA85" i="6"/>
  <c r="Z85" i="6" s="1"/>
  <c r="AB85" i="6" l="1"/>
  <c r="AD85" i="6"/>
  <c r="AH86" i="6"/>
  <c r="AG86" i="6"/>
  <c r="AE86" i="6"/>
  <c r="AF86" i="6" s="1"/>
  <c r="AC86" i="6"/>
  <c r="AA86" i="6"/>
  <c r="Z86" i="6" s="1"/>
  <c r="Y87" i="6"/>
  <c r="Y88" i="6" l="1"/>
  <c r="AH87" i="6"/>
  <c r="AG87" i="6"/>
  <c r="AE87" i="6"/>
  <c r="AF87" i="6" s="1"/>
  <c r="AC87" i="6"/>
  <c r="AA87" i="6"/>
  <c r="Z87" i="6" s="1"/>
  <c r="AD86" i="6"/>
  <c r="AB86" i="6"/>
  <c r="AB87" i="6" l="1"/>
  <c r="AD87" i="6"/>
  <c r="AG88" i="6"/>
  <c r="AE88" i="6"/>
  <c r="AF88" i="6" s="1"/>
  <c r="AH88" i="6"/>
  <c r="AC88" i="6"/>
  <c r="AA88" i="6"/>
  <c r="Z88" i="6" s="1"/>
  <c r="Y89" i="6"/>
  <c r="AH89" i="6" l="1"/>
  <c r="AG89" i="6"/>
  <c r="Y90" i="6"/>
  <c r="AE89" i="6"/>
  <c r="AF89" i="6" s="1"/>
  <c r="AC89" i="6"/>
  <c r="AA89" i="6"/>
  <c r="Z89" i="6" s="1"/>
  <c r="AD88" i="6"/>
  <c r="AB88" i="6"/>
  <c r="AD89" i="6" l="1"/>
  <c r="AB89" i="6"/>
  <c r="AH90" i="6"/>
  <c r="AC90" i="6"/>
  <c r="AA90" i="6"/>
  <c r="Z90" i="6" s="1"/>
  <c r="Y91" i="6"/>
  <c r="AE90" i="6"/>
  <c r="AF90" i="6" s="1"/>
  <c r="AG90" i="6"/>
  <c r="AG91" i="6" l="1"/>
  <c r="AE91" i="6"/>
  <c r="AF91" i="6" s="1"/>
  <c r="Y92" i="6"/>
  <c r="AH91" i="6"/>
  <c r="AC91" i="6"/>
  <c r="AA91" i="6"/>
  <c r="Z91" i="6" s="1"/>
  <c r="AD90" i="6"/>
  <c r="AB90" i="6"/>
  <c r="AD91" i="6" l="1"/>
  <c r="AB91" i="6"/>
  <c r="AH92" i="6"/>
  <c r="AG92" i="6"/>
  <c r="Y93" i="6"/>
  <c r="AE92" i="6"/>
  <c r="AF92" i="6" s="1"/>
  <c r="AC92" i="6"/>
  <c r="AA92" i="6"/>
  <c r="Z92" i="6" s="1"/>
  <c r="AD92" i="6" l="1"/>
  <c r="AB92" i="6"/>
  <c r="Y94" i="6"/>
  <c r="AH93" i="6"/>
  <c r="AG93" i="6"/>
  <c r="AE93" i="6"/>
  <c r="AF93" i="6" s="1"/>
  <c r="AC93" i="6"/>
  <c r="AA93" i="6"/>
  <c r="Z93" i="6" s="1"/>
  <c r="AD93" i="6" l="1"/>
  <c r="AB93" i="6"/>
  <c r="AG94" i="6"/>
  <c r="AE94" i="6"/>
  <c r="AF94" i="6" s="1"/>
  <c r="AC94" i="6"/>
  <c r="AA94" i="6"/>
  <c r="Z94" i="6" s="1"/>
  <c r="Y95" i="6"/>
  <c r="AH94" i="6"/>
  <c r="AH95" i="6" l="1"/>
  <c r="AG95" i="6"/>
  <c r="Y96" i="6"/>
  <c r="AE95" i="6"/>
  <c r="AF95" i="6" s="1"/>
  <c r="AC95" i="6"/>
  <c r="AA95" i="6"/>
  <c r="Z95" i="6" s="1"/>
  <c r="AB94" i="6"/>
  <c r="AD94" i="6"/>
  <c r="AD95" i="6" l="1"/>
  <c r="AB95" i="6"/>
  <c r="Y97" i="6"/>
  <c r="AH96" i="6"/>
  <c r="AG96" i="6"/>
  <c r="AE96" i="6"/>
  <c r="AF96" i="6" s="1"/>
  <c r="AC96" i="6"/>
  <c r="AA96" i="6"/>
  <c r="Z96" i="6" s="1"/>
  <c r="AD96" i="6" l="1"/>
  <c r="AB96" i="6"/>
  <c r="AG97" i="6"/>
  <c r="AE97" i="6"/>
  <c r="AF97" i="6" s="1"/>
  <c r="AA97" i="6"/>
  <c r="Z97" i="6" s="1"/>
  <c r="Y98" i="6"/>
  <c r="AH97" i="6"/>
  <c r="AC97" i="6"/>
  <c r="AD97" i="6" l="1"/>
  <c r="AB97" i="6"/>
  <c r="AH98" i="6"/>
  <c r="AG98" i="6"/>
  <c r="AA98" i="6"/>
  <c r="Z98" i="6" s="1"/>
  <c r="Y99" i="6"/>
  <c r="AE98" i="6"/>
  <c r="AF98" i="6" s="1"/>
  <c r="AC98" i="6"/>
  <c r="AH99" i="6" l="1"/>
  <c r="AC99" i="6"/>
  <c r="Y100" i="6"/>
  <c r="AG99" i="6"/>
  <c r="AE99" i="6"/>
  <c r="AF99" i="6" s="1"/>
  <c r="AA99" i="6"/>
  <c r="Z99" i="6" s="1"/>
  <c r="AB98" i="6"/>
  <c r="AD98" i="6"/>
  <c r="AG100" i="6" l="1"/>
  <c r="AE100" i="6"/>
  <c r="AF100" i="6" s="1"/>
  <c r="AA100" i="6"/>
  <c r="Z100" i="6" s="1"/>
  <c r="Y101" i="6"/>
  <c r="AH100" i="6"/>
  <c r="AC100" i="6"/>
  <c r="AB99" i="6"/>
  <c r="AD99" i="6"/>
  <c r="AD100" i="6" l="1"/>
  <c r="AB100" i="6"/>
  <c r="AH101" i="6"/>
  <c r="AG101" i="6"/>
  <c r="Y102" i="6"/>
  <c r="AE101" i="6"/>
  <c r="AF101" i="6" s="1"/>
  <c r="AC101" i="6"/>
  <c r="AA101" i="6"/>
  <c r="Z101" i="6" s="1"/>
  <c r="AD101" i="6" l="1"/>
  <c r="AB101" i="6"/>
  <c r="AC102" i="6"/>
  <c r="AA102" i="6"/>
  <c r="Z102" i="6" s="1"/>
  <c r="AH102" i="6"/>
  <c r="Y103" i="6"/>
  <c r="AG102" i="6"/>
  <c r="AE102" i="6"/>
  <c r="AF102" i="6" s="1"/>
  <c r="AG103" i="6" l="1"/>
  <c r="AE103" i="6"/>
  <c r="AF103" i="6" s="1"/>
  <c r="AA103" i="6"/>
  <c r="Z103" i="6" s="1"/>
  <c r="Y104" i="6"/>
  <c r="AH103" i="6"/>
  <c r="AC103" i="6"/>
  <c r="AB102" i="6"/>
  <c r="AD102" i="6"/>
  <c r="AD103" i="6" l="1"/>
  <c r="AB103" i="6"/>
  <c r="AH104" i="6"/>
  <c r="Y105" i="6"/>
  <c r="AG104" i="6"/>
  <c r="AE104" i="6"/>
  <c r="AF104" i="6" s="1"/>
  <c r="AC104" i="6"/>
  <c r="AA104" i="6"/>
  <c r="Z104" i="6" s="1"/>
  <c r="AD104" i="6" l="1"/>
  <c r="AB104" i="6"/>
  <c r="AC105" i="6"/>
  <c r="Y106" i="6"/>
  <c r="AH105" i="6"/>
  <c r="AG105" i="6"/>
  <c r="AE105" i="6"/>
  <c r="AF105" i="6" s="1"/>
  <c r="AA105" i="6"/>
  <c r="Z105" i="6" s="1"/>
  <c r="AD105" i="6" l="1"/>
  <c r="AB105" i="6"/>
  <c r="AG106" i="6"/>
  <c r="AE106" i="6"/>
  <c r="AF106" i="6" s="1"/>
  <c r="AA106" i="6"/>
  <c r="Z106" i="6" s="1"/>
  <c r="Y107" i="6"/>
  <c r="AC106" i="6"/>
  <c r="AH106" i="6"/>
  <c r="AB106" i="6" l="1"/>
  <c r="AD106" i="6"/>
  <c r="Y108" i="6"/>
  <c r="AH107" i="6"/>
  <c r="AG107" i="6"/>
  <c r="AE107" i="6"/>
  <c r="AF107" i="6" s="1"/>
  <c r="AC107" i="6"/>
  <c r="AA107" i="6"/>
  <c r="Z107" i="6" s="1"/>
  <c r="AD107" i="6" l="1"/>
  <c r="AB107" i="6"/>
  <c r="Y109" i="6"/>
  <c r="AH108" i="6"/>
  <c r="AG108" i="6"/>
  <c r="AE108" i="6"/>
  <c r="AF108" i="6" s="1"/>
  <c r="AC108" i="6"/>
  <c r="AA108" i="6"/>
  <c r="Z108" i="6" s="1"/>
  <c r="AB108" i="6" l="1"/>
  <c r="AD108" i="6"/>
  <c r="AG109" i="6"/>
  <c r="AE109" i="6"/>
  <c r="AF109" i="6" s="1"/>
  <c r="AA109" i="6"/>
  <c r="Z109" i="6" s="1"/>
  <c r="Y110" i="6"/>
  <c r="AH109" i="6"/>
  <c r="AC109" i="6"/>
  <c r="AD109" i="6" l="1"/>
  <c r="AB109" i="6"/>
  <c r="Y111" i="6"/>
  <c r="AH110" i="6"/>
  <c r="AA110" i="6"/>
  <c r="Z110" i="6" s="1"/>
  <c r="AG110" i="6"/>
  <c r="AE110" i="6"/>
  <c r="AF110" i="6" s="1"/>
  <c r="AC110" i="6"/>
  <c r="AD110" i="6" l="1"/>
  <c r="AB110" i="6"/>
  <c r="Y112" i="6"/>
  <c r="AH111" i="6"/>
  <c r="AG111" i="6"/>
  <c r="AA111" i="6"/>
  <c r="Z111" i="6" s="1"/>
  <c r="AE111" i="6"/>
  <c r="AF111" i="6" s="1"/>
  <c r="AC111" i="6"/>
  <c r="AD111" i="6" l="1"/>
  <c r="AB111" i="6"/>
  <c r="AG112" i="6"/>
  <c r="AE112" i="6"/>
  <c r="AF112" i="6" s="1"/>
  <c r="AA112" i="6"/>
  <c r="Z112" i="6" s="1"/>
  <c r="Y113" i="6"/>
  <c r="AH112" i="6"/>
  <c r="AC112" i="6"/>
  <c r="AD112" i="6" l="1"/>
  <c r="AB112" i="6"/>
  <c r="AH113" i="6"/>
  <c r="Y114" i="6"/>
  <c r="AG113" i="6"/>
  <c r="AE113" i="6"/>
  <c r="AF113" i="6" s="1"/>
  <c r="AC113" i="6"/>
  <c r="AA113" i="6"/>
  <c r="Z113" i="6" s="1"/>
  <c r="AB113" i="6" l="1"/>
  <c r="AD113" i="6"/>
  <c r="AE114" i="6"/>
  <c r="AF114" i="6" s="1"/>
  <c r="AC114" i="6"/>
  <c r="AA114" i="6"/>
  <c r="Z114" i="6" s="1"/>
  <c r="Y115" i="6"/>
  <c r="AH114" i="6"/>
  <c r="AG114" i="6"/>
  <c r="AG115" i="6" l="1"/>
  <c r="AE115" i="6"/>
  <c r="AF115" i="6" s="1"/>
  <c r="AA115" i="6"/>
  <c r="Z115" i="6" s="1"/>
  <c r="Y116" i="6"/>
  <c r="AH115" i="6"/>
  <c r="AC115" i="6"/>
  <c r="AD114" i="6"/>
  <c r="AB114" i="6"/>
  <c r="AB115" i="6" l="1"/>
  <c r="AD115" i="6"/>
  <c r="Y117" i="6"/>
  <c r="AH116" i="6"/>
  <c r="AG116" i="6"/>
  <c r="AE116" i="6"/>
  <c r="AF116" i="6" s="1"/>
  <c r="AC116" i="6"/>
  <c r="AA116" i="6"/>
  <c r="Z116" i="6" s="1"/>
  <c r="AD116" i="6" l="1"/>
  <c r="AB116" i="6"/>
  <c r="AG117" i="6"/>
  <c r="Y118" i="6"/>
  <c r="AH117" i="6"/>
  <c r="AE117" i="6"/>
  <c r="AF117" i="6" s="1"/>
  <c r="AC117" i="6"/>
  <c r="AA117" i="6"/>
  <c r="Z117" i="6" s="1"/>
  <c r="AD117" i="6" l="1"/>
  <c r="AB117" i="6"/>
  <c r="AH118" i="6"/>
  <c r="AG118" i="6"/>
  <c r="AE118" i="6"/>
  <c r="AF118" i="6" s="1"/>
  <c r="AA118" i="6"/>
  <c r="Z118" i="6" s="1"/>
  <c r="Y119" i="6"/>
  <c r="AC118" i="6"/>
  <c r="AD118" i="6" l="1"/>
  <c r="AB118" i="6"/>
  <c r="Y120" i="6"/>
  <c r="AA119" i="6"/>
  <c r="Z119" i="6" s="1"/>
  <c r="AG119" i="6"/>
  <c r="AH119" i="6"/>
  <c r="AE119" i="6"/>
  <c r="AF119" i="6" s="1"/>
  <c r="AC119" i="6"/>
  <c r="AD119" i="6" l="1"/>
  <c r="AB119" i="6"/>
  <c r="AG120" i="6"/>
  <c r="Y121" i="6"/>
  <c r="AH120" i="6"/>
  <c r="AE120" i="6"/>
  <c r="AF120" i="6" s="1"/>
  <c r="AC120" i="6"/>
  <c r="AA120" i="6"/>
  <c r="Z120" i="6" s="1"/>
  <c r="AD120" i="6" l="1"/>
  <c r="AB120" i="6"/>
  <c r="AH121" i="6"/>
  <c r="AG121" i="6"/>
  <c r="AE121" i="6"/>
  <c r="AF121" i="6" s="1"/>
  <c r="AA121" i="6"/>
  <c r="Z121" i="6" s="1"/>
  <c r="Y122" i="6"/>
  <c r="AC121" i="6"/>
  <c r="AD121" i="6" l="1"/>
  <c r="AB121" i="6"/>
  <c r="Y123" i="6"/>
  <c r="AH122" i="6"/>
  <c r="AG122" i="6"/>
  <c r="AE122" i="6"/>
  <c r="AF122" i="6" s="1"/>
  <c r="AC122" i="6"/>
  <c r="AA122" i="6"/>
  <c r="Z122" i="6" s="1"/>
  <c r="AB122" i="6" l="1"/>
  <c r="AD122" i="6"/>
  <c r="AG123" i="6"/>
  <c r="AE123" i="6"/>
  <c r="AF123" i="6" s="1"/>
  <c r="AC123" i="6"/>
  <c r="AA123" i="6"/>
  <c r="Z123" i="6" s="1"/>
  <c r="Y124" i="6"/>
  <c r="AH123" i="6"/>
  <c r="AH124" i="6" l="1"/>
  <c r="AG124" i="6"/>
  <c r="AE124" i="6"/>
  <c r="AF124" i="6" s="1"/>
  <c r="AA124" i="6"/>
  <c r="Z124" i="6" s="1"/>
  <c r="AC124" i="6"/>
  <c r="Y125" i="6"/>
  <c r="AD123" i="6"/>
  <c r="AB123" i="6"/>
  <c r="Y126" i="6" l="1"/>
  <c r="AH125" i="6"/>
  <c r="AG125" i="6"/>
  <c r="AE125" i="6"/>
  <c r="AF125" i="6" s="1"/>
  <c r="AC125" i="6"/>
  <c r="AA125" i="6"/>
  <c r="Z125" i="6" s="1"/>
  <c r="AD124" i="6"/>
  <c r="AB124" i="6"/>
  <c r="AD125" i="6" l="1"/>
  <c r="AB125" i="6"/>
  <c r="AG126" i="6"/>
  <c r="Y127" i="6"/>
  <c r="AH126" i="6"/>
  <c r="AE126" i="6"/>
  <c r="AF126" i="6" s="1"/>
  <c r="AC126" i="6"/>
  <c r="AA126" i="6"/>
  <c r="Z126" i="6" s="1"/>
  <c r="AD126" i="6" l="1"/>
  <c r="AB126" i="6"/>
  <c r="AH127" i="6"/>
  <c r="Y128" i="6"/>
  <c r="AG127" i="6"/>
  <c r="AE127" i="6"/>
  <c r="AF127" i="6" s="1"/>
  <c r="AA127" i="6"/>
  <c r="Z127" i="6" s="1"/>
  <c r="AC127" i="6"/>
  <c r="AB127" i="6" l="1"/>
  <c r="AD127" i="6"/>
  <c r="Y129" i="6"/>
  <c r="AC128" i="6"/>
  <c r="AA128" i="6"/>
  <c r="Z128" i="6" s="1"/>
  <c r="AH128" i="6"/>
  <c r="AG128" i="6"/>
  <c r="AE128" i="6"/>
  <c r="AF128" i="6" s="1"/>
  <c r="AD128" i="6" l="1"/>
  <c r="AB128" i="6"/>
  <c r="AG129" i="6"/>
  <c r="Y130" i="6"/>
  <c r="AH129" i="6"/>
  <c r="AA129" i="6"/>
  <c r="Z129" i="6" s="1"/>
  <c r="AE129" i="6"/>
  <c r="AF129" i="6" s="1"/>
  <c r="AC129" i="6"/>
  <c r="AD129" i="6" l="1"/>
  <c r="AB129" i="6"/>
  <c r="Y131" i="6"/>
  <c r="AH130" i="6"/>
  <c r="AG130" i="6"/>
  <c r="AE130" i="6"/>
  <c r="AF130" i="6" s="1"/>
  <c r="AC130" i="6"/>
  <c r="AA130" i="6"/>
  <c r="Z130" i="6" s="1"/>
  <c r="AB130" i="6" l="1"/>
  <c r="AD130" i="6"/>
  <c r="Y132" i="6"/>
  <c r="AH131" i="6"/>
  <c r="AG131" i="6"/>
  <c r="AE131" i="6"/>
  <c r="AF131" i="6" s="1"/>
  <c r="AC131" i="6"/>
  <c r="AA131" i="6"/>
  <c r="Z131" i="6" s="1"/>
  <c r="AD131" i="6" l="1"/>
  <c r="AB131" i="6"/>
  <c r="AH132" i="6"/>
  <c r="AG132" i="6"/>
  <c r="Y133" i="6"/>
  <c r="AE132" i="6"/>
  <c r="AF132" i="6" s="1"/>
  <c r="AC132" i="6"/>
  <c r="AA132" i="6"/>
  <c r="Z132" i="6" s="1"/>
  <c r="AD132" i="6" l="1"/>
  <c r="AB132" i="6"/>
  <c r="Y134" i="6"/>
  <c r="AH133" i="6"/>
  <c r="AG133" i="6"/>
  <c r="AE133" i="6"/>
  <c r="AF133" i="6" s="1"/>
  <c r="AC133" i="6"/>
  <c r="AA133" i="6"/>
  <c r="Z133" i="6" s="1"/>
  <c r="AD133" i="6" l="1"/>
  <c r="AB133" i="6"/>
  <c r="Y135" i="6"/>
  <c r="AH134" i="6"/>
  <c r="AG134" i="6"/>
  <c r="AE134" i="6"/>
  <c r="AF134" i="6" s="1"/>
  <c r="AA134" i="6"/>
  <c r="Z134" i="6" s="1"/>
  <c r="AC134" i="6"/>
  <c r="AD134" i="6" l="1"/>
  <c r="AB134" i="6"/>
  <c r="AH135" i="6"/>
  <c r="Y136" i="6"/>
  <c r="AG135" i="6"/>
  <c r="AE135" i="6"/>
  <c r="AF135" i="6" s="1"/>
  <c r="AC135" i="6"/>
  <c r="AA135" i="6"/>
  <c r="Z135" i="6" s="1"/>
  <c r="AD135" i="6" l="1"/>
  <c r="AB135" i="6"/>
  <c r="Y137" i="6"/>
  <c r="AH136" i="6"/>
  <c r="AG136" i="6"/>
  <c r="AC136" i="6"/>
  <c r="AE136" i="6"/>
  <c r="AF136" i="6" s="1"/>
  <c r="AA136" i="6"/>
  <c r="Z136" i="6" s="1"/>
  <c r="AB136" i="6" l="1"/>
  <c r="AD136" i="6"/>
  <c r="Y138" i="6"/>
  <c r="AE137" i="6"/>
  <c r="AF137" i="6" s="1"/>
  <c r="AC137" i="6"/>
  <c r="AA137" i="6"/>
  <c r="Z137" i="6" s="1"/>
  <c r="AH137" i="6"/>
  <c r="AG137" i="6"/>
  <c r="AD137" i="6" l="1"/>
  <c r="AB137" i="6"/>
  <c r="AH138" i="6"/>
  <c r="AE138" i="6"/>
  <c r="AF138" i="6" s="1"/>
  <c r="AC138" i="6"/>
  <c r="Y139" i="6"/>
  <c r="AG138" i="6"/>
  <c r="AA138" i="6"/>
  <c r="Z138" i="6" s="1"/>
  <c r="Y140" i="6" l="1"/>
  <c r="AH139" i="6"/>
  <c r="AG139" i="6"/>
  <c r="AC139" i="6"/>
  <c r="AE139" i="6"/>
  <c r="AF139" i="6" s="1"/>
  <c r="AA139" i="6"/>
  <c r="Z139" i="6" s="1"/>
  <c r="AD138" i="6"/>
  <c r="AB138" i="6"/>
  <c r="AD139" i="6" l="1"/>
  <c r="AB139" i="6"/>
  <c r="Y141" i="6"/>
  <c r="AH140" i="6"/>
  <c r="AG140" i="6"/>
  <c r="AE140" i="6"/>
  <c r="AF140" i="6" s="1"/>
  <c r="AC140" i="6"/>
  <c r="AA140" i="6"/>
  <c r="Z140" i="6" s="1"/>
  <c r="AD140" i="6" l="1"/>
  <c r="AB140" i="6"/>
  <c r="AH141" i="6"/>
  <c r="Y142" i="6"/>
  <c r="AE141" i="6"/>
  <c r="AF141" i="6" s="1"/>
  <c r="AC141" i="6"/>
  <c r="AG141" i="6"/>
  <c r="AA141" i="6"/>
  <c r="Z141" i="6" s="1"/>
  <c r="AB141" i="6" l="1"/>
  <c r="AD141" i="6"/>
  <c r="Y143" i="6"/>
  <c r="AH142" i="6"/>
  <c r="AG142" i="6"/>
  <c r="AC142" i="6"/>
  <c r="AA142" i="6"/>
  <c r="Z142" i="6" s="1"/>
  <c r="AE142" i="6"/>
  <c r="AF142" i="6" s="1"/>
  <c r="AD142" i="6" l="1"/>
  <c r="AB142" i="6"/>
  <c r="Y144" i="6"/>
  <c r="AH143" i="6"/>
  <c r="AG143" i="6"/>
  <c r="AC143" i="6"/>
  <c r="AE143" i="6"/>
  <c r="AF143" i="6" s="1"/>
  <c r="AA143" i="6"/>
  <c r="Z143" i="6" s="1"/>
  <c r="AB143" i="6" l="1"/>
  <c r="AD143" i="6"/>
  <c r="Y145" i="6"/>
  <c r="AH144" i="6"/>
  <c r="AE144" i="6"/>
  <c r="AF144" i="6" s="1"/>
  <c r="AC144" i="6"/>
  <c r="AA144" i="6"/>
  <c r="Z144" i="6" s="1"/>
  <c r="AG144" i="6"/>
  <c r="AD144" i="6" l="1"/>
  <c r="AB144" i="6"/>
  <c r="Y146" i="6"/>
  <c r="AH145" i="6"/>
  <c r="AG145" i="6"/>
  <c r="AC145" i="6"/>
  <c r="AE145" i="6"/>
  <c r="AF145" i="6" s="1"/>
  <c r="AA145" i="6"/>
  <c r="Z145" i="6" s="1"/>
  <c r="AD145" i="6" l="1"/>
  <c r="AB145" i="6"/>
  <c r="AH146" i="6"/>
  <c r="Y147" i="6"/>
  <c r="AG146" i="6"/>
  <c r="AE146" i="6"/>
  <c r="AF146" i="6" s="1"/>
  <c r="AC146" i="6"/>
  <c r="AA146" i="6"/>
  <c r="Z146" i="6" s="1"/>
  <c r="AD146" i="6" l="1"/>
  <c r="AB146" i="6"/>
  <c r="Y148" i="6"/>
  <c r="AH147" i="6"/>
  <c r="AC147" i="6"/>
  <c r="AA147" i="6"/>
  <c r="Z147" i="6" s="1"/>
  <c r="AE147" i="6"/>
  <c r="AF147" i="6" s="1"/>
  <c r="AG147" i="6"/>
  <c r="AD147" i="6" l="1"/>
  <c r="AB147" i="6"/>
  <c r="Y149" i="6"/>
  <c r="AH148" i="6"/>
  <c r="AG148" i="6"/>
  <c r="AC148" i="6"/>
  <c r="AA148" i="6"/>
  <c r="Z148" i="6" s="1"/>
  <c r="AE148" i="6"/>
  <c r="AF148" i="6" s="1"/>
  <c r="AB148" i="6" l="1"/>
  <c r="AD148" i="6"/>
  <c r="Y150" i="6"/>
  <c r="AH149" i="6"/>
  <c r="AG149" i="6"/>
  <c r="AE149" i="6"/>
  <c r="AF149" i="6" s="1"/>
  <c r="AC149" i="6"/>
  <c r="AA149" i="6"/>
  <c r="Z149" i="6" s="1"/>
  <c r="AD149" i="6" l="1"/>
  <c r="AB149" i="6"/>
  <c r="Y151" i="6"/>
  <c r="AH150" i="6"/>
  <c r="AA150" i="6"/>
  <c r="Z150" i="6" s="1"/>
  <c r="AG150" i="6"/>
  <c r="AE150" i="6"/>
  <c r="AF150" i="6" s="1"/>
  <c r="AC150" i="6"/>
  <c r="AB150" i="6" l="1"/>
  <c r="AD150" i="6"/>
  <c r="Y152" i="6"/>
  <c r="AH151" i="6"/>
  <c r="AG151" i="6"/>
  <c r="AC151" i="6"/>
  <c r="AE151" i="6"/>
  <c r="AF151" i="6" s="1"/>
  <c r="AA151" i="6"/>
  <c r="Z151" i="6" s="1"/>
  <c r="AD151" i="6" l="1"/>
  <c r="AB151" i="6"/>
  <c r="Y153" i="6"/>
  <c r="AC152" i="6"/>
  <c r="AA152" i="6"/>
  <c r="Z152" i="6" s="1"/>
  <c r="AH152" i="6"/>
  <c r="AE152" i="6"/>
  <c r="AF152" i="6" s="1"/>
  <c r="AG152" i="6"/>
  <c r="AD152" i="6" l="1"/>
  <c r="AB152" i="6"/>
  <c r="Y154" i="6"/>
  <c r="AH153" i="6"/>
  <c r="AC153" i="6"/>
  <c r="AA153" i="6"/>
  <c r="Z153" i="6" s="1"/>
  <c r="AE153" i="6"/>
  <c r="AF153" i="6" s="1"/>
  <c r="AG153" i="6"/>
  <c r="AD153" i="6" l="1"/>
  <c r="AB153" i="6"/>
  <c r="Y155" i="6"/>
  <c r="AH154" i="6"/>
  <c r="AG154" i="6"/>
  <c r="AC154" i="6"/>
  <c r="AE154" i="6"/>
  <c r="AF154" i="6" s="1"/>
  <c r="AA154" i="6"/>
  <c r="Z154" i="6" s="1"/>
  <c r="AD154" i="6" l="1"/>
  <c r="AB154" i="6"/>
  <c r="AH155" i="6"/>
  <c r="Y156" i="6"/>
  <c r="AG155" i="6"/>
  <c r="AE155" i="6"/>
  <c r="AF155" i="6" s="1"/>
  <c r="AC155" i="6"/>
  <c r="AA155" i="6"/>
  <c r="Z155" i="6" s="1"/>
  <c r="AB155" i="6" l="1"/>
  <c r="AD155" i="6"/>
  <c r="Y157" i="6"/>
  <c r="AH156" i="6"/>
  <c r="AC156" i="6"/>
  <c r="AA156" i="6"/>
  <c r="Z156" i="6" s="1"/>
  <c r="AG156" i="6"/>
  <c r="AE156" i="6"/>
  <c r="AF156" i="6" s="1"/>
  <c r="AD156" i="6" l="1"/>
  <c r="AB156" i="6"/>
  <c r="Y158" i="6"/>
  <c r="AH157" i="6"/>
  <c r="AG157" i="6"/>
  <c r="AC157" i="6"/>
  <c r="AE157" i="6"/>
  <c r="AF157" i="6" s="1"/>
  <c r="AA157" i="6"/>
  <c r="Z157" i="6" s="1"/>
  <c r="AD157" i="6" l="1"/>
  <c r="AB157" i="6"/>
  <c r="AA158" i="6"/>
  <c r="Z158" i="6" s="1"/>
  <c r="AH158" i="6"/>
  <c r="AG158" i="6"/>
  <c r="AC158" i="6"/>
  <c r="Y159" i="6"/>
  <c r="AE158" i="6"/>
  <c r="AF158" i="6" s="1"/>
  <c r="Y160" i="6" l="1"/>
  <c r="AH159" i="6"/>
  <c r="AC159" i="6"/>
  <c r="AA159" i="6"/>
  <c r="Z159" i="6" s="1"/>
  <c r="AG159" i="6"/>
  <c r="AE159" i="6"/>
  <c r="AF159" i="6" s="1"/>
  <c r="AB158" i="6"/>
  <c r="AD158" i="6"/>
  <c r="AD159" i="6" l="1"/>
  <c r="AB159" i="6"/>
  <c r="AH160" i="6"/>
  <c r="Y161" i="6"/>
  <c r="AG160" i="6"/>
  <c r="AC160" i="6"/>
  <c r="AE160" i="6"/>
  <c r="AF160" i="6" s="1"/>
  <c r="AA160" i="6"/>
  <c r="Z160" i="6" s="1"/>
  <c r="AD160" i="6" l="1"/>
  <c r="AB160" i="6"/>
  <c r="Y162" i="6"/>
  <c r="AH161" i="6"/>
  <c r="AG161" i="6"/>
  <c r="AE161" i="6"/>
  <c r="AF161" i="6" s="1"/>
  <c r="AC161" i="6"/>
  <c r="AA161" i="6"/>
  <c r="Z161" i="6" s="1"/>
  <c r="AD161" i="6" l="1"/>
  <c r="AB161" i="6"/>
  <c r="Y163" i="6"/>
  <c r="AH162" i="6"/>
  <c r="AC162" i="6"/>
  <c r="AA162" i="6"/>
  <c r="Z162" i="6" s="1"/>
  <c r="AG162" i="6"/>
  <c r="AE162" i="6"/>
  <c r="AF162" i="6" s="1"/>
  <c r="AD162" i="6" l="1"/>
  <c r="AB162" i="6"/>
  <c r="Y164" i="6"/>
  <c r="AH163" i="6"/>
  <c r="AG163" i="6"/>
  <c r="AC163" i="6"/>
  <c r="AE163" i="6"/>
  <c r="AF163" i="6" s="1"/>
  <c r="AA163" i="6"/>
  <c r="Z163" i="6" s="1"/>
  <c r="AD163" i="6" l="1"/>
  <c r="AB163" i="6"/>
  <c r="AE164" i="6"/>
  <c r="AF164" i="6" s="1"/>
  <c r="AA164" i="6"/>
  <c r="Z164" i="6" s="1"/>
  <c r="Y165" i="6"/>
  <c r="AH164" i="6"/>
  <c r="AG164" i="6"/>
  <c r="AC164" i="6"/>
  <c r="AB164" i="6" l="1"/>
  <c r="AD164" i="6"/>
  <c r="Y166" i="6"/>
  <c r="AH165" i="6"/>
  <c r="AC165" i="6"/>
  <c r="AA165" i="6"/>
  <c r="Z165" i="6" s="1"/>
  <c r="AG165" i="6"/>
  <c r="AE165" i="6"/>
  <c r="AF165" i="6" s="1"/>
  <c r="AD165" i="6" l="1"/>
  <c r="AB165" i="6"/>
  <c r="Y167" i="6"/>
  <c r="AH166" i="6"/>
  <c r="AG166" i="6"/>
  <c r="AC166" i="6"/>
  <c r="AE166" i="6"/>
  <c r="AF166" i="6" s="1"/>
  <c r="AA166" i="6"/>
  <c r="Z166" i="6" s="1"/>
  <c r="AD166" i="6" l="1"/>
  <c r="AB166" i="6"/>
  <c r="AA167" i="6"/>
  <c r="Z167" i="6" s="1"/>
  <c r="Y168" i="6"/>
  <c r="AH167" i="6"/>
  <c r="AG167" i="6"/>
  <c r="AE167" i="6"/>
  <c r="AF167" i="6" s="1"/>
  <c r="AC167" i="6"/>
  <c r="AD167" i="6" l="1"/>
  <c r="AB167" i="6"/>
  <c r="Y169" i="6"/>
  <c r="AH168" i="6"/>
  <c r="AC168" i="6"/>
  <c r="AA168" i="6"/>
  <c r="Z168" i="6" s="1"/>
  <c r="AG168" i="6"/>
  <c r="AE168" i="6"/>
  <c r="AF168" i="6" s="1"/>
  <c r="AD168" i="6" l="1"/>
  <c r="AB168" i="6"/>
  <c r="AH169" i="6"/>
  <c r="Y170" i="6"/>
  <c r="AG169" i="6"/>
  <c r="AC169" i="6"/>
  <c r="AA169" i="6"/>
  <c r="Z169" i="6" s="1"/>
  <c r="AE169" i="6"/>
  <c r="AF169" i="6" s="1"/>
  <c r="AB169" i="6" l="1"/>
  <c r="AD169" i="6"/>
  <c r="AA170" i="6"/>
  <c r="Z170" i="6" s="1"/>
  <c r="Y171" i="6"/>
  <c r="AH170" i="6"/>
  <c r="AC170" i="6"/>
  <c r="AG170" i="6"/>
  <c r="AE170" i="6"/>
  <c r="AF170" i="6" s="1"/>
  <c r="AD170" i="6" l="1"/>
  <c r="AB170" i="6"/>
  <c r="Y172" i="6"/>
  <c r="AH171" i="6"/>
  <c r="AC171" i="6"/>
  <c r="AA171" i="6"/>
  <c r="Z171" i="6" s="1"/>
  <c r="AG171" i="6"/>
  <c r="AE171" i="6"/>
  <c r="AF171" i="6" s="1"/>
  <c r="AD171" i="6" l="1"/>
  <c r="AB171" i="6"/>
  <c r="Y173" i="6"/>
  <c r="AH172" i="6"/>
  <c r="AG172" i="6"/>
  <c r="AE172" i="6"/>
  <c r="AF172" i="6" s="1"/>
  <c r="AC172" i="6"/>
  <c r="AA172" i="6"/>
  <c r="Z172" i="6" s="1"/>
  <c r="AD172" i="6" l="1"/>
  <c r="AB172" i="6"/>
  <c r="AA173" i="6"/>
  <c r="Z173" i="6" s="1"/>
  <c r="Y174" i="6"/>
  <c r="AH173" i="6"/>
  <c r="AG173" i="6"/>
  <c r="AE173" i="6"/>
  <c r="AF173" i="6" s="1"/>
  <c r="AC173" i="6"/>
  <c r="AD173" i="6" l="1"/>
  <c r="AB173" i="6"/>
  <c r="AH174" i="6"/>
  <c r="Y175" i="6"/>
  <c r="AE174" i="6"/>
  <c r="AF174" i="6" s="1"/>
  <c r="AC174" i="6"/>
  <c r="AA174" i="6"/>
  <c r="Z174" i="6" s="1"/>
  <c r="AG174" i="6"/>
  <c r="AD174" i="6" l="1"/>
  <c r="AB174" i="6"/>
  <c r="Y176" i="6"/>
  <c r="AH175" i="6"/>
  <c r="AE175" i="6"/>
  <c r="AF175" i="6" s="1"/>
  <c r="AA175" i="6"/>
  <c r="Z175" i="6" s="1"/>
  <c r="AC175" i="6"/>
  <c r="AG175" i="6"/>
  <c r="AD175" i="6" l="1"/>
  <c r="AB175" i="6"/>
  <c r="AA176" i="6"/>
  <c r="Z176" i="6" s="1"/>
  <c r="Y177" i="6"/>
  <c r="AH176" i="6"/>
  <c r="AG176" i="6"/>
  <c r="AC176" i="6"/>
  <c r="AE176" i="6"/>
  <c r="AF176" i="6" s="1"/>
  <c r="AB176" i="6" l="1"/>
  <c r="AD176" i="6"/>
  <c r="Y178" i="6"/>
  <c r="AG177" i="6"/>
  <c r="AE177" i="6"/>
  <c r="AF177" i="6" s="1"/>
  <c r="AC177" i="6"/>
  <c r="AA177" i="6"/>
  <c r="Z177" i="6" s="1"/>
  <c r="AH177" i="6"/>
  <c r="AD177" i="6" l="1"/>
  <c r="AB177" i="6"/>
  <c r="Y179" i="6"/>
  <c r="AH178" i="6"/>
  <c r="AE178" i="6"/>
  <c r="AF178" i="6" s="1"/>
  <c r="AG178" i="6"/>
  <c r="AC178" i="6"/>
  <c r="AA178" i="6"/>
  <c r="Z178" i="6" s="1"/>
  <c r="AB178" i="6" l="1"/>
  <c r="AD178" i="6"/>
  <c r="AA179" i="6"/>
  <c r="Z179" i="6" s="1"/>
  <c r="Y180" i="6"/>
  <c r="AH179" i="6"/>
  <c r="AG179" i="6"/>
  <c r="AE179" i="6"/>
  <c r="AF179" i="6" s="1"/>
  <c r="AC179" i="6"/>
  <c r="AD179" i="6" l="1"/>
  <c r="AB179" i="6"/>
  <c r="Y181" i="6"/>
  <c r="AG180" i="6"/>
  <c r="AE180" i="6"/>
  <c r="AF180" i="6" s="1"/>
  <c r="AC180" i="6"/>
  <c r="AA180" i="6"/>
  <c r="Z180" i="6" s="1"/>
  <c r="AH180" i="6"/>
  <c r="AD180" i="6" l="1"/>
  <c r="AB180" i="6"/>
  <c r="AA181" i="6"/>
  <c r="Z181" i="6" s="1"/>
  <c r="Y182" i="6"/>
  <c r="AH181" i="6"/>
  <c r="AE181" i="6"/>
  <c r="AF181" i="6" s="1"/>
  <c r="AC181" i="6"/>
  <c r="AG181" i="6"/>
  <c r="AB181" i="6" l="1"/>
  <c r="AD181" i="6"/>
  <c r="AA182" i="6"/>
  <c r="Z182" i="6" s="1"/>
  <c r="AG182" i="6"/>
  <c r="Y183" i="6"/>
  <c r="AC182" i="6"/>
  <c r="AE182" i="6"/>
  <c r="AF182" i="6" s="1"/>
  <c r="AH182" i="6"/>
  <c r="AB182" i="6" l="1"/>
  <c r="AD182" i="6"/>
  <c r="AH183" i="6"/>
  <c r="Y184" i="6"/>
  <c r="AG183" i="6"/>
  <c r="AE183" i="6"/>
  <c r="AF183" i="6" s="1"/>
  <c r="AC183" i="6"/>
  <c r="AA183" i="6"/>
  <c r="Z183" i="6" s="1"/>
  <c r="AB183" i="6" l="1"/>
  <c r="AD183" i="6"/>
  <c r="Y185" i="6"/>
  <c r="AA184" i="6"/>
  <c r="Z184" i="6" s="1"/>
  <c r="AH184" i="6"/>
  <c r="AG184" i="6"/>
  <c r="AE184" i="6"/>
  <c r="AF184" i="6" s="1"/>
  <c r="AC184" i="6"/>
  <c r="AB184" i="6" l="1"/>
  <c r="AD184" i="6"/>
  <c r="AH185" i="6"/>
  <c r="AC185" i="6"/>
  <c r="AA185" i="6"/>
  <c r="Z185" i="6" s="1"/>
  <c r="Y186" i="6"/>
  <c r="AG185" i="6"/>
  <c r="AE185" i="6"/>
  <c r="AF185" i="6" s="1"/>
  <c r="Y187" i="6" l="1"/>
  <c r="AH186" i="6"/>
  <c r="AG186" i="6"/>
  <c r="AE186" i="6"/>
  <c r="AF186" i="6" s="1"/>
  <c r="AC186" i="6"/>
  <c r="AA186" i="6"/>
  <c r="Z186" i="6" s="1"/>
  <c r="AB185" i="6"/>
  <c r="AD185" i="6"/>
  <c r="AD186" i="6" l="1"/>
  <c r="AB186" i="6"/>
  <c r="AG187" i="6"/>
  <c r="AC187" i="6"/>
  <c r="AH187" i="6"/>
  <c r="Y188" i="6"/>
  <c r="AE187" i="6"/>
  <c r="AF187" i="6" s="1"/>
  <c r="AA187" i="6"/>
  <c r="Z187" i="6" s="1"/>
  <c r="AH188" i="6" l="1"/>
  <c r="AC188" i="6"/>
  <c r="AA188" i="6"/>
  <c r="Z188" i="6" s="1"/>
  <c r="Y189" i="6"/>
  <c r="AE188" i="6"/>
  <c r="AF188" i="6" s="1"/>
  <c r="AG188" i="6"/>
  <c r="AB187" i="6"/>
  <c r="AD187" i="6"/>
  <c r="Y190" i="6" l="1"/>
  <c r="AH189" i="6"/>
  <c r="AG189" i="6"/>
  <c r="AE189" i="6"/>
  <c r="AF189" i="6" s="1"/>
  <c r="AA189" i="6"/>
  <c r="Z189" i="6" s="1"/>
  <c r="AC189" i="6"/>
  <c r="AD188" i="6"/>
  <c r="AB188" i="6"/>
  <c r="AD189" i="6" l="1"/>
  <c r="AB189" i="6"/>
  <c r="AE190" i="6"/>
  <c r="AF190" i="6" s="1"/>
  <c r="AC190" i="6"/>
  <c r="AA190" i="6"/>
  <c r="Z190" i="6" s="1"/>
  <c r="Y191" i="6"/>
  <c r="AH190" i="6"/>
  <c r="AG190" i="6"/>
  <c r="AE191" i="6" l="1"/>
  <c r="AF191" i="6" s="1"/>
  <c r="AC191" i="6"/>
  <c r="Y192" i="6"/>
  <c r="AH191" i="6"/>
  <c r="AG191" i="6"/>
  <c r="AA191" i="6"/>
  <c r="Z191" i="6" s="1"/>
  <c r="AD190" i="6"/>
  <c r="AB190" i="6"/>
  <c r="Y193" i="6" l="1"/>
  <c r="AH192" i="6"/>
  <c r="AG192" i="6"/>
  <c r="AA192" i="6"/>
  <c r="Z192" i="6" s="1"/>
  <c r="AE192" i="6"/>
  <c r="AF192" i="6" s="1"/>
  <c r="AC192" i="6"/>
  <c r="AD191" i="6"/>
  <c r="AB191" i="6"/>
  <c r="AB192" i="6" l="1"/>
  <c r="AD192" i="6"/>
  <c r="AC193" i="6"/>
  <c r="AE193" i="6"/>
  <c r="AF193" i="6" s="1"/>
  <c r="AA193" i="6"/>
  <c r="Z193" i="6" s="1"/>
  <c r="Y194" i="6"/>
  <c r="AH193" i="6"/>
  <c r="AG193" i="6"/>
  <c r="AG194" i="6" l="1"/>
  <c r="AE194" i="6"/>
  <c r="AF194" i="6" s="1"/>
  <c r="AC194" i="6"/>
  <c r="Y195" i="6"/>
  <c r="AH194" i="6"/>
  <c r="AA194" i="6"/>
  <c r="Z194" i="6" s="1"/>
  <c r="AB193" i="6"/>
  <c r="AD193" i="6"/>
  <c r="Y196" i="6" l="1"/>
  <c r="AH195" i="6"/>
  <c r="AG195" i="6"/>
  <c r="AE195" i="6"/>
  <c r="AF195" i="6" s="1"/>
  <c r="AC195" i="6"/>
  <c r="AA195" i="6"/>
  <c r="Z195" i="6" s="1"/>
  <c r="AD194" i="6"/>
  <c r="AB194" i="6"/>
  <c r="AB195" i="6" l="1"/>
  <c r="AD195" i="6"/>
  <c r="AA196" i="6"/>
  <c r="Z196" i="6" s="1"/>
  <c r="AG196" i="6"/>
  <c r="AE196" i="6"/>
  <c r="AF196" i="6" s="1"/>
  <c r="AC196" i="6"/>
  <c r="Y197" i="6"/>
  <c r="AH196" i="6"/>
  <c r="AH197" i="6" l="1"/>
  <c r="Y198" i="6"/>
  <c r="AG197" i="6"/>
  <c r="AE197" i="6"/>
  <c r="AF197" i="6" s="1"/>
  <c r="AA197" i="6"/>
  <c r="Z197" i="6" s="1"/>
  <c r="AC197" i="6"/>
  <c r="AD196" i="6"/>
  <c r="AB196" i="6"/>
  <c r="AB197" i="6" l="1"/>
  <c r="AD197" i="6"/>
  <c r="Y199" i="6"/>
  <c r="AH198" i="6"/>
  <c r="AG198" i="6"/>
  <c r="AE198" i="6"/>
  <c r="AF198" i="6" s="1"/>
  <c r="AC198" i="6"/>
  <c r="AA198" i="6"/>
  <c r="Z198" i="6" s="1"/>
  <c r="AD198" i="6" l="1"/>
  <c r="AB198" i="6"/>
  <c r="AH199" i="6"/>
  <c r="AG199" i="6"/>
  <c r="AE199" i="6"/>
  <c r="AF199" i="6" s="1"/>
  <c r="AC199" i="6"/>
  <c r="AA199" i="6"/>
  <c r="Z199" i="6" s="1"/>
  <c r="Y200" i="6"/>
  <c r="Y201" i="6" l="1"/>
  <c r="AH200" i="6"/>
  <c r="AG200" i="6"/>
  <c r="AC200" i="6"/>
  <c r="AE200" i="6"/>
  <c r="AF200" i="6" s="1"/>
  <c r="AA200" i="6"/>
  <c r="Z200" i="6" s="1"/>
  <c r="AD199" i="6"/>
  <c r="AB199" i="6"/>
  <c r="AD200" i="6" l="1"/>
  <c r="AB200" i="6"/>
  <c r="AG201" i="6"/>
  <c r="AH201" i="6"/>
  <c r="AE201" i="6"/>
  <c r="AF201" i="6" s="1"/>
  <c r="Y202" i="6"/>
  <c r="AC201" i="6"/>
  <c r="AA201" i="6"/>
  <c r="Z201" i="6" s="1"/>
  <c r="AD201" i="6" l="1"/>
  <c r="AB201" i="6"/>
  <c r="AH202" i="6"/>
  <c r="Y203" i="6"/>
  <c r="AG202" i="6"/>
  <c r="AE202" i="6"/>
  <c r="AF202" i="6" s="1"/>
  <c r="AC202" i="6"/>
  <c r="AA202" i="6"/>
  <c r="Z202" i="6" s="1"/>
  <c r="AD202" i="6" l="1"/>
  <c r="AB202" i="6"/>
  <c r="Y204" i="6"/>
  <c r="AH203" i="6"/>
  <c r="AE203" i="6"/>
  <c r="AF203" i="6" s="1"/>
  <c r="AC203" i="6"/>
  <c r="AA203" i="6"/>
  <c r="Z203" i="6" s="1"/>
  <c r="AG203" i="6"/>
  <c r="AD203" i="6" l="1"/>
  <c r="AB203" i="6"/>
  <c r="AE204" i="6"/>
  <c r="AF204" i="6" s="1"/>
  <c r="Y205" i="6"/>
  <c r="AG204" i="6"/>
  <c r="AA204" i="6"/>
  <c r="Z204" i="6" s="1"/>
  <c r="AC204" i="6"/>
  <c r="AH204" i="6"/>
  <c r="AD204" i="6" l="1"/>
  <c r="AB204" i="6"/>
  <c r="Y206" i="6"/>
  <c r="AH205" i="6"/>
  <c r="AG205" i="6"/>
  <c r="AE205" i="6"/>
  <c r="AF205" i="6" s="1"/>
  <c r="AC205" i="6"/>
  <c r="AA205" i="6"/>
  <c r="Z205" i="6" s="1"/>
  <c r="AD205" i="6" l="1"/>
  <c r="AB205" i="6"/>
  <c r="AA206" i="6"/>
  <c r="Z206" i="6" s="1"/>
  <c r="Y207" i="6"/>
  <c r="AH206" i="6"/>
  <c r="AG206" i="6"/>
  <c r="AE206" i="6"/>
  <c r="AF206" i="6" s="1"/>
  <c r="AC206" i="6"/>
  <c r="AB206" i="6" l="1"/>
  <c r="AD206" i="6"/>
  <c r="AC207" i="6"/>
  <c r="AH207" i="6"/>
  <c r="AA207" i="6"/>
  <c r="Z207" i="6" s="1"/>
  <c r="Y208" i="6"/>
  <c r="AG207" i="6"/>
  <c r="AE207" i="6"/>
  <c r="AF207" i="6" s="1"/>
  <c r="Y209" i="6" l="1"/>
  <c r="AH208" i="6"/>
  <c r="AG208" i="6"/>
  <c r="AE208" i="6"/>
  <c r="AF208" i="6" s="1"/>
  <c r="AC208" i="6"/>
  <c r="AA208" i="6"/>
  <c r="Z208" i="6" s="1"/>
  <c r="AB207" i="6"/>
  <c r="AD207" i="6"/>
  <c r="AD208" i="6" l="1"/>
  <c r="AB208" i="6"/>
  <c r="AC209" i="6"/>
  <c r="AA209" i="6"/>
  <c r="Z209" i="6" s="1"/>
  <c r="AG209" i="6"/>
  <c r="Y210" i="6"/>
  <c r="AH209" i="6"/>
  <c r="AE209" i="6"/>
  <c r="AF209" i="6" s="1"/>
  <c r="AA210" i="6" l="1"/>
  <c r="Z210" i="6" s="1"/>
  <c r="Y211" i="6"/>
  <c r="AC210" i="6"/>
  <c r="AH210" i="6"/>
  <c r="AG210" i="6"/>
  <c r="AE210" i="6"/>
  <c r="AF210" i="6" s="1"/>
  <c r="AB209" i="6"/>
  <c r="AD209" i="6"/>
  <c r="AD210" i="6" l="1"/>
  <c r="AB210" i="6"/>
  <c r="AH211" i="6"/>
  <c r="Y212" i="6"/>
  <c r="AG211" i="6"/>
  <c r="AE211" i="6"/>
  <c r="AF211" i="6" s="1"/>
  <c r="AC211" i="6"/>
  <c r="AA211" i="6"/>
  <c r="Z211" i="6" s="1"/>
  <c r="AB211" i="6" l="1"/>
  <c r="AD211" i="6"/>
  <c r="Y213" i="6"/>
  <c r="AC212" i="6"/>
  <c r="AA212" i="6"/>
  <c r="Z212" i="6" s="1"/>
  <c r="AH212" i="6"/>
  <c r="AE212" i="6"/>
  <c r="AF212" i="6" s="1"/>
  <c r="AG212" i="6"/>
  <c r="AD212" i="6" l="1"/>
  <c r="AB212" i="6"/>
  <c r="AH213" i="6"/>
  <c r="AE213" i="6"/>
  <c r="AF213" i="6" s="1"/>
  <c r="AC213" i="6"/>
  <c r="AA213" i="6"/>
  <c r="Z213" i="6" s="1"/>
  <c r="Y214" i="6"/>
  <c r="AG213" i="6"/>
  <c r="Y215" i="6" l="1"/>
  <c r="AH214" i="6"/>
  <c r="AG214" i="6"/>
  <c r="AE214" i="6"/>
  <c r="AF214" i="6" s="1"/>
  <c r="AC214" i="6"/>
  <c r="AA214" i="6"/>
  <c r="Z214" i="6" s="1"/>
  <c r="AD213" i="6"/>
  <c r="AB213" i="6"/>
  <c r="AD214" i="6" l="1"/>
  <c r="AB214" i="6"/>
  <c r="AG215" i="6"/>
  <c r="AE215" i="6"/>
  <c r="AF215" i="6" s="1"/>
  <c r="AC215" i="6"/>
  <c r="AA215" i="6"/>
  <c r="Z215" i="6" s="1"/>
  <c r="Y216" i="6"/>
  <c r="AH215" i="6"/>
  <c r="AH216" i="6" l="1"/>
  <c r="AE216" i="6"/>
  <c r="AF216" i="6" s="1"/>
  <c r="AC216" i="6"/>
  <c r="Y217" i="6"/>
  <c r="AG216" i="6"/>
  <c r="AA216" i="6"/>
  <c r="Z216" i="6" s="1"/>
  <c r="AD215" i="6"/>
  <c r="AB215" i="6"/>
  <c r="Y218" i="6" l="1"/>
  <c r="AH217" i="6"/>
  <c r="AG217" i="6"/>
  <c r="AE217" i="6"/>
  <c r="AF217" i="6" s="1"/>
  <c r="AC217" i="6"/>
  <c r="AA217" i="6"/>
  <c r="Z217" i="6" s="1"/>
  <c r="AD216" i="6"/>
  <c r="AB216" i="6"/>
  <c r="AD217" i="6" l="1"/>
  <c r="AB217" i="6"/>
  <c r="AE218" i="6"/>
  <c r="AF218" i="6" s="1"/>
  <c r="AG218" i="6"/>
  <c r="AC218" i="6"/>
  <c r="AA218" i="6"/>
  <c r="Z218" i="6" s="1"/>
  <c r="Y219" i="6"/>
  <c r="AH218" i="6"/>
  <c r="AH219" i="6" l="1"/>
  <c r="AG219" i="6"/>
  <c r="AE219" i="6"/>
  <c r="AF219" i="6" s="1"/>
  <c r="AA219" i="6"/>
  <c r="Z219" i="6" s="1"/>
  <c r="Y220" i="6"/>
  <c r="AC219" i="6"/>
  <c r="AD218" i="6"/>
  <c r="AB218" i="6"/>
  <c r="AD219" i="6" l="1"/>
  <c r="AB219" i="6"/>
  <c r="Y221" i="6"/>
  <c r="AH220" i="6"/>
  <c r="AG220" i="6"/>
  <c r="AA220" i="6"/>
  <c r="Z220" i="6" s="1"/>
  <c r="AE220" i="6"/>
  <c r="AF220" i="6" s="1"/>
  <c r="AC220" i="6"/>
  <c r="AB220" i="6" l="1"/>
  <c r="AD220" i="6"/>
  <c r="AC221" i="6"/>
  <c r="AH221" i="6"/>
  <c r="AG221" i="6"/>
  <c r="AE221" i="6"/>
  <c r="AF221" i="6" s="1"/>
  <c r="AA221" i="6"/>
  <c r="Z221" i="6" s="1"/>
  <c r="Y222" i="6"/>
  <c r="Y223" i="6" l="1"/>
  <c r="AH222" i="6"/>
  <c r="AG222" i="6"/>
  <c r="AE222" i="6"/>
  <c r="AF222" i="6" s="1"/>
  <c r="AA222" i="6"/>
  <c r="Z222" i="6" s="1"/>
  <c r="AC222" i="6"/>
  <c r="AD221" i="6"/>
  <c r="AB221" i="6"/>
  <c r="AD222" i="6" l="1"/>
  <c r="AB222" i="6"/>
  <c r="Y224" i="6"/>
  <c r="AH223" i="6"/>
  <c r="AG223" i="6"/>
  <c r="AE223" i="6"/>
  <c r="AF223" i="6" s="1"/>
  <c r="AC223" i="6"/>
  <c r="AA223" i="6"/>
  <c r="Z223" i="6" s="1"/>
  <c r="AD223" i="6" l="1"/>
  <c r="AB223" i="6"/>
  <c r="AA224" i="6"/>
  <c r="Z224" i="6" s="1"/>
  <c r="Y225" i="6"/>
  <c r="AH224" i="6"/>
  <c r="AG224" i="6"/>
  <c r="AE224" i="6"/>
  <c r="AF224" i="6" s="1"/>
  <c r="AC224" i="6"/>
  <c r="AD224" i="6" l="1"/>
  <c r="AB224" i="6"/>
  <c r="Y226" i="6"/>
  <c r="AH225" i="6"/>
  <c r="AE225" i="6"/>
  <c r="AF225" i="6" s="1"/>
  <c r="AG225" i="6"/>
  <c r="AC225" i="6"/>
  <c r="AA225" i="6"/>
  <c r="Z225" i="6" s="1"/>
  <c r="AD225" i="6" l="1"/>
  <c r="AB225" i="6"/>
  <c r="Y227" i="6"/>
  <c r="AG226" i="6"/>
  <c r="AE226" i="6"/>
  <c r="AF226" i="6" s="1"/>
  <c r="AC226" i="6"/>
  <c r="AA226" i="6"/>
  <c r="Z226" i="6" s="1"/>
  <c r="AH226" i="6"/>
  <c r="AB226" i="6" l="1"/>
  <c r="AD226" i="6"/>
  <c r="Y228" i="6"/>
  <c r="AH227" i="6"/>
  <c r="AG227" i="6"/>
  <c r="AE227" i="6"/>
  <c r="AF227" i="6" s="1"/>
  <c r="AC227" i="6"/>
  <c r="AA227" i="6"/>
  <c r="Z227" i="6" s="1"/>
  <c r="AD227" i="6" l="1"/>
  <c r="AB227" i="6"/>
  <c r="AH228" i="6"/>
  <c r="AA228" i="6"/>
  <c r="Z228" i="6" s="1"/>
  <c r="AC228" i="6"/>
  <c r="AG228" i="6"/>
  <c r="Y229" i="6"/>
  <c r="AE228" i="6"/>
  <c r="AF228" i="6" s="1"/>
  <c r="Y230" i="6" l="1"/>
  <c r="AG229" i="6"/>
  <c r="AE229" i="6"/>
  <c r="AF229" i="6" s="1"/>
  <c r="AC229" i="6"/>
  <c r="AA229" i="6"/>
  <c r="Z229" i="6" s="1"/>
  <c r="AH229" i="6"/>
  <c r="AB228" i="6"/>
  <c r="AD228" i="6"/>
  <c r="AD229" i="6" l="1"/>
  <c r="AB229" i="6"/>
  <c r="Y231" i="6"/>
  <c r="AH230" i="6"/>
  <c r="AG230" i="6"/>
  <c r="AE230" i="6"/>
  <c r="AF230" i="6" s="1"/>
  <c r="AC230" i="6"/>
  <c r="AA230" i="6"/>
  <c r="Z230" i="6" s="1"/>
  <c r="AD230" i="6" l="1"/>
  <c r="AB230" i="6"/>
  <c r="AG231" i="6"/>
  <c r="AA231" i="6"/>
  <c r="Z231" i="6" s="1"/>
  <c r="AE231" i="6"/>
  <c r="AF231" i="6" s="1"/>
  <c r="AC231" i="6"/>
  <c r="Y232" i="6"/>
  <c r="AH231" i="6"/>
  <c r="AH232" i="6" l="1"/>
  <c r="AG232" i="6"/>
  <c r="AE232" i="6"/>
  <c r="AF232" i="6" s="1"/>
  <c r="AC232" i="6"/>
  <c r="Y233" i="6"/>
  <c r="AA232" i="6"/>
  <c r="Z232" i="6" s="1"/>
  <c r="AD231" i="6"/>
  <c r="AB231" i="6"/>
  <c r="AH233" i="6" l="1"/>
  <c r="Y234" i="6"/>
  <c r="AG233" i="6"/>
  <c r="AE233" i="6"/>
  <c r="AF233" i="6" s="1"/>
  <c r="AA233" i="6"/>
  <c r="Z233" i="6" s="1"/>
  <c r="AC233" i="6"/>
  <c r="AD232" i="6"/>
  <c r="AB232" i="6"/>
  <c r="AD233" i="6" l="1"/>
  <c r="AB233" i="6"/>
  <c r="AH234" i="6"/>
  <c r="AG234" i="6"/>
  <c r="AE234" i="6"/>
  <c r="AF234" i="6" s="1"/>
  <c r="AC234" i="6"/>
  <c r="AA234" i="6"/>
  <c r="Z234" i="6" s="1"/>
  <c r="Y235" i="6"/>
  <c r="AG235" i="6" l="1"/>
  <c r="Y236" i="6"/>
  <c r="AH235" i="6"/>
  <c r="AE235" i="6"/>
  <c r="AF235" i="6" s="1"/>
  <c r="AA235" i="6"/>
  <c r="Z235" i="6" s="1"/>
  <c r="AC235" i="6"/>
  <c r="AD234" i="6"/>
  <c r="AB234" i="6"/>
  <c r="AB235" i="6" l="1"/>
  <c r="AD235" i="6"/>
  <c r="Y237" i="6"/>
  <c r="AH236" i="6"/>
  <c r="AG236" i="6"/>
  <c r="AC236" i="6"/>
  <c r="AE236" i="6"/>
  <c r="AF236" i="6" s="1"/>
  <c r="AA236" i="6"/>
  <c r="Z236" i="6" s="1"/>
  <c r="AD236" i="6" l="1"/>
  <c r="AB236" i="6"/>
  <c r="AE237" i="6"/>
  <c r="AF237" i="6" s="1"/>
  <c r="Y238" i="6"/>
  <c r="AH237" i="6"/>
  <c r="AG237" i="6"/>
  <c r="AC237" i="6"/>
  <c r="AA237" i="6"/>
  <c r="Z237" i="6" s="1"/>
  <c r="AD237" i="6" l="1"/>
  <c r="AB237" i="6"/>
  <c r="Y239" i="6"/>
  <c r="AH238" i="6"/>
  <c r="AG238" i="6"/>
  <c r="AE238" i="6"/>
  <c r="AF238" i="6" s="1"/>
  <c r="AC238" i="6"/>
  <c r="AA238" i="6"/>
  <c r="Z238" i="6" s="1"/>
  <c r="AD238" i="6" l="1"/>
  <c r="AB238" i="6"/>
  <c r="AH239" i="6"/>
  <c r="Y240" i="6"/>
  <c r="AG239" i="6"/>
  <c r="AC239" i="6"/>
  <c r="AA239" i="6"/>
  <c r="Z239" i="6" s="1"/>
  <c r="AE239" i="6"/>
  <c r="AF239" i="6" s="1"/>
  <c r="AD239" i="6" l="1"/>
  <c r="AB239" i="6"/>
  <c r="Y241" i="6"/>
  <c r="AH240" i="6"/>
  <c r="AG240" i="6"/>
  <c r="AE240" i="6"/>
  <c r="AF240" i="6" s="1"/>
  <c r="AC240" i="6"/>
  <c r="AA240" i="6"/>
  <c r="Z240" i="6" s="1"/>
  <c r="AD240" i="6" l="1"/>
  <c r="AB240" i="6"/>
  <c r="Y242" i="6"/>
  <c r="AE241" i="6"/>
  <c r="AF241" i="6" s="1"/>
  <c r="AC241" i="6"/>
  <c r="AA241" i="6"/>
  <c r="Z241" i="6" s="1"/>
  <c r="AH241" i="6"/>
  <c r="AG241" i="6"/>
  <c r="AB241" i="6" l="1"/>
  <c r="AD241" i="6"/>
  <c r="AG242" i="6"/>
  <c r="AH242" i="6"/>
  <c r="AE242" i="6"/>
  <c r="AF242" i="6" s="1"/>
  <c r="AC242" i="6"/>
  <c r="Y243" i="6"/>
  <c r="AA242" i="6"/>
  <c r="Z242" i="6" s="1"/>
  <c r="AC243" i="6" l="1"/>
  <c r="Y244" i="6"/>
  <c r="AH243" i="6"/>
  <c r="AG243" i="6"/>
  <c r="AE243" i="6"/>
  <c r="AF243" i="6" s="1"/>
  <c r="AA243" i="6"/>
  <c r="Z243" i="6" s="1"/>
  <c r="AB242" i="6"/>
  <c r="AD242" i="6"/>
  <c r="AH244" i="6" l="1"/>
  <c r="AG244" i="6"/>
  <c r="AE244" i="6"/>
  <c r="AF244" i="6" s="1"/>
  <c r="AC244" i="6"/>
  <c r="AA244" i="6"/>
  <c r="Z244" i="6" s="1"/>
  <c r="Y245" i="6"/>
  <c r="AB243" i="6"/>
  <c r="AD243" i="6"/>
  <c r="Y246" i="6" l="1"/>
  <c r="AH245" i="6"/>
  <c r="AG245" i="6"/>
  <c r="AC245" i="6"/>
  <c r="AE245" i="6"/>
  <c r="AF245" i="6" s="1"/>
  <c r="AA245" i="6"/>
  <c r="Z245" i="6" s="1"/>
  <c r="AD244" i="6"/>
  <c r="AB244" i="6"/>
  <c r="AD245" i="6" l="1"/>
  <c r="AB245" i="6"/>
  <c r="Y247" i="6"/>
  <c r="AH246" i="6"/>
  <c r="AE246" i="6"/>
  <c r="AF246" i="6" s="1"/>
  <c r="AA246" i="6"/>
  <c r="Z246" i="6" s="1"/>
  <c r="AC246" i="6"/>
  <c r="AG246" i="6"/>
  <c r="AB246" i="6" l="1"/>
  <c r="AD246" i="6"/>
  <c r="AH247" i="6"/>
  <c r="AG247" i="6"/>
  <c r="AC247" i="6"/>
  <c r="Y248" i="6"/>
  <c r="AE247" i="6"/>
  <c r="AF247" i="6" s="1"/>
  <c r="AA247" i="6"/>
  <c r="Z247" i="6" s="1"/>
  <c r="AE248" i="6" l="1"/>
  <c r="AF248" i="6" s="1"/>
  <c r="AA248" i="6"/>
  <c r="Z248" i="6" s="1"/>
  <c r="AG248" i="6"/>
  <c r="AC248" i="6"/>
  <c r="Y249" i="6"/>
  <c r="AH248" i="6"/>
  <c r="AD247" i="6"/>
  <c r="AB247" i="6"/>
  <c r="AA249" i="6" l="1"/>
  <c r="Z249" i="6" s="1"/>
  <c r="Y250" i="6"/>
  <c r="AH249" i="6"/>
  <c r="AG249" i="6"/>
  <c r="AE249" i="6"/>
  <c r="AF249" i="6" s="1"/>
  <c r="AC249" i="6"/>
  <c r="AB248" i="6"/>
  <c r="AD248" i="6"/>
  <c r="AD249" i="6" l="1"/>
  <c r="AB249" i="6"/>
  <c r="AG250" i="6"/>
  <c r="Y251" i="6"/>
  <c r="AH250" i="6"/>
  <c r="AE250" i="6"/>
  <c r="AF250" i="6" s="1"/>
  <c r="AC250" i="6"/>
  <c r="AA250" i="6"/>
  <c r="Z250" i="6" s="1"/>
  <c r="AB250" i="6" l="1"/>
  <c r="AD250" i="6"/>
  <c r="AE251" i="6"/>
  <c r="AF251" i="6" s="1"/>
  <c r="AC251" i="6"/>
  <c r="AA251" i="6"/>
  <c r="Z251" i="6" s="1"/>
  <c r="Y252" i="6"/>
  <c r="AH251" i="6"/>
  <c r="AG251" i="6"/>
  <c r="AH252" i="6" l="1"/>
  <c r="AG252" i="6"/>
  <c r="AE252" i="6"/>
  <c r="AF252" i="6" s="1"/>
  <c r="AA252" i="6"/>
  <c r="Z252" i="6" s="1"/>
  <c r="Y253" i="6"/>
  <c r="AC252" i="6"/>
  <c r="AD251" i="6"/>
  <c r="AB251" i="6"/>
  <c r="AD252" i="6" l="1"/>
  <c r="AB252" i="6"/>
  <c r="AA253" i="6"/>
  <c r="Z253" i="6" s="1"/>
  <c r="Y254" i="6"/>
  <c r="AH253" i="6"/>
  <c r="AG253" i="6"/>
  <c r="AC253" i="6"/>
  <c r="AE253" i="6"/>
  <c r="AF253" i="6" s="1"/>
  <c r="AD253" i="6" l="1"/>
  <c r="AB253" i="6"/>
  <c r="Y255" i="6"/>
  <c r="AC254" i="6"/>
  <c r="AH254" i="6"/>
  <c r="AG254" i="6"/>
  <c r="AE254" i="6"/>
  <c r="AF254" i="6" s="1"/>
  <c r="AA254" i="6"/>
  <c r="Z254" i="6" s="1"/>
  <c r="Y256" i="6" l="1"/>
  <c r="AH255" i="6"/>
  <c r="AG255" i="6"/>
  <c r="AE255" i="6"/>
  <c r="AF255" i="6" s="1"/>
  <c r="AC255" i="6"/>
  <c r="AA255" i="6"/>
  <c r="Z255" i="6" s="1"/>
  <c r="AD254" i="6"/>
  <c r="AB254" i="6"/>
  <c r="AD255" i="6" l="1"/>
  <c r="AB255" i="6"/>
  <c r="AE256" i="6"/>
  <c r="AF256" i="6" s="1"/>
  <c r="AH256" i="6"/>
  <c r="AG256" i="6"/>
  <c r="AC256" i="6"/>
  <c r="AA256" i="6"/>
  <c r="Z256" i="6" s="1"/>
  <c r="Y257" i="6"/>
  <c r="AH257" i="6" l="1"/>
  <c r="Y258" i="6"/>
  <c r="AG257" i="6"/>
  <c r="AE257" i="6"/>
  <c r="AF257" i="6" s="1"/>
  <c r="AC257" i="6"/>
  <c r="AA257" i="6"/>
  <c r="Z257" i="6" s="1"/>
  <c r="AB256" i="6"/>
  <c r="AD256" i="6"/>
  <c r="AB257" i="6" l="1"/>
  <c r="AD257" i="6"/>
  <c r="Y259" i="6"/>
  <c r="AC258" i="6"/>
  <c r="AA258" i="6"/>
  <c r="Z258" i="6" s="1"/>
  <c r="AG258" i="6"/>
  <c r="AH258" i="6"/>
  <c r="AE258" i="6"/>
  <c r="AF258" i="6" s="1"/>
  <c r="Y260" i="6" l="1"/>
  <c r="AG259" i="6"/>
  <c r="AE259" i="6"/>
  <c r="AF259" i="6" s="1"/>
  <c r="AC259" i="6"/>
  <c r="AA259" i="6"/>
  <c r="Z259" i="6" s="1"/>
  <c r="AH259" i="6"/>
  <c r="AB258" i="6"/>
  <c r="AD258" i="6"/>
  <c r="AD259" i="6" l="1"/>
  <c r="AB259" i="6"/>
  <c r="AH260" i="6"/>
  <c r="Y261" i="6"/>
  <c r="AG260" i="6"/>
  <c r="AE260" i="6"/>
  <c r="AF260" i="6" s="1"/>
  <c r="AC260" i="6"/>
  <c r="AA260" i="6"/>
  <c r="Z260" i="6" s="1"/>
  <c r="AB260" i="6" l="1"/>
  <c r="AD260" i="6"/>
  <c r="AH261" i="6"/>
  <c r="AG261" i="6"/>
  <c r="AE261" i="6"/>
  <c r="AF261" i="6" s="1"/>
  <c r="AC261" i="6"/>
  <c r="AA261" i="6"/>
  <c r="Z261" i="6" s="1"/>
  <c r="Y262" i="6"/>
  <c r="AH262" i="6" l="1"/>
  <c r="Y263" i="6"/>
  <c r="AG262" i="6"/>
  <c r="AC262" i="6"/>
  <c r="AA262" i="6"/>
  <c r="Z262" i="6" s="1"/>
  <c r="AE262" i="6"/>
  <c r="AF262" i="6" s="1"/>
  <c r="AD261" i="6"/>
  <c r="AB261" i="6"/>
  <c r="AD262" i="6" l="1"/>
  <c r="AB262" i="6"/>
  <c r="AH263" i="6"/>
  <c r="AG263" i="6"/>
  <c r="AE263" i="6"/>
  <c r="AF263" i="6" s="1"/>
  <c r="AC263" i="6"/>
  <c r="AA263" i="6"/>
  <c r="Z263" i="6" s="1"/>
  <c r="Y264" i="6"/>
  <c r="Y265" i="6" l="1"/>
  <c r="AH264" i="6"/>
  <c r="AG264" i="6"/>
  <c r="AE264" i="6"/>
  <c r="AF264" i="6" s="1"/>
  <c r="AC264" i="6"/>
  <c r="AA264" i="6"/>
  <c r="Z264" i="6" s="1"/>
  <c r="AB263" i="6"/>
  <c r="AD263" i="6"/>
  <c r="AD264" i="6" l="1"/>
  <c r="AB264" i="6"/>
  <c r="AC265" i="6"/>
  <c r="AA265" i="6"/>
  <c r="Z265" i="6" s="1"/>
  <c r="Y266" i="6"/>
  <c r="AH265" i="6"/>
  <c r="AG265" i="6"/>
  <c r="AE265" i="6"/>
  <c r="AF265" i="6" s="1"/>
  <c r="AH266" i="6" l="1"/>
  <c r="AG266" i="6"/>
  <c r="AE266" i="6"/>
  <c r="AF266" i="6" s="1"/>
  <c r="AC266" i="6"/>
  <c r="Y267" i="6"/>
  <c r="AA266" i="6"/>
  <c r="Z266" i="6" s="1"/>
  <c r="AD265" i="6"/>
  <c r="AB265" i="6"/>
  <c r="Y268" i="6" l="1"/>
  <c r="AH267" i="6"/>
  <c r="AG267" i="6"/>
  <c r="AE267" i="6"/>
  <c r="AF267" i="6" s="1"/>
  <c r="AA267" i="6"/>
  <c r="Z267" i="6" s="1"/>
  <c r="AC267" i="6"/>
  <c r="AB266" i="6"/>
  <c r="AD266" i="6"/>
  <c r="AD267" i="6" l="1"/>
  <c r="AB267" i="6"/>
  <c r="AE268" i="6"/>
  <c r="AF268" i="6" s="1"/>
  <c r="Y269" i="6"/>
  <c r="AH268" i="6"/>
  <c r="AG268" i="6"/>
  <c r="AC268" i="6"/>
  <c r="AA268" i="6"/>
  <c r="Z268" i="6" s="1"/>
  <c r="AD268" i="6" l="1"/>
  <c r="AB268" i="6"/>
  <c r="AH269" i="6"/>
  <c r="Y270" i="6"/>
  <c r="AG269" i="6"/>
  <c r="AE269" i="6"/>
  <c r="AF269" i="6" s="1"/>
  <c r="AC269" i="6"/>
  <c r="AA269" i="6"/>
  <c r="Z269" i="6" s="1"/>
  <c r="AB269" i="6" l="1"/>
  <c r="AD269" i="6"/>
  <c r="Y271" i="6"/>
  <c r="AH270" i="6"/>
  <c r="AG270" i="6"/>
  <c r="AE270" i="6"/>
  <c r="AF270" i="6" s="1"/>
  <c r="AC270" i="6"/>
  <c r="AA270" i="6"/>
  <c r="Z270" i="6" s="1"/>
  <c r="AB270" i="6" l="1"/>
  <c r="AD270" i="6"/>
  <c r="AE271" i="6"/>
  <c r="AF271" i="6" s="1"/>
  <c r="Y272" i="6"/>
  <c r="AH271" i="6"/>
  <c r="AG271" i="6"/>
  <c r="AC271" i="6"/>
  <c r="AA271" i="6"/>
  <c r="Z271" i="6" s="1"/>
  <c r="AB271" i="6" l="1"/>
  <c r="AD271" i="6"/>
  <c r="AH272" i="6"/>
  <c r="AC272" i="6"/>
  <c r="AA272" i="6"/>
  <c r="Z272" i="6" s="1"/>
  <c r="Y273" i="6"/>
  <c r="AG272" i="6"/>
  <c r="AE272" i="6"/>
  <c r="AF272" i="6" s="1"/>
  <c r="Y274" i="6" l="1"/>
  <c r="AG273" i="6"/>
  <c r="AE273" i="6"/>
  <c r="AF273" i="6" s="1"/>
  <c r="AC273" i="6"/>
  <c r="AH273" i="6"/>
  <c r="AA273" i="6"/>
  <c r="Z273" i="6" s="1"/>
  <c r="AB272" i="6"/>
  <c r="AD272" i="6"/>
  <c r="AD273" i="6" l="1"/>
  <c r="AB273" i="6"/>
  <c r="AE274" i="6"/>
  <c r="AF274" i="6" s="1"/>
  <c r="AA274" i="6"/>
  <c r="Z274" i="6" s="1"/>
  <c r="Y275" i="6"/>
  <c r="AH274" i="6"/>
  <c r="AG274" i="6"/>
  <c r="AC274" i="6"/>
  <c r="AD274" i="6" l="1"/>
  <c r="AB274" i="6"/>
  <c r="AH275" i="6"/>
  <c r="Y276" i="6"/>
  <c r="AG275" i="6"/>
  <c r="AE275" i="6"/>
  <c r="AF275" i="6" s="1"/>
  <c r="AC275" i="6"/>
  <c r="AA275" i="6"/>
  <c r="Z275" i="6" s="1"/>
  <c r="AB275" i="6" l="1"/>
  <c r="AD275" i="6"/>
  <c r="AH276" i="6"/>
  <c r="Y277" i="6"/>
  <c r="AG276" i="6"/>
  <c r="AE276" i="6"/>
  <c r="AF276" i="6" s="1"/>
  <c r="AC276" i="6"/>
  <c r="AA276" i="6"/>
  <c r="Z276" i="6" s="1"/>
  <c r="AD276" i="6" l="1"/>
  <c r="AB276" i="6"/>
  <c r="AE277" i="6"/>
  <c r="AF277" i="6" s="1"/>
  <c r="AA277" i="6"/>
  <c r="Z277" i="6" s="1"/>
  <c r="Y278" i="6"/>
  <c r="AH277" i="6"/>
  <c r="AG277" i="6"/>
  <c r="AC277" i="6"/>
  <c r="AB277" i="6" l="1"/>
  <c r="AD277" i="6"/>
  <c r="Y279" i="6"/>
  <c r="AH278" i="6"/>
  <c r="AG278" i="6"/>
  <c r="AE278" i="6"/>
  <c r="AF278" i="6" s="1"/>
  <c r="AC278" i="6"/>
  <c r="AA278" i="6"/>
  <c r="Z278" i="6" s="1"/>
  <c r="AB278" i="6" l="1"/>
  <c r="AD278" i="6"/>
  <c r="AC279" i="6"/>
  <c r="AA279" i="6"/>
  <c r="Z279" i="6" s="1"/>
  <c r="Y280" i="6"/>
  <c r="AH279" i="6"/>
  <c r="AG279" i="6"/>
  <c r="AE279" i="6"/>
  <c r="AF279" i="6" s="1"/>
  <c r="AE280" i="6" l="1"/>
  <c r="AF280" i="6" s="1"/>
  <c r="AA280" i="6"/>
  <c r="Z280" i="6" s="1"/>
  <c r="AH280" i="6"/>
  <c r="AG280" i="6"/>
  <c r="AC280" i="6"/>
  <c r="Y281" i="6"/>
  <c r="AD279" i="6"/>
  <c r="AB279" i="6"/>
  <c r="Y282" i="6" l="1"/>
  <c r="AH281" i="6"/>
  <c r="AG281" i="6"/>
  <c r="AE281" i="6"/>
  <c r="AF281" i="6" s="1"/>
  <c r="AC281" i="6"/>
  <c r="AA281" i="6"/>
  <c r="Z281" i="6" s="1"/>
  <c r="AD280" i="6"/>
  <c r="AB280" i="6"/>
  <c r="AD281" i="6" l="1"/>
  <c r="AB281" i="6"/>
  <c r="Y283" i="6"/>
  <c r="AH282" i="6"/>
  <c r="AG282" i="6"/>
  <c r="AE282" i="6"/>
  <c r="AF282" i="6" s="1"/>
  <c r="AC282" i="6"/>
  <c r="AA282" i="6"/>
  <c r="Z282" i="6" s="1"/>
  <c r="AD282" i="6" l="1"/>
  <c r="AB282" i="6"/>
  <c r="AE283" i="6"/>
  <c r="AF283" i="6" s="1"/>
  <c r="AA283" i="6"/>
  <c r="Z283" i="6" s="1"/>
  <c r="Y284" i="6"/>
  <c r="AH283" i="6"/>
  <c r="AG283" i="6"/>
  <c r="AC283" i="6"/>
  <c r="AD283" i="6" l="1"/>
  <c r="AB283" i="6"/>
  <c r="Y285" i="6"/>
  <c r="AC284" i="6"/>
  <c r="AH284" i="6"/>
  <c r="AG284" i="6"/>
  <c r="AA284" i="6"/>
  <c r="Z284" i="6" s="1"/>
  <c r="AE284" i="6"/>
  <c r="AF284" i="6" s="1"/>
  <c r="AB284" i="6" l="1"/>
  <c r="AD284" i="6"/>
  <c r="Y286" i="6"/>
  <c r="AH285" i="6"/>
  <c r="AG285" i="6"/>
  <c r="AE285" i="6"/>
  <c r="AF285" i="6" s="1"/>
  <c r="AC285" i="6"/>
  <c r="AA285" i="6"/>
  <c r="Z285" i="6" s="1"/>
  <c r="AB285" i="6" l="1"/>
  <c r="AD285" i="6"/>
  <c r="AE286" i="6"/>
  <c r="AF286" i="6" s="1"/>
  <c r="AA286" i="6"/>
  <c r="Z286" i="6" s="1"/>
  <c r="AC286" i="6"/>
  <c r="Y287" i="6"/>
  <c r="AH286" i="6"/>
  <c r="AG286" i="6"/>
  <c r="Y288" i="6" l="1"/>
  <c r="AC287" i="6"/>
  <c r="AH287" i="6"/>
  <c r="AG287" i="6"/>
  <c r="AE287" i="6"/>
  <c r="AF287" i="6" s="1"/>
  <c r="AA287" i="6"/>
  <c r="Z287" i="6" s="1"/>
  <c r="AD286" i="6"/>
  <c r="AB286" i="6"/>
  <c r="AD287" i="6" l="1"/>
  <c r="AB287" i="6"/>
  <c r="Y289" i="6"/>
  <c r="AH288" i="6"/>
  <c r="AG288" i="6"/>
  <c r="AE288" i="6"/>
  <c r="AF288" i="6" s="1"/>
  <c r="AC288" i="6"/>
  <c r="AA288" i="6"/>
  <c r="Z288" i="6" s="1"/>
  <c r="AD288" i="6" l="1"/>
  <c r="AB288" i="6"/>
  <c r="AH289" i="6"/>
  <c r="AE289" i="6"/>
  <c r="AF289" i="6" s="1"/>
  <c r="AA289" i="6"/>
  <c r="Z289" i="6" s="1"/>
  <c r="Y290" i="6"/>
  <c r="AG289" i="6"/>
  <c r="AC289" i="6"/>
  <c r="AD289" i="6" l="1"/>
  <c r="AB289" i="6"/>
  <c r="AH290" i="6"/>
  <c r="AC290" i="6"/>
  <c r="Y291" i="6"/>
  <c r="AE290" i="6"/>
  <c r="AF290" i="6" s="1"/>
  <c r="AG290" i="6"/>
  <c r="AA290" i="6"/>
  <c r="Z290" i="6" s="1"/>
  <c r="Y292" i="6" l="1"/>
  <c r="AH291" i="6"/>
  <c r="AG291" i="6"/>
  <c r="AE291" i="6"/>
  <c r="AF291" i="6" s="1"/>
  <c r="AC291" i="6"/>
  <c r="AA291" i="6"/>
  <c r="Z291" i="6" s="1"/>
  <c r="AD290" i="6"/>
  <c r="AB290" i="6"/>
  <c r="AD291" i="6" l="1"/>
  <c r="AB291" i="6"/>
  <c r="AG292" i="6"/>
  <c r="AE292" i="6"/>
  <c r="AF292" i="6" s="1"/>
  <c r="AA292" i="6"/>
  <c r="Z292" i="6" s="1"/>
  <c r="Y293" i="6"/>
  <c r="AH292" i="6"/>
  <c r="AC292" i="6"/>
  <c r="AD292" i="6" l="1"/>
  <c r="AB292" i="6"/>
  <c r="AH293" i="6"/>
  <c r="AC293" i="6"/>
  <c r="AG293" i="6"/>
  <c r="AE293" i="6"/>
  <c r="AF293" i="6" s="1"/>
  <c r="AA293" i="6"/>
  <c r="Z293" i="6" s="1"/>
  <c r="Y294" i="6"/>
  <c r="Y295" i="6" l="1"/>
  <c r="AH294" i="6"/>
  <c r="AG294" i="6"/>
  <c r="AC294" i="6"/>
  <c r="AE294" i="6"/>
  <c r="AF294" i="6" s="1"/>
  <c r="AA294" i="6"/>
  <c r="Z294" i="6" s="1"/>
  <c r="AD293" i="6"/>
  <c r="AB293" i="6"/>
  <c r="AD294" i="6" l="1"/>
  <c r="AB294" i="6"/>
  <c r="AG295" i="6"/>
  <c r="AA295" i="6"/>
  <c r="Z295" i="6" s="1"/>
  <c r="Y296" i="6"/>
  <c r="AH295" i="6"/>
  <c r="AE295" i="6"/>
  <c r="AF295" i="6" s="1"/>
  <c r="AC295" i="6"/>
  <c r="AD295" i="6" l="1"/>
  <c r="AB295" i="6"/>
  <c r="AH296" i="6"/>
  <c r="AC296" i="6"/>
  <c r="Y297" i="6"/>
  <c r="AG296" i="6"/>
  <c r="AE296" i="6"/>
  <c r="AF296" i="6" s="1"/>
  <c r="AA296" i="6"/>
  <c r="Z296" i="6" s="1"/>
  <c r="AG297" i="6" l="1"/>
  <c r="AE297" i="6"/>
  <c r="AF297" i="6" s="1"/>
  <c r="AC297" i="6"/>
  <c r="AA297" i="6"/>
  <c r="Z297" i="6" s="1"/>
  <c r="Y298" i="6"/>
  <c r="AH297" i="6"/>
  <c r="AD296" i="6"/>
  <c r="AB296" i="6"/>
  <c r="AG298" i="6" l="1"/>
  <c r="AA298" i="6"/>
  <c r="Z298" i="6" s="1"/>
  <c r="Y299" i="6"/>
  <c r="AH298" i="6"/>
  <c r="AE298" i="6"/>
  <c r="AF298" i="6" s="1"/>
  <c r="AC298" i="6"/>
  <c r="AD297" i="6"/>
  <c r="AB297" i="6"/>
  <c r="AB298" i="6" l="1"/>
  <c r="AD298" i="6"/>
  <c r="AH299" i="6"/>
  <c r="Y300" i="6"/>
  <c r="AG299" i="6"/>
  <c r="AE299" i="6"/>
  <c r="AF299" i="6" s="1"/>
  <c r="AC299" i="6"/>
  <c r="AA299" i="6"/>
  <c r="Z299" i="6" s="1"/>
  <c r="AB299" i="6" l="1"/>
  <c r="AD299" i="6"/>
  <c r="AG300" i="6"/>
  <c r="Y301" i="6"/>
  <c r="AH300" i="6"/>
  <c r="AE300" i="6"/>
  <c r="AF300" i="6" s="1"/>
  <c r="AC300" i="6"/>
  <c r="AA300" i="6"/>
  <c r="Z300" i="6" s="1"/>
  <c r="AD300" i="6" l="1"/>
  <c r="AB300" i="6"/>
  <c r="AG301" i="6"/>
  <c r="AE301" i="6"/>
  <c r="AF301" i="6" s="1"/>
  <c r="AC301" i="6"/>
  <c r="AA301" i="6"/>
  <c r="Z301" i="6" s="1"/>
  <c r="Y302" i="6"/>
  <c r="AH301" i="6"/>
  <c r="AH302" i="6" l="1"/>
  <c r="Y303" i="6"/>
  <c r="AG302" i="6"/>
  <c r="AE302" i="6"/>
  <c r="AF302" i="6" s="1"/>
  <c r="AC302" i="6"/>
  <c r="AA302" i="6"/>
  <c r="Z302" i="6" s="1"/>
  <c r="AB301" i="6"/>
  <c r="AD301" i="6"/>
  <c r="AD302" i="6" l="1"/>
  <c r="AB302" i="6"/>
  <c r="AH303" i="6"/>
  <c r="AG303" i="6"/>
  <c r="Y304" i="6"/>
  <c r="AE303" i="6"/>
  <c r="AF303" i="6" s="1"/>
  <c r="AC303" i="6"/>
  <c r="AA303" i="6"/>
  <c r="Z303" i="6" s="1"/>
  <c r="AD303" i="6" l="1"/>
  <c r="AB303" i="6"/>
  <c r="AH304" i="6"/>
  <c r="AG304" i="6"/>
  <c r="Y305" i="6"/>
  <c r="AE304" i="6"/>
  <c r="AF304" i="6" s="1"/>
  <c r="AC304" i="6"/>
  <c r="AA304" i="6"/>
  <c r="Z304" i="6" s="1"/>
  <c r="AB304" i="6" l="1"/>
  <c r="AD304" i="6"/>
  <c r="AH305" i="6"/>
  <c r="AE305" i="6"/>
  <c r="AF305" i="6" s="1"/>
  <c r="AC305" i="6"/>
  <c r="AA305" i="6"/>
  <c r="Z305" i="6" s="1"/>
  <c r="Y306" i="6"/>
  <c r="AG305" i="6"/>
  <c r="AH306" i="6" l="1"/>
  <c r="Y307" i="6"/>
  <c r="AG306" i="6"/>
  <c r="AE306" i="6"/>
  <c r="AF306" i="6" s="1"/>
  <c r="AC306" i="6"/>
  <c r="AA306" i="6"/>
  <c r="Z306" i="6" s="1"/>
  <c r="AD305" i="6"/>
  <c r="AB305" i="6"/>
  <c r="AB306" i="6" l="1"/>
  <c r="AD306" i="6"/>
  <c r="AH307" i="6"/>
  <c r="AG307" i="6"/>
  <c r="Y308" i="6"/>
  <c r="AE307" i="6"/>
  <c r="AF307" i="6" s="1"/>
  <c r="AC307" i="6"/>
  <c r="AA307" i="6"/>
  <c r="Z307" i="6" s="1"/>
  <c r="AB307" i="6" l="1"/>
  <c r="AD307" i="6"/>
  <c r="AH308" i="6"/>
  <c r="Y309" i="6"/>
  <c r="AG308" i="6"/>
  <c r="AE308" i="6"/>
  <c r="AF308" i="6" s="1"/>
  <c r="AC308" i="6"/>
  <c r="AA308" i="6"/>
  <c r="Z308" i="6" s="1"/>
  <c r="AD308" i="6" l="1"/>
  <c r="AB308" i="6"/>
  <c r="AH309" i="6"/>
  <c r="AE309" i="6"/>
  <c r="AF309" i="6" s="1"/>
  <c r="AC309" i="6"/>
  <c r="AA309" i="6"/>
  <c r="Z309" i="6" s="1"/>
  <c r="Y310" i="6"/>
  <c r="AG309" i="6"/>
  <c r="AH310" i="6" l="1"/>
  <c r="AG310" i="6"/>
  <c r="Y311" i="6"/>
  <c r="AA310" i="6"/>
  <c r="Z310" i="6" s="1"/>
  <c r="AE310" i="6"/>
  <c r="AF310" i="6" s="1"/>
  <c r="AC310" i="6"/>
  <c r="AD309" i="6"/>
  <c r="AB309" i="6"/>
  <c r="AD310" i="6" l="1"/>
  <c r="AB310" i="6"/>
  <c r="AH311" i="6"/>
  <c r="Y312" i="6"/>
  <c r="AG311" i="6"/>
  <c r="AE311" i="6"/>
  <c r="AF311" i="6" s="1"/>
  <c r="AC311" i="6"/>
  <c r="AA311" i="6"/>
  <c r="Z311" i="6" s="1"/>
  <c r="AD311" i="6" l="1"/>
  <c r="AB311" i="6"/>
  <c r="AH312" i="6"/>
  <c r="Y313" i="6"/>
  <c r="AG312" i="6"/>
  <c r="AE312" i="6"/>
  <c r="AF312" i="6" s="1"/>
  <c r="AC312" i="6"/>
  <c r="AA312" i="6"/>
  <c r="Z312" i="6" s="1"/>
  <c r="AB312" i="6" l="1"/>
  <c r="AD312" i="6"/>
  <c r="AH313" i="6"/>
  <c r="AG313" i="6"/>
  <c r="AC313" i="6"/>
  <c r="Y314" i="6"/>
  <c r="AE313" i="6"/>
  <c r="AF313" i="6" s="1"/>
  <c r="AA313" i="6"/>
  <c r="Z313" i="6" s="1"/>
  <c r="AH314" i="6" l="1"/>
  <c r="Y315" i="6"/>
  <c r="AG314" i="6"/>
  <c r="AC314" i="6"/>
  <c r="AA314" i="6"/>
  <c r="Z314" i="6" s="1"/>
  <c r="AE314" i="6"/>
  <c r="AF314" i="6" s="1"/>
  <c r="AB313" i="6"/>
  <c r="AD313" i="6"/>
  <c r="AD314" i="6" l="1"/>
  <c r="AB314" i="6"/>
  <c r="AH315" i="6"/>
  <c r="AA315" i="6"/>
  <c r="Z315" i="6" s="1"/>
  <c r="Y316" i="6"/>
  <c r="AG315" i="6"/>
  <c r="AE315" i="6"/>
  <c r="AF315" i="6" s="1"/>
  <c r="AC315" i="6"/>
  <c r="AD315" i="6" l="1"/>
  <c r="AB315" i="6"/>
  <c r="AH316" i="6"/>
  <c r="AG316" i="6"/>
  <c r="AC316" i="6"/>
  <c r="Y317" i="6"/>
  <c r="AE316" i="6"/>
  <c r="AF316" i="6" s="1"/>
  <c r="AA316" i="6"/>
  <c r="Z316" i="6" s="1"/>
  <c r="AH317" i="6" l="1"/>
  <c r="Y318" i="6"/>
  <c r="AG317" i="6"/>
  <c r="AE317" i="6"/>
  <c r="AF317" i="6" s="1"/>
  <c r="AC317" i="6"/>
  <c r="AA317" i="6"/>
  <c r="Z317" i="6" s="1"/>
  <c r="AD316" i="6"/>
  <c r="AB316" i="6"/>
  <c r="AD317" i="6" l="1"/>
  <c r="AB317" i="6"/>
  <c r="AH318" i="6"/>
  <c r="Y319" i="6"/>
  <c r="AA318" i="6"/>
  <c r="Z318" i="6" s="1"/>
  <c r="AE318" i="6"/>
  <c r="AF318" i="6" s="1"/>
  <c r="AC318" i="6"/>
  <c r="AG318" i="6"/>
  <c r="AD318" i="6" l="1"/>
  <c r="AB318" i="6"/>
  <c r="AH319" i="6"/>
  <c r="AG319" i="6"/>
  <c r="AC319" i="6"/>
  <c r="Y320" i="6"/>
  <c r="AE319" i="6"/>
  <c r="AF319" i="6" s="1"/>
  <c r="AA319" i="6"/>
  <c r="Z319" i="6" s="1"/>
  <c r="Y321" i="6" l="1"/>
  <c r="AH320" i="6"/>
  <c r="AG320" i="6"/>
  <c r="AE320" i="6"/>
  <c r="AF320" i="6" s="1"/>
  <c r="AC320" i="6"/>
  <c r="AA320" i="6"/>
  <c r="Z320" i="6" s="1"/>
  <c r="AD319" i="6"/>
  <c r="AB319" i="6"/>
  <c r="AD320" i="6" l="1"/>
  <c r="AB320" i="6"/>
  <c r="Y322" i="6"/>
  <c r="AG321" i="6"/>
  <c r="AA321" i="6"/>
  <c r="Z321" i="6" s="1"/>
  <c r="AH321" i="6"/>
  <c r="AE321" i="6"/>
  <c r="AF321" i="6" s="1"/>
  <c r="AC321" i="6"/>
  <c r="AD321" i="6" l="1"/>
  <c r="AB321" i="6"/>
  <c r="AH322" i="6"/>
  <c r="AG322" i="6"/>
  <c r="AC322" i="6"/>
  <c r="AA322" i="6"/>
  <c r="Z322" i="6" s="1"/>
  <c r="Y323" i="6"/>
  <c r="AE322" i="6"/>
  <c r="AF322" i="6" s="1"/>
  <c r="Y324" i="6" l="1"/>
  <c r="AE323" i="6"/>
  <c r="AF323" i="6" s="1"/>
  <c r="AH323" i="6"/>
  <c r="AG323" i="6"/>
  <c r="AC323" i="6"/>
  <c r="AA323" i="6"/>
  <c r="Z323" i="6" s="1"/>
  <c r="AB322" i="6"/>
  <c r="AD322" i="6"/>
  <c r="AD323" i="6" l="1"/>
  <c r="AB323" i="6"/>
  <c r="Y325" i="6"/>
  <c r="AG324" i="6"/>
  <c r="AA324" i="6"/>
  <c r="Z324" i="6" s="1"/>
  <c r="AH324" i="6"/>
  <c r="AE324" i="6"/>
  <c r="AF324" i="6" s="1"/>
  <c r="AC324" i="6"/>
  <c r="AD324" i="6" l="1"/>
  <c r="AB324" i="6"/>
  <c r="AE325" i="6"/>
  <c r="AF325" i="6" s="1"/>
  <c r="Y326" i="6"/>
  <c r="AH325" i="6"/>
  <c r="AC325" i="6"/>
  <c r="AG325" i="6"/>
  <c r="AA325" i="6"/>
  <c r="Z325" i="6" s="1"/>
  <c r="AD325" i="6" l="1"/>
  <c r="AB325" i="6"/>
  <c r="AE326" i="6"/>
  <c r="AF326" i="6" s="1"/>
  <c r="AC326" i="6"/>
  <c r="AA326" i="6"/>
  <c r="Z326" i="6" s="1"/>
  <c r="Y327" i="6"/>
  <c r="AH326" i="6"/>
  <c r="AG326" i="6"/>
  <c r="AH327" i="6" l="1"/>
  <c r="AC327" i="6"/>
  <c r="Y328" i="6"/>
  <c r="AG327" i="6"/>
  <c r="AA327" i="6"/>
  <c r="Z327" i="6" s="1"/>
  <c r="AE327" i="6"/>
  <c r="AF327" i="6" s="1"/>
  <c r="AB326" i="6"/>
  <c r="AD326" i="6"/>
  <c r="AC328" i="6" l="1"/>
  <c r="Y329" i="6"/>
  <c r="AE328" i="6"/>
  <c r="AF328" i="6" s="1"/>
  <c r="AH328" i="6"/>
  <c r="AG328" i="6"/>
  <c r="AA328" i="6"/>
  <c r="Z328" i="6" s="1"/>
  <c r="AB327" i="6"/>
  <c r="AD327" i="6"/>
  <c r="AG329" i="6" l="1"/>
  <c r="AA329" i="6"/>
  <c r="Z329" i="6" s="1"/>
  <c r="Y330" i="6"/>
  <c r="AH329" i="6"/>
  <c r="AE329" i="6"/>
  <c r="AF329" i="6" s="1"/>
  <c r="AC329" i="6"/>
  <c r="AD328" i="6"/>
  <c r="AB328" i="6"/>
  <c r="AD329" i="6" l="1"/>
  <c r="AB329" i="6"/>
  <c r="Y331" i="6"/>
  <c r="AE330" i="6"/>
  <c r="AF330" i="6" s="1"/>
  <c r="AH330" i="6"/>
  <c r="AG330" i="6"/>
  <c r="AC330" i="6"/>
  <c r="AA330" i="6"/>
  <c r="Z330" i="6" s="1"/>
  <c r="AD330" i="6" l="1"/>
  <c r="AB330" i="6"/>
  <c r="AH331" i="6"/>
  <c r="AA331" i="6"/>
  <c r="Z331" i="6" s="1"/>
  <c r="AC331" i="6"/>
  <c r="Y332" i="6"/>
  <c r="AG331" i="6"/>
  <c r="AE331" i="6"/>
  <c r="AF331" i="6" s="1"/>
  <c r="AH332" i="6" l="1"/>
  <c r="Y333" i="6"/>
  <c r="AA332" i="6"/>
  <c r="Z332" i="6" s="1"/>
  <c r="AG332" i="6"/>
  <c r="AE332" i="6"/>
  <c r="AF332" i="6" s="1"/>
  <c r="AC332" i="6"/>
  <c r="AB331" i="6"/>
  <c r="AD331" i="6"/>
  <c r="AB332" i="6" l="1"/>
  <c r="AD332" i="6"/>
  <c r="Y334" i="6"/>
  <c r="AE333" i="6"/>
  <c r="AF333" i="6" s="1"/>
  <c r="AC333" i="6"/>
  <c r="AH333" i="6"/>
  <c r="AG333" i="6"/>
  <c r="AA333" i="6"/>
  <c r="Z333" i="6" s="1"/>
  <c r="AC334" i="6" l="1"/>
  <c r="AA334" i="6"/>
  <c r="Z334" i="6" s="1"/>
  <c r="AH334" i="6"/>
  <c r="Y335" i="6"/>
  <c r="AG334" i="6"/>
  <c r="AE334" i="6"/>
  <c r="AF334" i="6" s="1"/>
  <c r="AD333" i="6"/>
  <c r="AB333" i="6"/>
  <c r="AC335" i="6" l="1"/>
  <c r="AH335" i="6"/>
  <c r="AG335" i="6"/>
  <c r="AE335" i="6"/>
  <c r="AF335" i="6" s="1"/>
  <c r="AA335" i="6"/>
  <c r="Z335" i="6" s="1"/>
  <c r="Y336" i="6"/>
  <c r="AD334" i="6"/>
  <c r="AB334" i="6"/>
  <c r="AG336" i="6" l="1"/>
  <c r="AH336" i="6"/>
  <c r="AC336" i="6"/>
  <c r="Y337" i="6"/>
  <c r="AE336" i="6"/>
  <c r="AF336" i="6" s="1"/>
  <c r="AA336" i="6"/>
  <c r="Z336" i="6" s="1"/>
  <c r="AB335" i="6"/>
  <c r="AD335" i="6"/>
  <c r="AE337" i="6" l="1"/>
  <c r="AF337" i="6" s="1"/>
  <c r="Y338" i="6"/>
  <c r="AH337" i="6"/>
  <c r="AG337" i="6"/>
  <c r="AC337" i="6"/>
  <c r="AA337" i="6"/>
  <c r="Z337" i="6" s="1"/>
  <c r="AD336" i="6"/>
  <c r="AB336" i="6"/>
  <c r="AD337" i="6" l="1"/>
  <c r="AB337" i="6"/>
  <c r="AE338" i="6"/>
  <c r="AF338" i="6" s="1"/>
  <c r="AC338" i="6"/>
  <c r="Y339" i="6"/>
  <c r="AH338" i="6"/>
  <c r="AG338" i="6"/>
  <c r="AA338" i="6"/>
  <c r="Z338" i="6" s="1"/>
  <c r="AE339" i="6" l="1"/>
  <c r="AF339" i="6" s="1"/>
  <c r="Y340" i="6"/>
  <c r="AH339" i="6"/>
  <c r="AA339" i="6"/>
  <c r="Z339" i="6" s="1"/>
  <c r="AG339" i="6"/>
  <c r="AC339" i="6"/>
  <c r="AD338" i="6"/>
  <c r="AB338" i="6"/>
  <c r="AD339" i="6" l="1"/>
  <c r="AB339" i="6"/>
  <c r="AA340" i="6"/>
  <c r="Z340" i="6" s="1"/>
  <c r="AG340" i="6"/>
  <c r="AE340" i="6"/>
  <c r="AF340" i="6" s="1"/>
  <c r="AC340" i="6"/>
  <c r="AH340" i="6"/>
  <c r="Y341" i="6"/>
  <c r="AE341" i="6" l="1"/>
  <c r="AF341" i="6" s="1"/>
  <c r="Y342" i="6"/>
  <c r="AH341" i="6"/>
  <c r="AC341" i="6"/>
  <c r="AG341" i="6"/>
  <c r="AA341" i="6"/>
  <c r="Z341" i="6" s="1"/>
  <c r="AB340" i="6"/>
  <c r="AD340" i="6"/>
  <c r="AB341" i="6" l="1"/>
  <c r="AD341" i="6"/>
  <c r="AH342" i="6"/>
  <c r="AC342" i="6"/>
  <c r="AG342" i="6"/>
  <c r="Y343" i="6"/>
  <c r="AE342" i="6"/>
  <c r="AF342" i="6" s="1"/>
  <c r="AA342" i="6"/>
  <c r="Z342" i="6" s="1"/>
  <c r="AA343" i="6" l="1"/>
  <c r="Z343" i="6" s="1"/>
  <c r="AH343" i="6"/>
  <c r="AG343" i="6"/>
  <c r="Y344" i="6"/>
  <c r="AE343" i="6"/>
  <c r="AF343" i="6" s="1"/>
  <c r="AC343" i="6"/>
  <c r="AB342" i="6"/>
  <c r="AD342" i="6"/>
  <c r="AD343" i="6" l="1"/>
  <c r="AB343" i="6"/>
  <c r="AA344" i="6"/>
  <c r="Z344" i="6" s="1"/>
  <c r="AH344" i="6"/>
  <c r="AG344" i="6"/>
  <c r="AC344" i="6"/>
  <c r="Y345" i="6"/>
  <c r="AE344" i="6"/>
  <c r="AF344" i="6" s="1"/>
  <c r="AE345" i="6" l="1"/>
  <c r="AF345" i="6" s="1"/>
  <c r="AG345" i="6"/>
  <c r="AC345" i="6"/>
  <c r="AA345" i="6"/>
  <c r="Z345" i="6" s="1"/>
  <c r="AH345" i="6"/>
  <c r="Y346" i="6"/>
  <c r="AD344" i="6"/>
  <c r="AB344" i="6"/>
  <c r="Y347" i="6" l="1"/>
  <c r="AH346" i="6"/>
  <c r="AC346" i="6"/>
  <c r="AA346" i="6"/>
  <c r="Z346" i="6" s="1"/>
  <c r="AE346" i="6"/>
  <c r="AF346" i="6" s="1"/>
  <c r="AG346" i="6"/>
  <c r="AB345" i="6"/>
  <c r="AD345" i="6"/>
  <c r="AD346" i="6" l="1"/>
  <c r="AB346" i="6"/>
  <c r="AA347" i="6"/>
  <c r="Z347" i="6" s="1"/>
  <c r="Y348" i="6"/>
  <c r="AE347" i="6"/>
  <c r="AF347" i="6" s="1"/>
  <c r="AH347" i="6"/>
  <c r="AG347" i="6"/>
  <c r="AC347" i="6"/>
  <c r="AD347" i="6" l="1"/>
  <c r="AB347" i="6"/>
  <c r="Y349" i="6"/>
  <c r="AA348" i="6"/>
  <c r="Z348" i="6" s="1"/>
  <c r="AH348" i="6"/>
  <c r="AG348" i="6"/>
  <c r="AE348" i="6"/>
  <c r="AF348" i="6" s="1"/>
  <c r="AC348" i="6"/>
  <c r="AD348" i="6" l="1"/>
  <c r="AB348" i="6"/>
  <c r="Y350" i="6"/>
  <c r="AH349" i="6"/>
  <c r="AE349" i="6"/>
  <c r="AF349" i="6" s="1"/>
  <c r="AC349" i="6"/>
  <c r="AG349" i="6"/>
  <c r="AA349" i="6"/>
  <c r="Z349" i="6" s="1"/>
  <c r="AD349" i="6" l="1"/>
  <c r="AB349" i="6"/>
  <c r="AC350" i="6"/>
  <c r="AA350" i="6"/>
  <c r="Z350" i="6" s="1"/>
  <c r="AG350" i="6"/>
  <c r="Y351" i="6"/>
  <c r="AH350" i="6"/>
  <c r="AE350" i="6"/>
  <c r="AF350" i="6" s="1"/>
  <c r="AH351" i="6" l="1"/>
  <c r="AE351" i="6"/>
  <c r="AF351" i="6" s="1"/>
  <c r="AC351" i="6"/>
  <c r="AA351" i="6"/>
  <c r="Z351" i="6" s="1"/>
  <c r="Y352" i="6"/>
  <c r="AG351" i="6"/>
  <c r="AB350" i="6"/>
  <c r="AD350" i="6"/>
  <c r="AH352" i="6" l="1"/>
  <c r="Y353" i="6"/>
  <c r="AG352" i="6"/>
  <c r="AE352" i="6"/>
  <c r="AF352" i="6" s="1"/>
  <c r="AC352" i="6"/>
  <c r="AA352" i="6"/>
  <c r="Z352" i="6" s="1"/>
  <c r="AB351" i="6"/>
  <c r="AD351" i="6"/>
  <c r="AB352" i="6" l="1"/>
  <c r="AD352" i="6"/>
  <c r="Y354" i="6"/>
  <c r="AE353" i="6"/>
  <c r="AF353" i="6" s="1"/>
  <c r="AC353" i="6"/>
  <c r="AH353" i="6"/>
  <c r="AG353" i="6"/>
  <c r="AA353" i="6"/>
  <c r="Z353" i="6" s="1"/>
  <c r="AD353" i="6" l="1"/>
  <c r="AB353" i="6"/>
  <c r="AG354" i="6"/>
  <c r="Y355" i="6"/>
  <c r="AH354" i="6"/>
  <c r="AE354" i="6"/>
  <c r="AF354" i="6" s="1"/>
  <c r="AC354" i="6"/>
  <c r="AA354" i="6"/>
  <c r="Z354" i="6" s="1"/>
  <c r="AD354" i="6" l="1"/>
  <c r="AB354" i="6"/>
  <c r="AG355" i="6"/>
  <c r="AE355" i="6"/>
  <c r="AF355" i="6" s="1"/>
  <c r="Y356" i="6"/>
  <c r="AH355" i="6"/>
  <c r="AC355" i="6"/>
  <c r="AA355" i="6"/>
  <c r="Z355" i="6" s="1"/>
  <c r="AD355" i="6" l="1"/>
  <c r="AB355" i="6"/>
  <c r="AH356" i="6"/>
  <c r="Y357" i="6"/>
  <c r="AG356" i="6"/>
  <c r="AE356" i="6"/>
  <c r="AF356" i="6" s="1"/>
  <c r="AC356" i="6"/>
  <c r="AA356" i="6"/>
  <c r="Z356" i="6" s="1"/>
  <c r="AB356" i="6" l="1"/>
  <c r="AD356" i="6"/>
  <c r="AC357" i="6"/>
  <c r="AA357" i="6"/>
  <c r="Z357" i="6" s="1"/>
  <c r="AG357" i="6"/>
  <c r="AE357" i="6"/>
  <c r="AF357" i="6" s="1"/>
  <c r="Y358" i="6"/>
  <c r="AH357" i="6"/>
  <c r="Y359" i="6" l="1"/>
  <c r="AE358" i="6"/>
  <c r="AF358" i="6" s="1"/>
  <c r="AA358" i="6"/>
  <c r="Z358" i="6" s="1"/>
  <c r="AH358" i="6"/>
  <c r="AC358" i="6"/>
  <c r="AG358" i="6"/>
  <c r="AD357" i="6"/>
  <c r="AB357" i="6"/>
  <c r="AB358" i="6" l="1"/>
  <c r="AD358" i="6"/>
  <c r="AH359" i="6"/>
  <c r="AG359" i="6"/>
  <c r="AE359" i="6"/>
  <c r="AF359" i="6" s="1"/>
  <c r="AC359" i="6"/>
  <c r="Y360" i="6"/>
  <c r="AA359" i="6"/>
  <c r="Z359" i="6" s="1"/>
  <c r="AE360" i="6" l="1"/>
  <c r="AF360" i="6" s="1"/>
  <c r="AC360" i="6"/>
  <c r="AA360" i="6"/>
  <c r="Z360" i="6" s="1"/>
  <c r="Y361" i="6"/>
  <c r="AH360" i="6"/>
  <c r="AG360" i="6"/>
  <c r="AD359" i="6"/>
  <c r="AB359" i="6"/>
  <c r="AE361" i="6" l="1"/>
  <c r="AF361" i="6" s="1"/>
  <c r="Y362" i="6"/>
  <c r="AH361" i="6"/>
  <c r="AG361" i="6"/>
  <c r="AC361" i="6"/>
  <c r="AA361" i="6"/>
  <c r="Z361" i="6" s="1"/>
  <c r="AB360" i="6"/>
  <c r="AD360" i="6"/>
  <c r="AD361" i="6" l="1"/>
  <c r="AB361" i="6"/>
  <c r="AG362" i="6"/>
  <c r="Y363" i="6"/>
  <c r="AH362" i="6"/>
  <c r="AE362" i="6"/>
  <c r="AF362" i="6" s="1"/>
  <c r="AC362" i="6"/>
  <c r="AA362" i="6"/>
  <c r="Z362" i="6" s="1"/>
  <c r="AD362" i="6" l="1"/>
  <c r="AB362" i="6"/>
  <c r="AA363" i="6"/>
  <c r="Z363" i="6" s="1"/>
  <c r="Y364" i="6"/>
  <c r="AH363" i="6"/>
  <c r="AG363" i="6"/>
  <c r="AE363" i="6"/>
  <c r="AF363" i="6" s="1"/>
  <c r="AC363" i="6"/>
  <c r="AD363" i="6" l="1"/>
  <c r="AB363" i="6"/>
  <c r="Y365" i="6"/>
  <c r="AH364" i="6"/>
  <c r="AC364" i="6"/>
  <c r="AA364" i="6"/>
  <c r="Z364" i="6" s="1"/>
  <c r="AG364" i="6"/>
  <c r="AE364" i="6"/>
  <c r="AF364" i="6" s="1"/>
  <c r="AD364" i="6" l="1"/>
  <c r="AB364" i="6"/>
  <c r="AG365" i="6"/>
  <c r="AC365" i="6"/>
  <c r="Y366" i="6"/>
  <c r="AH365" i="6"/>
  <c r="AE365" i="6"/>
  <c r="AF365" i="6" s="1"/>
  <c r="AA365" i="6"/>
  <c r="Z365" i="6" s="1"/>
  <c r="AC366" i="6" l="1"/>
  <c r="Y367" i="6"/>
  <c r="AH366" i="6"/>
  <c r="AE366" i="6"/>
  <c r="AF366" i="6" s="1"/>
  <c r="AG366" i="6"/>
  <c r="AA366" i="6"/>
  <c r="Z366" i="6" s="1"/>
  <c r="AB365" i="6"/>
  <c r="AD365" i="6"/>
  <c r="AC367" i="6" l="1"/>
  <c r="AA367" i="6"/>
  <c r="Z367" i="6" s="1"/>
  <c r="AG367" i="6"/>
  <c r="Y368" i="6"/>
  <c r="AH367" i="6"/>
  <c r="AE367" i="6"/>
  <c r="AF367" i="6" s="1"/>
  <c r="AD366" i="6"/>
  <c r="AB366" i="6"/>
  <c r="Y369" i="6" l="1"/>
  <c r="AE368" i="6"/>
  <c r="AF368" i="6" s="1"/>
  <c r="AG368" i="6"/>
  <c r="AC368" i="6"/>
  <c r="AA368" i="6"/>
  <c r="Z368" i="6" s="1"/>
  <c r="AH368" i="6"/>
  <c r="AB367" i="6"/>
  <c r="AD367" i="6"/>
  <c r="AB368" i="6" l="1"/>
  <c r="AD368" i="6"/>
  <c r="Y370" i="6"/>
  <c r="AH369" i="6"/>
  <c r="AG369" i="6"/>
  <c r="AA369" i="6"/>
  <c r="Z369" i="6" s="1"/>
  <c r="AE369" i="6"/>
  <c r="AF369" i="6" s="1"/>
  <c r="AC369" i="6"/>
  <c r="AB369" i="6" l="1"/>
  <c r="AD369" i="6"/>
  <c r="AH370" i="6"/>
  <c r="AE370" i="6"/>
  <c r="AF370" i="6" s="1"/>
  <c r="AC370" i="6"/>
  <c r="AA370" i="6"/>
  <c r="Z370" i="6" s="1"/>
  <c r="Y371" i="6"/>
  <c r="AG370" i="6"/>
  <c r="AH371" i="6" l="1"/>
  <c r="AG371" i="6"/>
  <c r="AE371" i="6"/>
  <c r="AF371" i="6" s="1"/>
  <c r="AA371" i="6"/>
  <c r="Z371" i="6" s="1"/>
  <c r="Y372" i="6"/>
  <c r="AC371" i="6"/>
  <c r="AB370" i="6"/>
  <c r="AD370" i="6"/>
  <c r="AD371" i="6" l="1"/>
  <c r="AB371" i="6"/>
  <c r="AA372" i="6"/>
  <c r="Z372" i="6" s="1"/>
  <c r="Y373" i="6"/>
  <c r="AH372" i="6"/>
  <c r="AE372" i="6"/>
  <c r="AF372" i="6" s="1"/>
  <c r="AG372" i="6"/>
  <c r="AC372" i="6"/>
  <c r="AB372" i="6" l="1"/>
  <c r="AD372" i="6"/>
  <c r="AA373" i="6"/>
  <c r="Z373" i="6" s="1"/>
  <c r="Y374" i="6"/>
  <c r="AH373" i="6"/>
  <c r="AG373" i="6"/>
  <c r="AE373" i="6"/>
  <c r="AF373" i="6" s="1"/>
  <c r="AC373" i="6"/>
  <c r="AB373" i="6" l="1"/>
  <c r="AD373" i="6"/>
  <c r="AG374" i="6"/>
  <c r="AC374" i="6"/>
  <c r="Y375" i="6"/>
  <c r="AE374" i="6"/>
  <c r="AF374" i="6" s="1"/>
  <c r="AH374" i="6"/>
  <c r="AA374" i="6"/>
  <c r="Z374" i="6" s="1"/>
  <c r="AH375" i="6" l="1"/>
  <c r="AE375" i="6"/>
  <c r="AF375" i="6" s="1"/>
  <c r="AA375" i="6"/>
  <c r="Z375" i="6" s="1"/>
  <c r="Y376" i="6"/>
  <c r="AG375" i="6"/>
  <c r="AC375" i="6"/>
  <c r="AD374" i="6"/>
  <c r="AB374" i="6"/>
  <c r="AB375" i="6" l="1"/>
  <c r="AD375" i="6"/>
  <c r="Y377" i="6"/>
  <c r="AG376" i="6"/>
  <c r="AE376" i="6"/>
  <c r="AF376" i="6" s="1"/>
  <c r="AC376" i="6"/>
  <c r="AH376" i="6"/>
  <c r="AA376" i="6"/>
  <c r="Z376" i="6" s="1"/>
  <c r="AD376" i="6" l="1"/>
  <c r="AB376" i="6"/>
  <c r="Y378" i="6"/>
  <c r="AC377" i="6"/>
  <c r="AA377" i="6"/>
  <c r="Z377" i="6" s="1"/>
  <c r="AH377" i="6"/>
  <c r="AG377" i="6"/>
  <c r="AE377" i="6"/>
  <c r="AF377" i="6" s="1"/>
  <c r="Y379" i="6" l="1"/>
  <c r="AH378" i="6"/>
  <c r="AE378" i="6"/>
  <c r="AF378" i="6" s="1"/>
  <c r="AC378" i="6"/>
  <c r="AG378" i="6"/>
  <c r="AA378" i="6"/>
  <c r="Z378" i="6" s="1"/>
  <c r="AB377" i="6"/>
  <c r="AD377" i="6"/>
  <c r="AD378" i="6" l="1"/>
  <c r="AB378" i="6"/>
  <c r="Y380" i="6"/>
  <c r="AH379" i="6"/>
  <c r="AG379" i="6"/>
  <c r="AC379" i="6"/>
  <c r="AE379" i="6"/>
  <c r="AF379" i="6" s="1"/>
  <c r="AA379" i="6"/>
  <c r="Z379" i="6" s="1"/>
  <c r="AB379" i="6" l="1"/>
  <c r="AD379" i="6"/>
  <c r="AH380" i="6"/>
  <c r="AE380" i="6"/>
  <c r="AF380" i="6" s="1"/>
  <c r="AA380" i="6"/>
  <c r="Z380" i="6" s="1"/>
  <c r="Y381" i="6"/>
  <c r="AG380" i="6"/>
  <c r="AC380" i="6"/>
  <c r="AD380" i="6" l="1"/>
  <c r="AB380" i="6"/>
  <c r="AH381" i="6"/>
  <c r="Y382" i="6"/>
  <c r="AG381" i="6"/>
  <c r="AC381" i="6"/>
  <c r="AE381" i="6"/>
  <c r="AF381" i="6" s="1"/>
  <c r="AA381" i="6"/>
  <c r="Z381" i="6" s="1"/>
  <c r="AD381" i="6" l="1"/>
  <c r="AB381" i="6"/>
  <c r="Y383" i="6"/>
  <c r="AC382" i="6"/>
  <c r="AH382" i="6"/>
  <c r="AG382" i="6"/>
  <c r="AE382" i="6"/>
  <c r="AF382" i="6" s="1"/>
  <c r="AA382" i="6"/>
  <c r="Z382" i="6" s="1"/>
  <c r="AD382" i="6" l="1"/>
  <c r="AB382" i="6"/>
  <c r="AG383" i="6"/>
  <c r="Y384" i="6"/>
  <c r="AH383" i="6"/>
  <c r="AE383" i="6"/>
  <c r="AF383" i="6" s="1"/>
  <c r="AC383" i="6"/>
  <c r="AA383" i="6"/>
  <c r="Z383" i="6" s="1"/>
  <c r="AD383" i="6" l="1"/>
  <c r="AB383" i="6"/>
  <c r="AH384" i="6"/>
  <c r="AG384" i="6"/>
  <c r="AA384" i="6"/>
  <c r="Z384" i="6" s="1"/>
  <c r="Y385" i="6"/>
  <c r="AE384" i="6"/>
  <c r="AF384" i="6" s="1"/>
  <c r="AC384" i="6"/>
  <c r="AB384" i="6" l="1"/>
  <c r="AD384" i="6"/>
  <c r="Y386" i="6"/>
  <c r="AC385" i="6"/>
  <c r="AA385" i="6"/>
  <c r="Z385" i="6" s="1"/>
  <c r="AH385" i="6"/>
  <c r="AG385" i="6"/>
  <c r="AE385" i="6"/>
  <c r="AF385" i="6" s="1"/>
  <c r="AB385" i="6" l="1"/>
  <c r="AD385" i="6"/>
  <c r="AC386" i="6"/>
  <c r="Y387" i="6"/>
  <c r="AH386" i="6"/>
  <c r="AG386" i="6"/>
  <c r="AE386" i="6"/>
  <c r="AF386" i="6" s="1"/>
  <c r="AA386" i="6"/>
  <c r="Z386" i="6" s="1"/>
  <c r="AG387" i="6" l="1"/>
  <c r="AE387" i="6"/>
  <c r="AF387" i="6" s="1"/>
  <c r="AC387" i="6"/>
  <c r="AA387" i="6"/>
  <c r="Z387" i="6" s="1"/>
  <c r="Y388" i="6"/>
  <c r="AH387" i="6"/>
  <c r="AD386" i="6"/>
  <c r="AB386" i="6"/>
  <c r="AH388" i="6" l="1"/>
  <c r="AE388" i="6"/>
  <c r="AF388" i="6" s="1"/>
  <c r="AA388" i="6"/>
  <c r="Z388" i="6" s="1"/>
  <c r="Y389" i="6"/>
  <c r="AG388" i="6"/>
  <c r="AC388" i="6"/>
  <c r="AD387" i="6"/>
  <c r="AB387" i="6"/>
  <c r="AD388" i="6" l="1"/>
  <c r="AB388" i="6"/>
  <c r="AE389" i="6"/>
  <c r="AF389" i="6" s="1"/>
  <c r="Y390" i="6"/>
  <c r="AH389" i="6"/>
  <c r="AA389" i="6"/>
  <c r="Z389" i="6" s="1"/>
  <c r="AG389" i="6"/>
  <c r="AC389" i="6"/>
  <c r="AB389" i="6" l="1"/>
  <c r="AD389" i="6"/>
  <c r="Y391" i="6"/>
  <c r="AH390" i="6"/>
  <c r="AG390" i="6"/>
  <c r="AE390" i="6"/>
  <c r="AF390" i="6" s="1"/>
  <c r="AA390" i="6"/>
  <c r="Z390" i="6" s="1"/>
  <c r="AC390" i="6"/>
  <c r="AD390" i="6" l="1"/>
  <c r="AB390" i="6"/>
  <c r="AG391" i="6"/>
  <c r="Y392" i="6"/>
  <c r="AH391" i="6"/>
  <c r="AE391" i="6"/>
  <c r="AF391" i="6" s="1"/>
  <c r="AC391" i="6"/>
  <c r="AA391" i="6"/>
  <c r="Z391" i="6" s="1"/>
  <c r="AD391" i="6" l="1"/>
  <c r="AB391" i="6"/>
  <c r="AA392" i="6"/>
  <c r="Z392" i="6" s="1"/>
  <c r="AH392" i="6"/>
  <c r="AE392" i="6"/>
  <c r="AF392" i="6" s="1"/>
  <c r="Y393" i="6"/>
  <c r="AG392" i="6"/>
  <c r="AC392" i="6"/>
  <c r="AD392" i="6" l="1"/>
  <c r="AB392" i="6"/>
  <c r="AE393" i="6"/>
  <c r="AF393" i="6" s="1"/>
  <c r="Y394" i="6"/>
  <c r="AH393" i="6"/>
  <c r="AG393" i="6"/>
  <c r="AC393" i="6"/>
  <c r="AA393" i="6"/>
  <c r="Z393" i="6" s="1"/>
  <c r="AB393" i="6" l="1"/>
  <c r="AD393" i="6"/>
  <c r="AC394" i="6"/>
  <c r="AA394" i="6"/>
  <c r="Z394" i="6" s="1"/>
  <c r="AH394" i="6"/>
  <c r="Y395" i="6"/>
  <c r="AG394" i="6"/>
  <c r="AE394" i="6"/>
  <c r="AF394" i="6" s="1"/>
  <c r="AC395" i="6" l="1"/>
  <c r="Y396" i="6"/>
  <c r="AH395" i="6"/>
  <c r="AE395" i="6"/>
  <c r="AF395" i="6" s="1"/>
  <c r="AG395" i="6"/>
  <c r="AA395" i="6"/>
  <c r="Z395" i="6" s="1"/>
  <c r="AB394" i="6"/>
  <c r="AD394" i="6"/>
  <c r="Y397" i="6" l="1"/>
  <c r="AH396" i="6"/>
  <c r="AG396" i="6"/>
  <c r="AE396" i="6"/>
  <c r="AF396" i="6" s="1"/>
  <c r="AC396" i="6"/>
  <c r="AA396" i="6"/>
  <c r="Z396" i="6" s="1"/>
  <c r="AD395" i="6"/>
  <c r="AB395" i="6"/>
  <c r="AD396" i="6" l="1"/>
  <c r="AB396" i="6"/>
  <c r="Y398" i="6"/>
  <c r="AE397" i="6"/>
  <c r="AF397" i="6" s="1"/>
  <c r="AG397" i="6"/>
  <c r="AC397" i="6"/>
  <c r="AA397" i="6"/>
  <c r="Z397" i="6" s="1"/>
  <c r="AH397" i="6"/>
  <c r="AD397" i="6" l="1"/>
  <c r="AB397" i="6"/>
  <c r="AH398" i="6"/>
  <c r="Y399" i="6"/>
  <c r="AG398" i="6"/>
  <c r="AC398" i="6"/>
  <c r="AE398" i="6"/>
  <c r="AF398" i="6" s="1"/>
  <c r="AA398" i="6"/>
  <c r="Z398" i="6" s="1"/>
  <c r="AB398" i="6" l="1"/>
  <c r="AD398" i="6"/>
  <c r="AC399" i="6"/>
  <c r="Y400" i="6"/>
  <c r="AH399" i="6"/>
  <c r="AG399" i="6"/>
  <c r="AE399" i="6"/>
  <c r="AF399" i="6" s="1"/>
  <c r="AA399" i="6"/>
  <c r="Z399" i="6" s="1"/>
  <c r="AD399" i="6" l="1"/>
  <c r="AB399" i="6"/>
  <c r="AH400" i="6"/>
  <c r="Y401" i="6"/>
  <c r="AG400" i="6"/>
  <c r="AE400" i="6"/>
  <c r="AF400" i="6" s="1"/>
  <c r="AC400" i="6"/>
  <c r="AA400" i="6"/>
  <c r="Z400" i="6" s="1"/>
  <c r="AD400" i="6" l="1"/>
  <c r="AB400" i="6"/>
  <c r="AA401" i="6"/>
  <c r="Z401" i="6" s="1"/>
  <c r="AG401" i="6"/>
  <c r="Y402" i="6"/>
  <c r="AH401" i="6"/>
  <c r="AE401" i="6"/>
  <c r="AF401" i="6" s="1"/>
  <c r="AC401" i="6"/>
  <c r="AB401" i="6" l="1"/>
  <c r="AD401" i="6"/>
  <c r="Y403" i="6"/>
  <c r="AG402" i="6"/>
  <c r="AC402" i="6"/>
  <c r="AA402" i="6"/>
  <c r="Z402" i="6" s="1"/>
  <c r="AH402" i="6"/>
  <c r="AE402" i="6"/>
  <c r="AF402" i="6" s="1"/>
  <c r="AG403" i="6" l="1"/>
  <c r="AC403" i="6"/>
  <c r="Y404" i="6"/>
  <c r="AH403" i="6"/>
  <c r="AE403" i="6"/>
  <c r="AF403" i="6" s="1"/>
  <c r="AA403" i="6"/>
  <c r="Z403" i="6" s="1"/>
  <c r="AB402" i="6"/>
  <c r="AD402" i="6"/>
  <c r="AE404" i="6" l="1"/>
  <c r="AF404" i="6" s="1"/>
  <c r="AC404" i="6"/>
  <c r="AA404" i="6"/>
  <c r="Z404" i="6" s="1"/>
  <c r="Y405" i="6"/>
  <c r="AH404" i="6"/>
  <c r="AG404" i="6"/>
  <c r="AD403" i="6"/>
  <c r="AB403" i="6"/>
  <c r="AA405" i="6" l="1"/>
  <c r="Z405" i="6" s="1"/>
  <c r="Y406" i="6"/>
  <c r="AE405" i="6"/>
  <c r="AF405" i="6" s="1"/>
  <c r="AH405" i="6"/>
  <c r="AG405" i="6"/>
  <c r="AC405" i="6"/>
  <c r="AD404" i="6"/>
  <c r="AB404" i="6"/>
  <c r="AD405" i="6" l="1"/>
  <c r="AB405" i="6"/>
  <c r="Y407" i="6"/>
  <c r="AH406" i="6"/>
  <c r="AG406" i="6"/>
  <c r="AE406" i="6"/>
  <c r="AF406" i="6" s="1"/>
  <c r="AC406" i="6"/>
  <c r="AA406" i="6"/>
  <c r="Z406" i="6" s="1"/>
  <c r="AB406" i="6" l="1"/>
  <c r="AD406" i="6"/>
  <c r="Y408" i="6"/>
  <c r="AH407" i="6"/>
  <c r="AG407" i="6"/>
  <c r="AE407" i="6"/>
  <c r="AF407" i="6" s="1"/>
  <c r="AC407" i="6"/>
  <c r="AA407" i="6"/>
  <c r="Z407" i="6" s="1"/>
  <c r="AB407" i="6" l="1"/>
  <c r="AD407" i="6"/>
  <c r="Y409" i="6"/>
  <c r="AH408" i="6"/>
  <c r="AG408" i="6"/>
  <c r="AE408" i="6"/>
  <c r="AF408" i="6" s="1"/>
  <c r="AC408" i="6"/>
  <c r="AA408" i="6"/>
  <c r="Z408" i="6" s="1"/>
  <c r="AD408" i="6" l="1"/>
  <c r="AB408" i="6"/>
  <c r="AH409" i="6"/>
  <c r="AE409" i="6"/>
  <c r="AF409" i="6" s="1"/>
  <c r="AA409" i="6"/>
  <c r="Z409" i="6" s="1"/>
  <c r="AG409" i="6"/>
  <c r="AC409" i="6"/>
  <c r="Y410" i="6"/>
  <c r="Y411" i="6" l="1"/>
  <c r="AH410" i="6"/>
  <c r="AG410" i="6"/>
  <c r="AE410" i="6"/>
  <c r="AF410" i="6" s="1"/>
  <c r="AC410" i="6"/>
  <c r="AA410" i="6"/>
  <c r="Z410" i="6" s="1"/>
  <c r="AD409" i="6"/>
  <c r="AB409" i="6"/>
  <c r="AD410" i="6" l="1"/>
  <c r="AB410" i="6"/>
  <c r="AC411" i="6"/>
  <c r="AA411" i="6"/>
  <c r="Z411" i="6" s="1"/>
  <c r="AG411" i="6"/>
  <c r="Y412" i="6"/>
  <c r="AH411" i="6"/>
  <c r="AE411" i="6"/>
  <c r="AF411" i="6" s="1"/>
  <c r="AH412" i="6" l="1"/>
  <c r="AG412" i="6"/>
  <c r="Y413" i="6"/>
  <c r="AC412" i="6"/>
  <c r="AA412" i="6"/>
  <c r="Z412" i="6" s="1"/>
  <c r="AE412" i="6"/>
  <c r="AF412" i="6" s="1"/>
  <c r="AB411" i="6"/>
  <c r="AD411" i="6"/>
  <c r="AD412" i="6" l="1"/>
  <c r="AB412" i="6"/>
  <c r="AH413" i="6"/>
  <c r="Y414" i="6"/>
  <c r="AG413" i="6"/>
  <c r="AE413" i="6"/>
  <c r="AF413" i="6" s="1"/>
  <c r="AA413" i="6"/>
  <c r="Z413" i="6" s="1"/>
  <c r="AC413" i="6"/>
  <c r="AD413" i="6" l="1"/>
  <c r="AB413" i="6"/>
  <c r="Y415" i="6"/>
  <c r="AE414" i="6"/>
  <c r="AF414" i="6" s="1"/>
  <c r="AC414" i="6"/>
  <c r="AA414" i="6"/>
  <c r="Z414" i="6" s="1"/>
  <c r="AH414" i="6"/>
  <c r="AG414" i="6"/>
  <c r="AG415" i="6" l="1"/>
  <c r="AC415" i="6"/>
  <c r="Y416" i="6"/>
  <c r="AH415" i="6"/>
  <c r="AE415" i="6"/>
  <c r="AF415" i="6" s="1"/>
  <c r="AA415" i="6"/>
  <c r="Z415" i="6" s="1"/>
  <c r="AD414" i="6"/>
  <c r="AB414" i="6"/>
  <c r="AG416" i="6" l="1"/>
  <c r="Y417" i="6"/>
  <c r="AH416" i="6"/>
  <c r="AE416" i="6"/>
  <c r="AF416" i="6" s="1"/>
  <c r="AC416" i="6"/>
  <c r="AA416" i="6"/>
  <c r="Z416" i="6" s="1"/>
  <c r="AD415" i="6"/>
  <c r="AB415" i="6"/>
  <c r="AD416" i="6" l="1"/>
  <c r="AB416" i="6"/>
  <c r="AH417" i="6"/>
  <c r="Y418" i="6"/>
  <c r="AG417" i="6"/>
  <c r="AE417" i="6"/>
  <c r="AF417" i="6" s="1"/>
  <c r="AC417" i="6"/>
  <c r="AA417" i="6"/>
  <c r="Z417" i="6" s="1"/>
  <c r="AD417" i="6" l="1"/>
  <c r="AB417" i="6"/>
  <c r="AG418" i="6"/>
  <c r="AH418" i="6"/>
  <c r="AE418" i="6"/>
  <c r="AF418" i="6" s="1"/>
  <c r="AC418" i="6"/>
  <c r="AA418" i="6"/>
  <c r="Z418" i="6" s="1"/>
  <c r="Y419" i="6"/>
  <c r="AD418" i="6" l="1"/>
  <c r="AB418" i="6"/>
  <c r="Y420" i="6"/>
  <c r="AH419" i="6"/>
  <c r="AG419" i="6"/>
  <c r="AE419" i="6"/>
  <c r="AF419" i="6" s="1"/>
  <c r="AA419" i="6"/>
  <c r="Z419" i="6" s="1"/>
  <c r="AC419" i="6"/>
  <c r="AB419" i="6" l="1"/>
  <c r="AD419" i="6"/>
  <c r="AG420" i="6"/>
  <c r="Y421" i="6"/>
  <c r="AH420" i="6"/>
  <c r="AE420" i="6"/>
  <c r="AF420" i="6" s="1"/>
  <c r="AC420" i="6"/>
  <c r="AA420" i="6"/>
  <c r="Z420" i="6" s="1"/>
  <c r="AE421" i="6" l="1"/>
  <c r="AF421" i="6" s="1"/>
  <c r="AA421" i="6"/>
  <c r="Z421" i="6" s="1"/>
  <c r="AC421" i="6"/>
  <c r="Y422" i="6"/>
  <c r="AH421" i="6"/>
  <c r="AG421" i="6"/>
  <c r="AD420" i="6"/>
  <c r="AB420" i="6"/>
  <c r="AE422" i="6" l="1"/>
  <c r="AF422" i="6" s="1"/>
  <c r="Y423" i="6"/>
  <c r="AC422" i="6"/>
  <c r="AH422" i="6"/>
  <c r="AG422" i="6"/>
  <c r="AA422" i="6"/>
  <c r="Z422" i="6" s="1"/>
  <c r="AB421" i="6"/>
  <c r="AD421" i="6"/>
  <c r="AD422" i="6" l="1"/>
  <c r="AB422" i="6"/>
  <c r="Y424" i="6"/>
  <c r="AH423" i="6"/>
  <c r="AG423" i="6"/>
  <c r="AE423" i="6"/>
  <c r="AF423" i="6" s="1"/>
  <c r="AA423" i="6"/>
  <c r="Z423" i="6" s="1"/>
  <c r="AC423" i="6"/>
  <c r="AD423" i="6" l="1"/>
  <c r="AB423" i="6"/>
  <c r="AA424" i="6"/>
  <c r="Z424" i="6" s="1"/>
  <c r="Y425" i="6"/>
  <c r="AH424" i="6"/>
  <c r="AG424" i="6"/>
  <c r="AE424" i="6"/>
  <c r="AF424" i="6" s="1"/>
  <c r="AC424" i="6"/>
  <c r="AD424" i="6" l="1"/>
  <c r="AB424" i="6"/>
  <c r="AC425" i="6"/>
  <c r="Y426" i="6"/>
  <c r="AH425" i="6"/>
  <c r="AE425" i="6"/>
  <c r="AF425" i="6" s="1"/>
  <c r="AG425" i="6"/>
  <c r="AA425" i="6"/>
  <c r="Z425" i="6" s="1"/>
  <c r="AH426" i="6" l="1"/>
  <c r="AE426" i="6"/>
  <c r="AF426" i="6" s="1"/>
  <c r="AG426" i="6"/>
  <c r="AC426" i="6"/>
  <c r="Y427" i="6"/>
  <c r="AA426" i="6"/>
  <c r="Z426" i="6" s="1"/>
  <c r="AD425" i="6"/>
  <c r="AB425" i="6"/>
  <c r="AC427" i="6" l="1"/>
  <c r="AA427" i="6"/>
  <c r="Z427" i="6" s="1"/>
  <c r="Y428" i="6"/>
  <c r="AH427" i="6"/>
  <c r="AG427" i="6"/>
  <c r="AE427" i="6"/>
  <c r="AF427" i="6" s="1"/>
  <c r="AD426" i="6"/>
  <c r="AB426" i="6"/>
  <c r="AC428" i="6" l="1"/>
  <c r="AE428" i="6"/>
  <c r="AF428" i="6" s="1"/>
  <c r="AA428" i="6"/>
  <c r="Z428" i="6" s="1"/>
  <c r="Y429" i="6"/>
  <c r="AH428" i="6"/>
  <c r="AG428" i="6"/>
  <c r="AD427" i="6"/>
  <c r="AB427" i="6"/>
  <c r="Y430" i="6" l="1"/>
  <c r="AG429" i="6"/>
  <c r="AE429" i="6"/>
  <c r="AF429" i="6" s="1"/>
  <c r="AC429" i="6"/>
  <c r="AH429" i="6"/>
  <c r="AA429" i="6"/>
  <c r="Z429" i="6" s="1"/>
  <c r="AB428" i="6"/>
  <c r="AD428" i="6"/>
  <c r="AD429" i="6" l="1"/>
  <c r="AB429" i="6"/>
  <c r="Y431" i="6"/>
  <c r="AH430" i="6"/>
  <c r="AE430" i="6"/>
  <c r="AF430" i="6" s="1"/>
  <c r="AC430" i="6"/>
  <c r="AG430" i="6"/>
  <c r="AA430" i="6"/>
  <c r="Z430" i="6" s="1"/>
  <c r="AB430" i="6" l="1"/>
  <c r="AD430" i="6"/>
  <c r="AA431" i="6"/>
  <c r="Z431" i="6" s="1"/>
  <c r="Y432" i="6"/>
  <c r="AH431" i="6"/>
  <c r="AG431" i="6"/>
  <c r="AE431" i="6"/>
  <c r="AF431" i="6" s="1"/>
  <c r="AC431" i="6"/>
  <c r="AB431" i="6" l="1"/>
  <c r="AD431" i="6"/>
  <c r="Y433" i="6"/>
  <c r="AH432" i="6"/>
  <c r="AC432" i="6"/>
  <c r="AA432" i="6"/>
  <c r="Z432" i="6" s="1"/>
  <c r="AG432" i="6"/>
  <c r="AE432" i="6"/>
  <c r="AF432" i="6" s="1"/>
  <c r="AD432" i="6" l="1"/>
  <c r="AB432" i="6"/>
  <c r="AA433" i="6"/>
  <c r="Z433" i="6" s="1"/>
  <c r="Y434" i="6"/>
  <c r="AH433" i="6"/>
  <c r="AE433" i="6"/>
  <c r="AF433" i="6" s="1"/>
  <c r="AC433" i="6"/>
  <c r="AG433" i="6"/>
  <c r="AD433" i="6" l="1"/>
  <c r="AB433" i="6"/>
  <c r="AA434" i="6"/>
  <c r="Z434" i="6" s="1"/>
  <c r="Y435" i="6"/>
  <c r="AH434" i="6"/>
  <c r="AG434" i="6"/>
  <c r="AE434" i="6"/>
  <c r="AF434" i="6" s="1"/>
  <c r="AC434" i="6"/>
  <c r="AB434" i="6" l="1"/>
  <c r="AD434" i="6"/>
  <c r="AH435" i="6"/>
  <c r="AG435" i="6"/>
  <c r="AC435" i="6"/>
  <c r="Y436" i="6"/>
  <c r="AE435" i="6"/>
  <c r="AF435" i="6" s="1"/>
  <c r="AA435" i="6"/>
  <c r="Z435" i="6" s="1"/>
  <c r="Y437" i="6" l="1"/>
  <c r="AA436" i="6"/>
  <c r="Z436" i="6" s="1"/>
  <c r="AH436" i="6"/>
  <c r="AE436" i="6"/>
  <c r="AF436" i="6" s="1"/>
  <c r="AG436" i="6"/>
  <c r="AC436" i="6"/>
  <c r="AB435" i="6"/>
  <c r="AD435" i="6"/>
  <c r="AD436" i="6" l="1"/>
  <c r="AB436" i="6"/>
  <c r="AH437" i="6"/>
  <c r="AG437" i="6"/>
  <c r="AE437" i="6"/>
  <c r="AF437" i="6" s="1"/>
  <c r="AA437" i="6"/>
  <c r="Z437" i="6" s="1"/>
  <c r="Y438" i="6"/>
  <c r="AC437" i="6"/>
  <c r="AB437" i="6" l="1"/>
  <c r="AD437" i="6"/>
  <c r="Y439" i="6"/>
  <c r="AG438" i="6"/>
  <c r="AH438" i="6"/>
  <c r="AE438" i="6"/>
  <c r="AF438" i="6" s="1"/>
  <c r="AC438" i="6"/>
  <c r="AA438" i="6"/>
  <c r="Z438" i="6" s="1"/>
  <c r="AB438" i="6" l="1"/>
  <c r="AD438" i="6"/>
  <c r="Y440" i="6"/>
  <c r="AH439" i="6"/>
  <c r="AE439" i="6"/>
  <c r="AF439" i="6" s="1"/>
  <c r="AC439" i="6"/>
  <c r="AA439" i="6"/>
  <c r="Z439" i="6" s="1"/>
  <c r="AG439" i="6"/>
  <c r="AD439" i="6" l="1"/>
  <c r="AB439" i="6"/>
  <c r="AH440" i="6"/>
  <c r="AG440" i="6"/>
  <c r="AE440" i="6"/>
  <c r="AF440" i="6" s="1"/>
  <c r="Y441" i="6"/>
  <c r="AC440" i="6"/>
  <c r="AA440" i="6"/>
  <c r="Z440" i="6" s="1"/>
  <c r="AB440" i="6" l="1"/>
  <c r="AD440" i="6"/>
  <c r="AH441" i="6"/>
  <c r="AE441" i="6"/>
  <c r="AF441" i="6" s="1"/>
  <c r="AA441" i="6"/>
  <c r="Z441" i="6" s="1"/>
  <c r="AG441" i="6"/>
  <c r="AC441" i="6"/>
  <c r="Y442" i="6"/>
  <c r="AH442" i="6" l="1"/>
  <c r="AG442" i="6"/>
  <c r="Y443" i="6"/>
  <c r="AE442" i="6"/>
  <c r="AF442" i="6" s="1"/>
  <c r="AC442" i="6"/>
  <c r="AA442" i="6"/>
  <c r="Z442" i="6" s="1"/>
  <c r="AD441" i="6"/>
  <c r="AB441" i="6"/>
  <c r="AD442" i="6" l="1"/>
  <c r="AB442" i="6"/>
  <c r="AC443" i="6"/>
  <c r="AA443" i="6"/>
  <c r="Z443" i="6" s="1"/>
  <c r="AH443" i="6"/>
  <c r="Y444" i="6"/>
  <c r="AG443" i="6"/>
  <c r="AE443" i="6"/>
  <c r="AF443" i="6" s="1"/>
  <c r="AG444" i="6" l="1"/>
  <c r="AE444" i="6"/>
  <c r="AF444" i="6" s="1"/>
  <c r="AC444" i="6"/>
  <c r="AH444" i="6"/>
  <c r="AA444" i="6"/>
  <c r="Z444" i="6" s="1"/>
  <c r="Y445" i="6"/>
  <c r="AB443" i="6"/>
  <c r="AD443" i="6"/>
  <c r="AG445" i="6" l="1"/>
  <c r="Y446" i="6"/>
  <c r="AH445" i="6"/>
  <c r="AE445" i="6"/>
  <c r="AF445" i="6" s="1"/>
  <c r="AC445" i="6"/>
  <c r="AA445" i="6"/>
  <c r="Z445" i="6" s="1"/>
  <c r="AD444" i="6"/>
  <c r="AB444" i="6"/>
  <c r="AB445" i="6" l="1"/>
  <c r="AD445" i="6"/>
  <c r="Y447" i="6"/>
  <c r="AH446" i="6"/>
  <c r="AG446" i="6"/>
  <c r="AE446" i="6"/>
  <c r="AF446" i="6" s="1"/>
  <c r="AC446" i="6"/>
  <c r="AA446" i="6"/>
  <c r="Z446" i="6" s="1"/>
  <c r="AD446" i="6" l="1"/>
  <c r="AB446" i="6"/>
  <c r="AC447" i="6"/>
  <c r="AG447" i="6"/>
  <c r="Y448" i="6"/>
  <c r="AH447" i="6"/>
  <c r="AE447" i="6"/>
  <c r="AF447" i="6" s="1"/>
  <c r="AA447" i="6"/>
  <c r="Z447" i="6" s="1"/>
  <c r="AE448" i="6" l="1"/>
  <c r="AF448" i="6" s="1"/>
  <c r="Y449" i="6"/>
  <c r="AH448" i="6"/>
  <c r="AG448" i="6"/>
  <c r="AA448" i="6"/>
  <c r="Z448" i="6" s="1"/>
  <c r="AC448" i="6"/>
  <c r="AD447" i="6"/>
  <c r="AB447" i="6"/>
  <c r="AB448" i="6" l="1"/>
  <c r="AD448" i="6"/>
  <c r="AH449" i="6"/>
  <c r="Y450" i="6"/>
  <c r="AG449" i="6"/>
  <c r="AE449" i="6"/>
  <c r="AF449" i="6" s="1"/>
  <c r="AC449" i="6"/>
  <c r="AA449" i="6"/>
  <c r="Z449" i="6" s="1"/>
  <c r="AB449" i="6" l="1"/>
  <c r="AD449" i="6"/>
  <c r="AE450" i="6"/>
  <c r="AF450" i="6" s="1"/>
  <c r="AC450" i="6"/>
  <c r="AH450" i="6"/>
  <c r="AG450" i="6"/>
  <c r="AA450" i="6"/>
  <c r="Z450" i="6" s="1"/>
  <c r="Y451" i="6"/>
  <c r="AE451" i="6" l="1"/>
  <c r="AF451" i="6" s="1"/>
  <c r="Y452" i="6"/>
  <c r="AH451" i="6"/>
  <c r="AG451" i="6"/>
  <c r="AC451" i="6"/>
  <c r="AA451" i="6"/>
  <c r="Z451" i="6" s="1"/>
  <c r="AB450" i="6"/>
  <c r="AD450" i="6"/>
  <c r="AD451" i="6" l="1"/>
  <c r="AB451" i="6"/>
  <c r="AA452" i="6"/>
  <c r="Z452" i="6" s="1"/>
  <c r="AG452" i="6"/>
  <c r="AH452" i="6"/>
  <c r="AE452" i="6"/>
  <c r="AF452" i="6" s="1"/>
  <c r="Y453" i="6"/>
  <c r="AC452" i="6"/>
  <c r="AD452" i="6" l="1"/>
  <c r="AB452" i="6"/>
  <c r="AA453" i="6"/>
  <c r="Z453" i="6" s="1"/>
  <c r="Y454" i="6"/>
  <c r="AH453" i="6"/>
  <c r="AG453" i="6"/>
  <c r="AE453" i="6"/>
  <c r="AF453" i="6" s="1"/>
  <c r="AC453" i="6"/>
  <c r="AD453" i="6" l="1"/>
  <c r="AB453" i="6"/>
  <c r="AH454" i="6"/>
  <c r="AC454" i="6"/>
  <c r="AE454" i="6"/>
  <c r="AF454" i="6" s="1"/>
  <c r="AA454" i="6"/>
  <c r="Z454" i="6" s="1"/>
  <c r="Y455" i="6"/>
  <c r="AG454" i="6"/>
  <c r="AH455" i="6" l="1"/>
  <c r="AG455" i="6"/>
  <c r="AE455" i="6"/>
  <c r="AF455" i="6" s="1"/>
  <c r="Y456" i="6"/>
  <c r="AC455" i="6"/>
  <c r="AA455" i="6"/>
  <c r="Z455" i="6" s="1"/>
  <c r="AD454" i="6"/>
  <c r="AB454" i="6"/>
  <c r="AB455" i="6" l="1"/>
  <c r="AD455" i="6"/>
  <c r="AC456" i="6"/>
  <c r="AA456" i="6"/>
  <c r="Z456" i="6" s="1"/>
  <c r="Y457" i="6"/>
  <c r="AG456" i="6"/>
  <c r="AE456" i="6"/>
  <c r="AF456" i="6" s="1"/>
  <c r="AH456" i="6"/>
  <c r="Y458" i="6" l="1"/>
  <c r="AC457" i="6"/>
  <c r="AH457" i="6"/>
  <c r="AG457" i="6"/>
  <c r="AE457" i="6"/>
  <c r="AF457" i="6" s="1"/>
  <c r="AA457" i="6"/>
  <c r="Z457" i="6" s="1"/>
  <c r="AD456" i="6"/>
  <c r="AB456" i="6"/>
  <c r="AB457" i="6" l="1"/>
  <c r="AD457" i="6"/>
  <c r="Y459" i="6"/>
  <c r="AE458" i="6"/>
  <c r="AF458" i="6" s="1"/>
  <c r="AC458" i="6"/>
  <c r="AA458" i="6"/>
  <c r="Z458" i="6" s="1"/>
  <c r="AH458" i="6"/>
  <c r="AG458" i="6"/>
  <c r="AD458" i="6" l="1"/>
  <c r="AB458" i="6"/>
  <c r="AG459" i="6"/>
  <c r="AE459" i="6"/>
  <c r="AF459" i="6" s="1"/>
  <c r="AA459" i="6"/>
  <c r="Z459" i="6" s="1"/>
  <c r="Y460" i="6"/>
  <c r="AC459" i="6"/>
  <c r="AH459" i="6"/>
  <c r="AB459" i="6" l="1"/>
  <c r="AD459" i="6"/>
  <c r="AH460" i="6"/>
  <c r="AA460" i="6"/>
  <c r="Z460" i="6" s="1"/>
  <c r="Y461" i="6"/>
  <c r="AE460" i="6"/>
  <c r="AF460" i="6" s="1"/>
  <c r="AC460" i="6"/>
  <c r="AG460" i="6"/>
  <c r="AD460" i="6" l="1"/>
  <c r="AB460" i="6"/>
  <c r="Y462" i="6"/>
  <c r="AH461" i="6"/>
  <c r="AG461" i="6"/>
  <c r="AE461" i="6"/>
  <c r="AF461" i="6" s="1"/>
  <c r="AC461" i="6"/>
  <c r="AA461" i="6"/>
  <c r="Z461" i="6" s="1"/>
  <c r="AD461" i="6" l="1"/>
  <c r="AB461" i="6"/>
  <c r="AA462" i="6"/>
  <c r="Z462" i="6" s="1"/>
  <c r="AC462" i="6"/>
  <c r="AH462" i="6"/>
  <c r="Y463" i="6"/>
  <c r="AG462" i="6"/>
  <c r="AE462" i="6"/>
  <c r="AF462" i="6" s="1"/>
  <c r="AG463" i="6" l="1"/>
  <c r="AA463" i="6"/>
  <c r="Z463" i="6" s="1"/>
  <c r="AE463" i="6"/>
  <c r="AF463" i="6" s="1"/>
  <c r="Y464" i="6"/>
  <c r="AH463" i="6"/>
  <c r="AC463" i="6"/>
  <c r="AD462" i="6"/>
  <c r="AB462" i="6"/>
  <c r="AB463" i="6" l="1"/>
  <c r="AD463" i="6"/>
  <c r="AH464" i="6"/>
  <c r="AG464" i="6"/>
  <c r="AC464" i="6"/>
  <c r="Y465" i="6"/>
  <c r="AE464" i="6"/>
  <c r="AF464" i="6" s="1"/>
  <c r="AA464" i="6"/>
  <c r="Z464" i="6" s="1"/>
  <c r="AD464" i="6" l="1"/>
  <c r="AB464" i="6"/>
  <c r="Y466" i="6"/>
  <c r="AH465" i="6"/>
  <c r="AG465" i="6"/>
  <c r="AE465" i="6"/>
  <c r="AF465" i="6" s="1"/>
  <c r="AC465" i="6"/>
  <c r="AA465" i="6"/>
  <c r="Z465" i="6" s="1"/>
  <c r="AA466" i="6" l="1"/>
  <c r="Z466" i="6" s="1"/>
  <c r="AC466" i="6"/>
  <c r="AH466" i="6"/>
  <c r="Y467" i="6"/>
  <c r="AG466" i="6"/>
  <c r="AE466" i="6"/>
  <c r="AF466" i="6" s="1"/>
  <c r="AD465" i="6"/>
  <c r="AB465" i="6"/>
  <c r="Y468" i="6" l="1"/>
  <c r="AG467" i="6"/>
  <c r="AH467" i="6"/>
  <c r="AE467" i="6"/>
  <c r="AF467" i="6" s="1"/>
  <c r="AC467" i="6"/>
  <c r="AA467" i="6"/>
  <c r="Z467" i="6" s="1"/>
  <c r="AB466" i="6"/>
  <c r="AD466" i="6"/>
  <c r="AB467" i="6" l="1"/>
  <c r="AD467" i="6"/>
  <c r="AH468" i="6"/>
  <c r="Y469" i="6"/>
  <c r="AG468" i="6"/>
  <c r="AE468" i="6"/>
  <c r="AF468" i="6" s="1"/>
  <c r="AC468" i="6"/>
  <c r="AA468" i="6"/>
  <c r="Z468" i="6" s="1"/>
  <c r="AD468" i="6" l="1"/>
  <c r="AB468" i="6"/>
  <c r="AE469" i="6"/>
  <c r="AF469" i="6" s="1"/>
  <c r="AC469" i="6"/>
  <c r="Y470" i="6"/>
  <c r="AH469" i="6"/>
  <c r="AG469" i="6"/>
  <c r="AA469" i="6"/>
  <c r="Z469" i="6" s="1"/>
  <c r="AD469" i="6" l="1"/>
  <c r="AB469" i="6"/>
  <c r="AH470" i="6"/>
  <c r="AE470" i="6"/>
  <c r="AF470" i="6" s="1"/>
  <c r="AA470" i="6"/>
  <c r="Z470" i="6" s="1"/>
  <c r="Y471" i="6"/>
  <c r="AG470" i="6"/>
  <c r="AC470" i="6"/>
  <c r="AB470" i="6" l="1"/>
  <c r="AD470" i="6"/>
  <c r="Y472" i="6"/>
  <c r="AH471" i="6"/>
  <c r="AG471" i="6"/>
  <c r="AE471" i="6"/>
  <c r="AF471" i="6" s="1"/>
  <c r="AC471" i="6"/>
  <c r="AA471" i="6"/>
  <c r="Z471" i="6" s="1"/>
  <c r="AD471" i="6" l="1"/>
  <c r="AB471" i="6"/>
  <c r="Y473" i="6"/>
  <c r="AH472" i="6"/>
  <c r="AG472" i="6"/>
  <c r="AE472" i="6"/>
  <c r="AF472" i="6" s="1"/>
  <c r="AC472" i="6"/>
  <c r="AA472" i="6"/>
  <c r="Z472" i="6" s="1"/>
  <c r="AD472" i="6" l="1"/>
  <c r="AB472" i="6"/>
  <c r="AG473" i="6"/>
  <c r="AE473" i="6"/>
  <c r="AF473" i="6" s="1"/>
  <c r="Y474" i="6"/>
  <c r="AH473" i="6"/>
  <c r="AC473" i="6"/>
  <c r="AA473" i="6"/>
  <c r="Z473" i="6" s="1"/>
  <c r="AD473" i="6" l="1"/>
  <c r="AB473" i="6"/>
  <c r="AC474" i="6"/>
  <c r="Y475" i="6"/>
  <c r="AH474" i="6"/>
  <c r="AA474" i="6"/>
  <c r="Z474" i="6" s="1"/>
  <c r="AG474" i="6"/>
  <c r="AE474" i="6"/>
  <c r="AF474" i="6" s="1"/>
  <c r="Y476" i="6" l="1"/>
  <c r="AH475" i="6"/>
  <c r="AG475" i="6"/>
  <c r="AE475" i="6"/>
  <c r="AF475" i="6" s="1"/>
  <c r="AC475" i="6"/>
  <c r="AA475" i="6"/>
  <c r="Z475" i="6" s="1"/>
  <c r="AD474" i="6"/>
  <c r="AB474" i="6"/>
  <c r="AD475" i="6" l="1"/>
  <c r="AB475" i="6"/>
  <c r="AG476" i="6"/>
  <c r="AE476" i="6"/>
  <c r="AF476" i="6" s="1"/>
  <c r="Y477" i="6"/>
  <c r="AH476" i="6"/>
  <c r="AC476" i="6"/>
  <c r="AA476" i="6"/>
  <c r="Z476" i="6" s="1"/>
  <c r="AD476" i="6" l="1"/>
  <c r="AB476" i="6"/>
  <c r="AA477" i="6"/>
  <c r="Z477" i="6" s="1"/>
  <c r="Y478" i="6"/>
  <c r="AH477" i="6"/>
  <c r="AG477" i="6"/>
  <c r="AE477" i="6"/>
  <c r="AF477" i="6" s="1"/>
  <c r="AC477" i="6"/>
  <c r="AB477" i="6" l="1"/>
  <c r="AD477" i="6"/>
  <c r="AE478" i="6"/>
  <c r="AF478" i="6" s="1"/>
  <c r="AC478" i="6"/>
  <c r="AA478" i="6"/>
  <c r="Z478" i="6" s="1"/>
  <c r="AH478" i="6"/>
  <c r="Y479" i="6"/>
  <c r="AG478" i="6"/>
  <c r="Y480" i="6" l="1"/>
  <c r="AG479" i="6"/>
  <c r="AE479" i="6"/>
  <c r="AF479" i="6" s="1"/>
  <c r="AH479" i="6"/>
  <c r="AA479" i="6"/>
  <c r="Z479" i="6" s="1"/>
  <c r="AC479" i="6"/>
  <c r="AD478" i="6"/>
  <c r="AB478" i="6"/>
  <c r="AD479" i="6" l="1"/>
  <c r="AB479" i="6"/>
  <c r="Y481" i="6"/>
  <c r="AH480" i="6"/>
  <c r="AG480" i="6"/>
  <c r="AE480" i="6"/>
  <c r="AF480" i="6" s="1"/>
  <c r="AC480" i="6"/>
  <c r="AA480" i="6"/>
  <c r="Z480" i="6" s="1"/>
  <c r="AD480" i="6" l="1"/>
  <c r="AB480" i="6"/>
  <c r="Y482" i="6"/>
  <c r="AH481" i="6"/>
  <c r="AG481" i="6"/>
  <c r="AE481" i="6"/>
  <c r="AF481" i="6" s="1"/>
  <c r="AC481" i="6"/>
  <c r="AA481" i="6"/>
  <c r="Z481" i="6" s="1"/>
  <c r="AD481" i="6" l="1"/>
  <c r="AB481" i="6"/>
  <c r="AH482" i="6"/>
  <c r="AG482" i="6"/>
  <c r="Y483" i="6"/>
  <c r="AE482" i="6"/>
  <c r="AF482" i="6" s="1"/>
  <c r="AC482" i="6"/>
  <c r="AA482" i="6"/>
  <c r="Z482" i="6" s="1"/>
  <c r="AD482" i="6" l="1"/>
  <c r="AB482" i="6"/>
  <c r="Y484" i="6"/>
  <c r="AH483" i="6"/>
  <c r="AG483" i="6"/>
  <c r="AE483" i="6"/>
  <c r="AF483" i="6" s="1"/>
  <c r="AC483" i="6"/>
  <c r="AA483" i="6"/>
  <c r="Z483" i="6" s="1"/>
  <c r="AD483" i="6" l="1"/>
  <c r="AB483" i="6"/>
  <c r="Y485" i="6"/>
  <c r="AH484" i="6"/>
  <c r="AG484" i="6"/>
  <c r="AE484" i="6"/>
  <c r="AF484" i="6" s="1"/>
  <c r="AC484" i="6"/>
  <c r="AA484" i="6"/>
  <c r="Z484" i="6" s="1"/>
  <c r="AD484" i="6" l="1"/>
  <c r="AB484" i="6"/>
  <c r="AE485" i="6"/>
  <c r="AF485" i="6" s="1"/>
  <c r="Y486" i="6"/>
  <c r="AG485" i="6"/>
  <c r="AH485" i="6"/>
  <c r="AC485" i="6"/>
  <c r="AA485" i="6"/>
  <c r="Z485" i="6" s="1"/>
  <c r="AD485" i="6" l="1"/>
  <c r="AB485" i="6"/>
  <c r="Y487" i="6"/>
  <c r="AH486" i="6"/>
  <c r="AG486" i="6"/>
  <c r="AE486" i="6"/>
  <c r="AF486" i="6" s="1"/>
  <c r="AC486" i="6"/>
  <c r="AA486" i="6"/>
  <c r="Z486" i="6" s="1"/>
  <c r="AD486" i="6" l="1"/>
  <c r="AB486" i="6"/>
  <c r="Y488" i="6"/>
  <c r="AH487" i="6"/>
  <c r="AG487" i="6"/>
  <c r="AE487" i="6"/>
  <c r="AF487" i="6" s="1"/>
  <c r="AC487" i="6"/>
  <c r="AA487" i="6"/>
  <c r="Z487" i="6" s="1"/>
  <c r="AD487" i="6" l="1"/>
  <c r="AB487" i="6"/>
  <c r="AC488" i="6"/>
  <c r="Y489" i="6"/>
  <c r="AG488" i="6"/>
  <c r="AH488" i="6"/>
  <c r="AE488" i="6"/>
  <c r="AF488" i="6" s="1"/>
  <c r="AA488" i="6"/>
  <c r="Z488" i="6" s="1"/>
  <c r="AD488" i="6" l="1"/>
  <c r="AB488" i="6"/>
  <c r="Y490" i="6"/>
  <c r="AH489" i="6"/>
  <c r="AG489" i="6"/>
  <c r="AE489" i="6"/>
  <c r="AF489" i="6" s="1"/>
  <c r="AC489" i="6"/>
  <c r="AA489" i="6"/>
  <c r="Z489" i="6" s="1"/>
  <c r="AD489" i="6" l="1"/>
  <c r="AB489" i="6"/>
  <c r="Y491" i="6"/>
  <c r="AH490" i="6"/>
  <c r="AG490" i="6"/>
  <c r="AE490" i="6"/>
  <c r="AF490" i="6" s="1"/>
  <c r="AC490" i="6"/>
  <c r="AA490" i="6"/>
  <c r="Z490" i="6" s="1"/>
  <c r="AD490" i="6" l="1"/>
  <c r="AB490" i="6"/>
  <c r="AA491" i="6"/>
  <c r="Z491" i="6" s="1"/>
  <c r="Y492" i="6"/>
  <c r="AG491" i="6"/>
  <c r="AC491" i="6"/>
  <c r="AH491" i="6"/>
  <c r="AE491" i="6"/>
  <c r="AF491" i="6" s="1"/>
  <c r="AB491" i="6" l="1"/>
  <c r="AD491" i="6"/>
  <c r="Y493" i="6"/>
  <c r="AH492" i="6"/>
  <c r="AG492" i="6"/>
  <c r="AE492" i="6"/>
  <c r="AF492" i="6" s="1"/>
  <c r="AC492" i="6"/>
  <c r="AA492" i="6"/>
  <c r="Z492" i="6" s="1"/>
  <c r="AD492" i="6" l="1"/>
  <c r="AB492" i="6"/>
  <c r="Y494" i="6"/>
  <c r="AH493" i="6"/>
  <c r="AG493" i="6"/>
  <c r="AE493" i="6"/>
  <c r="AF493" i="6" s="1"/>
  <c r="AC493" i="6"/>
  <c r="AA493" i="6"/>
  <c r="Z493" i="6" s="1"/>
  <c r="AD493" i="6" l="1"/>
  <c r="AB493" i="6"/>
  <c r="Y495" i="6"/>
  <c r="AG494" i="6"/>
  <c r="AH494" i="6"/>
  <c r="AE494" i="6"/>
  <c r="AF494" i="6" s="1"/>
  <c r="AC494" i="6"/>
  <c r="AA494" i="6"/>
  <c r="Z494" i="6" s="1"/>
  <c r="AB494" i="6" l="1"/>
  <c r="AD494" i="6"/>
  <c r="Y496" i="6"/>
  <c r="AH495" i="6"/>
  <c r="AC495" i="6"/>
  <c r="AA495" i="6"/>
  <c r="Z495" i="6" s="1"/>
  <c r="AG495" i="6"/>
  <c r="AE495" i="6"/>
  <c r="AF495" i="6" s="1"/>
  <c r="AD495" i="6" l="1"/>
  <c r="AB495" i="6"/>
  <c r="AH496" i="6"/>
  <c r="AG496" i="6"/>
  <c r="Y497" i="6"/>
  <c r="AE496" i="6"/>
  <c r="AF496" i="6" s="1"/>
  <c r="AC496" i="6"/>
  <c r="AA496" i="6"/>
  <c r="Z496" i="6" s="1"/>
  <c r="Y498" i="6" l="1"/>
  <c r="AG497" i="6"/>
  <c r="AH497" i="6"/>
  <c r="AE497" i="6"/>
  <c r="AF497" i="6" s="1"/>
  <c r="AC497" i="6"/>
  <c r="AA497" i="6"/>
  <c r="Z497" i="6" s="1"/>
  <c r="AD496" i="6"/>
  <c r="AB496" i="6"/>
  <c r="AB497" i="6" l="1"/>
  <c r="AD497" i="6"/>
  <c r="Y499" i="6"/>
  <c r="AH498" i="6"/>
  <c r="AG498" i="6"/>
  <c r="AE498" i="6"/>
  <c r="AF498" i="6" s="1"/>
  <c r="AC498" i="6"/>
  <c r="AA498" i="6"/>
  <c r="Z498" i="6" s="1"/>
  <c r="AD498" i="6" l="1"/>
  <c r="AB498" i="6"/>
  <c r="AE499" i="6"/>
  <c r="AF499" i="6" s="1"/>
  <c r="AH499" i="6"/>
  <c r="AG499" i="6"/>
  <c r="AC499" i="6"/>
  <c r="AA499" i="6"/>
  <c r="Z499" i="6" s="1"/>
  <c r="Y500" i="6"/>
  <c r="Y501" i="6" l="1"/>
  <c r="AG500" i="6"/>
  <c r="AH500" i="6"/>
  <c r="AC500" i="6"/>
  <c r="AE500" i="6"/>
  <c r="AF500" i="6" s="1"/>
  <c r="AA500" i="6"/>
  <c r="Z500" i="6" s="1"/>
  <c r="AD499" i="6"/>
  <c r="AB499" i="6"/>
  <c r="AB500" i="6" l="1"/>
  <c r="AD500" i="6"/>
  <c r="Y502" i="6"/>
  <c r="AH501" i="6"/>
  <c r="AG501" i="6"/>
  <c r="AE501" i="6"/>
  <c r="AF501" i="6" s="1"/>
  <c r="AC501" i="6"/>
  <c r="AA501" i="6"/>
  <c r="Z501" i="6" s="1"/>
  <c r="AD501" i="6" l="1"/>
  <c r="AB501" i="6"/>
  <c r="AC502" i="6"/>
  <c r="Y503" i="6"/>
  <c r="AH502" i="6"/>
  <c r="AG502" i="6"/>
  <c r="AE502" i="6"/>
  <c r="AF502" i="6" s="1"/>
  <c r="AA502" i="6"/>
  <c r="Z502" i="6" s="1"/>
  <c r="AD502" i="6" l="1"/>
  <c r="AB502" i="6"/>
  <c r="Y504" i="6"/>
  <c r="AH503" i="6"/>
  <c r="AG503" i="6"/>
  <c r="AE503" i="6"/>
  <c r="AF503" i="6" s="1"/>
  <c r="AC503" i="6"/>
  <c r="AA503" i="6"/>
  <c r="Z503" i="6" s="1"/>
  <c r="AB503" i="6" l="1"/>
  <c r="AD503" i="6"/>
  <c r="Y505" i="6"/>
  <c r="AH504" i="6"/>
  <c r="AA504" i="6"/>
  <c r="Z504" i="6" s="1"/>
  <c r="AE504" i="6"/>
  <c r="AF504" i="6" s="1"/>
  <c r="AG504" i="6"/>
  <c r="AC504" i="6"/>
  <c r="AD504" i="6" l="1"/>
  <c r="AB504" i="6"/>
  <c r="AA505" i="6"/>
  <c r="Z505" i="6" s="1"/>
  <c r="Y506" i="6"/>
  <c r="AH505" i="6"/>
  <c r="AG505" i="6"/>
  <c r="AE505" i="6"/>
  <c r="AF505" i="6" s="1"/>
  <c r="AC505" i="6"/>
  <c r="AB505" i="6" l="1"/>
  <c r="AD505" i="6"/>
  <c r="Y507" i="6"/>
  <c r="AH506" i="6"/>
  <c r="AG506" i="6"/>
  <c r="AE506" i="6"/>
  <c r="AF506" i="6" s="1"/>
  <c r="AC506" i="6"/>
  <c r="AA506" i="6"/>
  <c r="Z506" i="6" s="1"/>
  <c r="AB506" i="6" l="1"/>
  <c r="AD506" i="6"/>
  <c r="Y508" i="6"/>
  <c r="AH507" i="6"/>
  <c r="AG507" i="6"/>
  <c r="AE507" i="6"/>
  <c r="AF507" i="6" s="1"/>
  <c r="AC507" i="6"/>
  <c r="AA507" i="6"/>
  <c r="Z507" i="6" s="1"/>
  <c r="AD507" i="6" l="1"/>
  <c r="AB507" i="6"/>
  <c r="AH508" i="6"/>
  <c r="AG508" i="6"/>
  <c r="AA508" i="6"/>
  <c r="Z508" i="6" s="1"/>
  <c r="Y509" i="6"/>
  <c r="AE508" i="6"/>
  <c r="AF508" i="6" s="1"/>
  <c r="AC508" i="6"/>
  <c r="AD508" i="6" l="1"/>
  <c r="AB508" i="6"/>
  <c r="Y510" i="6"/>
  <c r="AH509" i="6"/>
  <c r="AG509" i="6"/>
  <c r="AE509" i="6"/>
  <c r="AF509" i="6" s="1"/>
  <c r="AC509" i="6"/>
  <c r="AA509" i="6"/>
  <c r="Z509" i="6" s="1"/>
  <c r="AB509" i="6" l="1"/>
  <c r="AD509" i="6"/>
  <c r="AH510" i="6"/>
  <c r="AG510" i="6"/>
  <c r="Y511" i="6"/>
  <c r="AE510" i="6"/>
  <c r="AF510" i="6" s="1"/>
  <c r="AC510" i="6"/>
  <c r="AA510" i="6"/>
  <c r="Z510" i="6" s="1"/>
  <c r="AD510" i="6" l="1"/>
  <c r="AB510" i="6"/>
  <c r="AH511" i="6"/>
  <c r="AG511" i="6"/>
  <c r="AA511" i="6"/>
  <c r="Z511" i="6" s="1"/>
  <c r="Y512" i="6"/>
  <c r="AE511" i="6"/>
  <c r="AF511" i="6" s="1"/>
  <c r="AC511" i="6"/>
  <c r="AD511" i="6" l="1"/>
  <c r="AB511" i="6"/>
  <c r="Y513" i="6"/>
  <c r="AH512" i="6"/>
  <c r="AG512" i="6"/>
  <c r="AE512" i="6"/>
  <c r="AF512" i="6" s="1"/>
  <c r="AC512" i="6"/>
  <c r="AA512" i="6"/>
  <c r="Z512" i="6" s="1"/>
  <c r="AB512" i="6" l="1"/>
  <c r="AD512" i="6"/>
  <c r="AE513" i="6"/>
  <c r="AF513" i="6" s="1"/>
  <c r="Y514" i="6"/>
  <c r="AH513" i="6"/>
  <c r="AG513" i="6"/>
  <c r="AC513" i="6"/>
  <c r="AA513" i="6"/>
  <c r="Z513" i="6" s="1"/>
  <c r="AD513" i="6" l="1"/>
  <c r="AB513" i="6"/>
  <c r="Y515" i="6"/>
  <c r="AH514" i="6"/>
  <c r="AG514" i="6"/>
  <c r="AE514" i="6"/>
  <c r="AF514" i="6" s="1"/>
  <c r="AA514" i="6"/>
  <c r="Z514" i="6" s="1"/>
  <c r="AC514" i="6"/>
  <c r="AD514" i="6" l="1"/>
  <c r="AB514" i="6"/>
  <c r="Y516" i="6"/>
  <c r="AH515" i="6"/>
  <c r="AG515" i="6"/>
  <c r="AC515" i="6"/>
  <c r="AE515" i="6"/>
  <c r="AF515" i="6" s="1"/>
  <c r="AA515" i="6"/>
  <c r="Z515" i="6" s="1"/>
  <c r="AD515" i="6" l="1"/>
  <c r="AB515" i="6"/>
  <c r="AE516" i="6"/>
  <c r="AF516" i="6" s="1"/>
  <c r="Y517" i="6"/>
  <c r="AH516" i="6"/>
  <c r="AG516" i="6"/>
  <c r="AC516" i="6"/>
  <c r="AA516" i="6"/>
  <c r="Z516" i="6" s="1"/>
  <c r="AD516" i="6" l="1"/>
  <c r="AB516" i="6"/>
  <c r="AG517" i="6"/>
  <c r="Y518" i="6"/>
  <c r="AH517" i="6"/>
  <c r="AE517" i="6"/>
  <c r="AF517" i="6" s="1"/>
  <c r="AA517" i="6"/>
  <c r="Z517" i="6" s="1"/>
  <c r="AC517" i="6"/>
  <c r="AB517" i="6" l="1"/>
  <c r="AD517" i="6"/>
  <c r="Y519" i="6"/>
  <c r="AH518" i="6"/>
  <c r="AG518" i="6"/>
  <c r="AE518" i="6"/>
  <c r="AF518" i="6" s="1"/>
  <c r="AC518" i="6"/>
  <c r="AA518" i="6"/>
  <c r="Z518" i="6" s="1"/>
  <c r="AD518" i="6" l="1"/>
  <c r="AB518" i="6"/>
  <c r="AC519" i="6"/>
  <c r="AA519" i="6"/>
  <c r="Z519" i="6" s="1"/>
  <c r="AH519" i="6"/>
  <c r="AG519" i="6"/>
  <c r="AE519" i="6"/>
  <c r="AF519" i="6" s="1"/>
  <c r="Y520" i="6"/>
  <c r="AE520" i="6" l="1"/>
  <c r="AF520" i="6" s="1"/>
  <c r="Y521" i="6"/>
  <c r="AH520" i="6"/>
  <c r="AG520" i="6"/>
  <c r="AC520" i="6"/>
  <c r="AA520" i="6"/>
  <c r="Z520" i="6" s="1"/>
  <c r="AD519" i="6"/>
  <c r="AB519" i="6"/>
  <c r="AB520" i="6" l="1"/>
  <c r="AD520" i="6"/>
  <c r="AA521" i="6"/>
  <c r="Z521" i="6" s="1"/>
  <c r="Y522" i="6"/>
  <c r="AE521" i="6"/>
  <c r="AF521" i="6" s="1"/>
  <c r="AH521" i="6"/>
  <c r="AG521" i="6"/>
  <c r="AC521" i="6"/>
  <c r="AD521" i="6" l="1"/>
  <c r="AB521" i="6"/>
  <c r="AC522" i="6"/>
  <c r="AA522" i="6"/>
  <c r="Z522" i="6" s="1"/>
  <c r="Y523" i="6"/>
  <c r="AH522" i="6"/>
  <c r="AG522" i="6"/>
  <c r="AE522" i="6"/>
  <c r="AF522" i="6" s="1"/>
  <c r="AC523" i="6" l="1"/>
  <c r="Y524" i="6"/>
  <c r="AH523" i="6"/>
  <c r="AG523" i="6"/>
  <c r="AE523" i="6"/>
  <c r="AF523" i="6" s="1"/>
  <c r="AA523" i="6"/>
  <c r="Z523" i="6" s="1"/>
  <c r="AB522" i="6"/>
  <c r="AD522" i="6"/>
  <c r="AA524" i="6" l="1"/>
  <c r="Z524" i="6" s="1"/>
  <c r="Y525" i="6"/>
  <c r="AH524" i="6"/>
  <c r="AG524" i="6"/>
  <c r="AE524" i="6"/>
  <c r="AF524" i="6" s="1"/>
  <c r="AC524" i="6"/>
  <c r="AD523" i="6"/>
  <c r="AB523" i="6"/>
  <c r="AB524" i="6" l="1"/>
  <c r="AD524" i="6"/>
  <c r="AA525" i="6"/>
  <c r="Z525" i="6" s="1"/>
  <c r="AE525" i="6"/>
  <c r="AF525" i="6" s="1"/>
  <c r="AC525" i="6"/>
  <c r="Y526" i="6"/>
  <c r="AH525" i="6"/>
  <c r="AG525" i="6"/>
  <c r="AA526" i="6" l="1"/>
  <c r="Z526" i="6" s="1"/>
  <c r="Y527" i="6"/>
  <c r="AH526" i="6"/>
  <c r="AE526" i="6"/>
  <c r="AF526" i="6" s="1"/>
  <c r="AG526" i="6"/>
  <c r="AC526" i="6"/>
  <c r="AB525" i="6"/>
  <c r="AD525" i="6"/>
  <c r="AD526" i="6" l="1"/>
  <c r="AB526" i="6"/>
  <c r="AC527" i="6"/>
  <c r="AA527" i="6"/>
  <c r="Z527" i="6" s="1"/>
  <c r="AG527" i="6"/>
  <c r="Y528" i="6"/>
  <c r="AH527" i="6"/>
  <c r="AE527" i="6"/>
  <c r="AF527" i="6" s="1"/>
  <c r="Y529" i="6" l="1"/>
  <c r="AA528" i="6"/>
  <c r="Z528" i="6" s="1"/>
  <c r="AE528" i="6"/>
  <c r="AF528" i="6" s="1"/>
  <c r="AC528" i="6"/>
  <c r="AH528" i="6"/>
  <c r="AG528" i="6"/>
  <c r="AB527" i="6"/>
  <c r="AD527" i="6"/>
  <c r="AD528" i="6" l="1"/>
  <c r="AB528" i="6"/>
  <c r="Y530" i="6"/>
  <c r="AG529" i="6"/>
  <c r="AE529" i="6"/>
  <c r="AF529" i="6" s="1"/>
  <c r="AH529" i="6"/>
  <c r="AC529" i="6"/>
  <c r="AA529" i="6"/>
  <c r="Z529" i="6" s="1"/>
  <c r="AD529" i="6" l="1"/>
  <c r="AB529" i="6"/>
  <c r="Y531" i="6"/>
  <c r="AC530" i="6"/>
  <c r="AA530" i="6"/>
  <c r="Z530" i="6" s="1"/>
  <c r="AH530" i="6"/>
  <c r="AG530" i="6"/>
  <c r="AE530" i="6"/>
  <c r="AF530" i="6" s="1"/>
  <c r="AG531" i="6" l="1"/>
  <c r="AH531" i="6"/>
  <c r="AE531" i="6"/>
  <c r="AF531" i="6" s="1"/>
  <c r="Y532" i="6"/>
  <c r="AC531" i="6"/>
  <c r="AA531" i="6"/>
  <c r="Z531" i="6" s="1"/>
  <c r="AD530" i="6"/>
  <c r="AB530" i="6"/>
  <c r="AD531" i="6" l="1"/>
  <c r="AB531" i="6"/>
  <c r="AH532" i="6"/>
  <c r="AG532" i="6"/>
  <c r="AA532" i="6"/>
  <c r="Z532" i="6" s="1"/>
  <c r="Y533" i="6"/>
  <c r="AE532" i="6"/>
  <c r="AF532" i="6" s="1"/>
  <c r="AC532" i="6"/>
  <c r="AB532" i="6" l="1"/>
  <c r="AD532" i="6"/>
  <c r="Y534" i="6"/>
  <c r="AH533" i="6"/>
  <c r="AE533" i="6"/>
  <c r="AF533" i="6" s="1"/>
  <c r="AC533" i="6"/>
  <c r="AA533" i="6"/>
  <c r="Z533" i="6" s="1"/>
  <c r="AG533" i="6"/>
  <c r="AD533" i="6" l="1"/>
  <c r="AB533" i="6"/>
  <c r="AE534" i="6"/>
  <c r="AF534" i="6" s="1"/>
  <c r="Y535" i="6"/>
  <c r="AH534" i="6"/>
  <c r="AG534" i="6"/>
  <c r="AA534" i="6"/>
  <c r="Z534" i="6" s="1"/>
  <c r="AC534" i="6"/>
  <c r="AD534" i="6" l="1"/>
  <c r="AB534" i="6"/>
  <c r="Y536" i="6"/>
  <c r="AH535" i="6"/>
  <c r="AG535" i="6"/>
  <c r="AE535" i="6"/>
  <c r="AF535" i="6" s="1"/>
  <c r="AC535" i="6"/>
  <c r="AA535" i="6"/>
  <c r="Z535" i="6" s="1"/>
  <c r="AD535" i="6" l="1"/>
  <c r="AB535" i="6"/>
  <c r="AH536" i="6"/>
  <c r="AG536" i="6"/>
  <c r="AE536" i="6"/>
  <c r="AF536" i="6" s="1"/>
  <c r="AC536" i="6"/>
  <c r="AA536" i="6"/>
  <c r="Z536" i="6" s="1"/>
  <c r="Y537" i="6"/>
  <c r="AC537" i="6" l="1"/>
  <c r="Y538" i="6"/>
  <c r="AH537" i="6"/>
  <c r="AG537" i="6"/>
  <c r="AE537" i="6"/>
  <c r="AF537" i="6" s="1"/>
  <c r="AA537" i="6"/>
  <c r="Z537" i="6" s="1"/>
  <c r="AD536" i="6"/>
  <c r="AB536" i="6"/>
  <c r="Y539" i="6" l="1"/>
  <c r="AH538" i="6"/>
  <c r="AC538" i="6"/>
  <c r="AE538" i="6"/>
  <c r="AF538" i="6" s="1"/>
  <c r="AA538" i="6"/>
  <c r="Z538" i="6" s="1"/>
  <c r="AG538" i="6"/>
  <c r="AB537" i="6"/>
  <c r="AD537" i="6"/>
  <c r="AD538" i="6" l="1"/>
  <c r="AB538" i="6"/>
  <c r="AG539" i="6"/>
  <c r="Y540" i="6"/>
  <c r="AH539" i="6"/>
  <c r="AE539" i="6"/>
  <c r="AF539" i="6" s="1"/>
  <c r="AC539" i="6"/>
  <c r="AA539" i="6"/>
  <c r="Z539" i="6" s="1"/>
  <c r="AD539" i="6" l="1"/>
  <c r="AB539" i="6"/>
  <c r="AA540" i="6"/>
  <c r="Z540" i="6" s="1"/>
  <c r="Y541" i="6"/>
  <c r="AH540" i="6"/>
  <c r="AG540" i="6"/>
  <c r="AE540" i="6"/>
  <c r="AF540" i="6" s="1"/>
  <c r="AC540" i="6"/>
  <c r="AD540" i="6" l="1"/>
  <c r="AB540" i="6"/>
  <c r="Y542" i="6"/>
  <c r="AG541" i="6"/>
  <c r="AA541" i="6"/>
  <c r="Z541" i="6" s="1"/>
  <c r="AH541" i="6"/>
  <c r="AE541" i="6"/>
  <c r="AF541" i="6" s="1"/>
  <c r="AC541" i="6"/>
  <c r="AD541" i="6" l="1"/>
  <c r="AB541" i="6"/>
  <c r="Y543" i="6"/>
  <c r="AE542" i="6"/>
  <c r="AF542" i="6" s="1"/>
  <c r="AH542" i="6"/>
  <c r="AG542" i="6"/>
  <c r="AC542" i="6"/>
  <c r="AA542" i="6"/>
  <c r="Z542" i="6" s="1"/>
  <c r="AD542" i="6" l="1"/>
  <c r="AB542" i="6"/>
  <c r="AA543" i="6"/>
  <c r="Z543" i="6" s="1"/>
  <c r="Y544" i="6"/>
  <c r="AE543" i="6"/>
  <c r="AF543" i="6" s="1"/>
  <c r="AH543" i="6"/>
  <c r="AG543" i="6"/>
  <c r="AC543" i="6"/>
  <c r="AD543" i="6" l="1"/>
  <c r="AB543" i="6"/>
  <c r="AH544" i="6"/>
  <c r="AE544" i="6"/>
  <c r="AF544" i="6" s="1"/>
  <c r="AA544" i="6"/>
  <c r="Z544" i="6" s="1"/>
  <c r="Y545" i="6"/>
  <c r="AG544" i="6"/>
  <c r="AC544" i="6"/>
  <c r="AB544" i="6" l="1"/>
  <c r="AD544" i="6"/>
  <c r="AG545" i="6"/>
  <c r="AE545" i="6"/>
  <c r="AF545" i="6" s="1"/>
  <c r="Y546" i="6"/>
  <c r="AH545" i="6"/>
  <c r="AA545" i="6"/>
  <c r="Z545" i="6" s="1"/>
  <c r="AC545" i="6"/>
  <c r="AD545" i="6" l="1"/>
  <c r="AB545" i="6"/>
  <c r="AA546" i="6"/>
  <c r="Z546" i="6" s="1"/>
  <c r="AC546" i="6"/>
  <c r="Y547" i="6"/>
  <c r="AH546" i="6"/>
  <c r="AG546" i="6"/>
  <c r="AE546" i="6"/>
  <c r="AF546" i="6" s="1"/>
  <c r="Y548" i="6" l="1"/>
  <c r="AG547" i="6"/>
  <c r="AC547" i="6"/>
  <c r="AA547" i="6"/>
  <c r="Z547" i="6" s="1"/>
  <c r="AH547" i="6"/>
  <c r="AE547" i="6"/>
  <c r="AF547" i="6" s="1"/>
  <c r="AB546" i="6"/>
  <c r="AD546" i="6"/>
  <c r="AB547" i="6" l="1"/>
  <c r="AD547" i="6"/>
  <c r="AE548" i="6"/>
  <c r="AF548" i="6" s="1"/>
  <c r="AC548" i="6"/>
  <c r="Y549" i="6"/>
  <c r="AH548" i="6"/>
  <c r="AA548" i="6"/>
  <c r="Z548" i="6" s="1"/>
  <c r="AG548" i="6"/>
  <c r="AC549" i="6" l="1"/>
  <c r="AA549" i="6"/>
  <c r="Z549" i="6" s="1"/>
  <c r="AG549" i="6"/>
  <c r="Y550" i="6"/>
  <c r="AH549" i="6"/>
  <c r="AE549" i="6"/>
  <c r="AF549" i="6" s="1"/>
  <c r="AD548" i="6"/>
  <c r="AB548" i="6"/>
  <c r="AH550" i="6" l="1"/>
  <c r="AG550" i="6"/>
  <c r="AC550" i="6"/>
  <c r="AA550" i="6"/>
  <c r="Z550" i="6" s="1"/>
  <c r="Y551" i="6"/>
  <c r="AE550" i="6"/>
  <c r="AF550" i="6" s="1"/>
  <c r="AB549" i="6"/>
  <c r="AD549" i="6"/>
  <c r="AC551" i="6" l="1"/>
  <c r="Y552" i="6"/>
  <c r="AG551" i="6"/>
  <c r="AE551" i="6"/>
  <c r="AF551" i="6" s="1"/>
  <c r="AH551" i="6"/>
  <c r="AA551" i="6"/>
  <c r="Z551" i="6" s="1"/>
  <c r="AD550" i="6"/>
  <c r="AB550" i="6"/>
  <c r="AC552" i="6" l="1"/>
  <c r="AA552" i="6"/>
  <c r="Z552" i="6" s="1"/>
  <c r="AH552" i="6"/>
  <c r="Y553" i="6"/>
  <c r="AG552" i="6"/>
  <c r="AE552" i="6"/>
  <c r="AF552" i="6" s="1"/>
  <c r="AD551" i="6"/>
  <c r="AB551" i="6"/>
  <c r="Y554" i="6" l="1"/>
  <c r="AH553" i="6"/>
  <c r="AE553" i="6"/>
  <c r="AF553" i="6" s="1"/>
  <c r="AC553" i="6"/>
  <c r="AG553" i="6"/>
  <c r="AA553" i="6"/>
  <c r="Z553" i="6" s="1"/>
  <c r="AD552" i="6"/>
  <c r="AB552" i="6"/>
  <c r="AD553" i="6" l="1"/>
  <c r="AB553" i="6"/>
  <c r="AA554" i="6"/>
  <c r="Z554" i="6" s="1"/>
  <c r="AC554" i="6"/>
  <c r="AH554" i="6"/>
  <c r="AG554" i="6"/>
  <c r="Y555" i="6"/>
  <c r="AE554" i="6"/>
  <c r="AF554" i="6" s="1"/>
  <c r="AE555" i="6" l="1"/>
  <c r="AF555" i="6" s="1"/>
  <c r="AC555" i="6"/>
  <c r="AA555" i="6"/>
  <c r="Z555" i="6" s="1"/>
  <c r="Y556" i="6"/>
  <c r="AG555" i="6"/>
  <c r="AH555" i="6"/>
  <c r="AB554" i="6"/>
  <c r="AD554" i="6"/>
  <c r="Y557" i="6" l="1"/>
  <c r="AE556" i="6"/>
  <c r="AF556" i="6" s="1"/>
  <c r="AC556" i="6"/>
  <c r="AH556" i="6"/>
  <c r="AG556" i="6"/>
  <c r="AA556" i="6"/>
  <c r="Z556" i="6" s="1"/>
  <c r="AD555" i="6"/>
  <c r="AB555" i="6"/>
  <c r="AD556" i="6" l="1"/>
  <c r="AB556" i="6"/>
  <c r="AA557" i="6"/>
  <c r="Z557" i="6" s="1"/>
  <c r="Y558" i="6"/>
  <c r="AH557" i="6"/>
  <c r="AG557" i="6"/>
  <c r="AE557" i="6"/>
  <c r="AF557" i="6" s="1"/>
  <c r="AC557" i="6"/>
  <c r="AB557" i="6" l="1"/>
  <c r="AD557" i="6"/>
  <c r="AE558" i="6"/>
  <c r="AF558" i="6" s="1"/>
  <c r="AC558" i="6"/>
  <c r="AA558" i="6"/>
  <c r="Z558" i="6" s="1"/>
  <c r="Y559" i="6"/>
  <c r="AH558" i="6"/>
  <c r="AG558" i="6"/>
  <c r="AG559" i="6" l="1"/>
  <c r="AH559" i="6"/>
  <c r="AE559" i="6"/>
  <c r="AF559" i="6" s="1"/>
  <c r="Y560" i="6"/>
  <c r="AC559" i="6"/>
  <c r="AA559" i="6"/>
  <c r="Z559" i="6" s="1"/>
  <c r="AD558" i="6"/>
  <c r="AB558" i="6"/>
  <c r="AD559" i="6" l="1"/>
  <c r="AB559" i="6"/>
  <c r="AA560" i="6"/>
  <c r="Z560" i="6" s="1"/>
  <c r="Y561" i="6"/>
  <c r="AH560" i="6"/>
  <c r="AG560" i="6"/>
  <c r="AE560" i="6"/>
  <c r="AF560" i="6" s="1"/>
  <c r="AC560" i="6"/>
  <c r="AD560" i="6" l="1"/>
  <c r="AB560" i="6"/>
  <c r="AG561" i="6"/>
  <c r="AE561" i="6"/>
  <c r="AF561" i="6" s="1"/>
  <c r="AC561" i="6"/>
  <c r="AA561" i="6"/>
  <c r="Z561" i="6" s="1"/>
  <c r="Y562" i="6"/>
  <c r="AH561" i="6"/>
  <c r="AE562" i="6" l="1"/>
  <c r="AF562" i="6" s="1"/>
  <c r="Y563" i="6"/>
  <c r="AH562" i="6"/>
  <c r="AG562" i="6"/>
  <c r="AA562" i="6"/>
  <c r="Z562" i="6" s="1"/>
  <c r="AC562" i="6"/>
  <c r="AD561" i="6"/>
  <c r="AB561" i="6"/>
  <c r="AD562" i="6" l="1"/>
  <c r="AB562" i="6"/>
  <c r="Y564" i="6"/>
  <c r="AH563" i="6"/>
  <c r="AG563" i="6"/>
  <c r="AE563" i="6"/>
  <c r="AF563" i="6" s="1"/>
  <c r="AA563" i="6"/>
  <c r="Z563" i="6" s="1"/>
  <c r="AC563" i="6"/>
  <c r="AD563" i="6" l="1"/>
  <c r="AB563" i="6"/>
  <c r="AH564" i="6"/>
  <c r="AG564" i="6"/>
  <c r="AE564" i="6"/>
  <c r="AF564" i="6" s="1"/>
  <c r="AC564" i="6"/>
  <c r="AA564" i="6"/>
  <c r="Z564" i="6" s="1"/>
  <c r="Y565" i="6"/>
  <c r="AC565" i="6" l="1"/>
  <c r="Y566" i="6"/>
  <c r="AH565" i="6"/>
  <c r="AG565" i="6"/>
  <c r="AE565" i="6"/>
  <c r="AF565" i="6" s="1"/>
  <c r="AA565" i="6"/>
  <c r="Z565" i="6" s="1"/>
  <c r="AD564" i="6"/>
  <c r="AB564" i="6"/>
  <c r="Y567" i="6" l="1"/>
  <c r="AH566" i="6"/>
  <c r="AG566" i="6"/>
  <c r="AE566" i="6"/>
  <c r="AF566" i="6" s="1"/>
  <c r="AA566" i="6"/>
  <c r="Z566" i="6" s="1"/>
  <c r="AC566" i="6"/>
  <c r="AB565" i="6"/>
  <c r="AD565" i="6"/>
  <c r="AB566" i="6" l="1"/>
  <c r="AD566" i="6"/>
  <c r="Y568" i="6"/>
  <c r="AH567" i="6"/>
  <c r="AG567" i="6"/>
  <c r="AE567" i="6"/>
  <c r="AF567" i="6" s="1"/>
  <c r="AC567" i="6"/>
  <c r="AA567" i="6"/>
  <c r="Z567" i="6" s="1"/>
  <c r="AD567" i="6" l="1"/>
  <c r="AB567" i="6"/>
  <c r="AA568" i="6"/>
  <c r="Z568" i="6" s="1"/>
  <c r="AH568" i="6"/>
  <c r="AG568" i="6"/>
  <c r="Y569" i="6"/>
  <c r="AE568" i="6"/>
  <c r="AF568" i="6" s="1"/>
  <c r="AC568" i="6"/>
  <c r="AD568" i="6" l="1"/>
  <c r="AB568" i="6"/>
  <c r="Y570" i="6"/>
  <c r="AH569" i="6"/>
  <c r="AG569" i="6"/>
  <c r="AC569" i="6"/>
  <c r="AA569" i="6"/>
  <c r="Z569" i="6" s="1"/>
  <c r="AE569" i="6"/>
  <c r="AF569" i="6" s="1"/>
  <c r="AB569" i="6" l="1"/>
  <c r="AD569" i="6"/>
  <c r="Y571" i="6"/>
  <c r="AH570" i="6"/>
  <c r="AG570" i="6"/>
  <c r="AE570" i="6"/>
  <c r="AF570" i="6" s="1"/>
  <c r="AC570" i="6"/>
  <c r="AA570" i="6"/>
  <c r="Z570" i="6" s="1"/>
  <c r="AD570" i="6" l="1"/>
  <c r="AB570" i="6"/>
  <c r="AG571" i="6"/>
  <c r="AA571" i="6"/>
  <c r="Z571" i="6" s="1"/>
  <c r="AE571" i="6"/>
  <c r="AF571" i="6" s="1"/>
  <c r="Y572" i="6"/>
  <c r="AH571" i="6"/>
  <c r="AC571" i="6"/>
  <c r="AD571" i="6" l="1"/>
  <c r="AB571" i="6"/>
  <c r="Y573" i="6"/>
  <c r="AH572" i="6"/>
  <c r="AG572" i="6"/>
  <c r="AC572" i="6"/>
  <c r="AA572" i="6"/>
  <c r="Z572" i="6" s="1"/>
  <c r="AE572" i="6"/>
  <c r="AF572" i="6" s="1"/>
  <c r="AD572" i="6" l="1"/>
  <c r="AB572" i="6"/>
  <c r="AG573" i="6"/>
  <c r="Y574" i="6"/>
  <c r="AH573" i="6"/>
  <c r="AE573" i="6"/>
  <c r="AF573" i="6" s="1"/>
  <c r="AC573" i="6"/>
  <c r="AA573" i="6"/>
  <c r="Z573" i="6" s="1"/>
  <c r="AD573" i="6" l="1"/>
  <c r="AB573" i="6"/>
  <c r="AE574" i="6"/>
  <c r="AF574" i="6" s="1"/>
  <c r="AA574" i="6"/>
  <c r="Z574" i="6" s="1"/>
  <c r="AH574" i="6"/>
  <c r="Y575" i="6"/>
  <c r="AG574" i="6"/>
  <c r="AC574" i="6"/>
  <c r="AB574" i="6" l="1"/>
  <c r="AD574" i="6"/>
  <c r="Y576" i="6"/>
  <c r="AH575" i="6"/>
  <c r="AE575" i="6"/>
  <c r="AF575" i="6" s="1"/>
  <c r="AC575" i="6"/>
  <c r="AG575" i="6"/>
  <c r="AA575" i="6"/>
  <c r="Z575" i="6" s="1"/>
  <c r="AD575" i="6" l="1"/>
  <c r="AB575" i="6"/>
  <c r="AE576" i="6"/>
  <c r="AF576" i="6" s="1"/>
  <c r="Y577" i="6"/>
  <c r="AH576" i="6"/>
  <c r="AG576" i="6"/>
  <c r="AC576" i="6"/>
  <c r="AA576" i="6"/>
  <c r="Z576" i="6" s="1"/>
  <c r="AD576" i="6" l="1"/>
  <c r="AB576" i="6"/>
  <c r="AE577" i="6"/>
  <c r="AF577" i="6" s="1"/>
  <c r="AC577" i="6"/>
  <c r="AA577" i="6"/>
  <c r="Z577" i="6" s="1"/>
  <c r="Y578" i="6"/>
  <c r="AH577" i="6"/>
  <c r="AG577" i="6"/>
  <c r="Y579" i="6" l="1"/>
  <c r="AE578" i="6"/>
  <c r="AF578" i="6" s="1"/>
  <c r="AC578" i="6"/>
  <c r="AH578" i="6"/>
  <c r="AG578" i="6"/>
  <c r="AA578" i="6"/>
  <c r="Z578" i="6" s="1"/>
  <c r="AD577" i="6"/>
  <c r="AB577" i="6"/>
  <c r="AD578" i="6" l="1"/>
  <c r="AB578" i="6"/>
  <c r="AC579" i="6"/>
  <c r="Y580" i="6"/>
  <c r="AH579" i="6"/>
  <c r="AG579" i="6"/>
  <c r="AE579" i="6"/>
  <c r="AF579" i="6" s="1"/>
  <c r="AA579" i="6"/>
  <c r="Z579" i="6" s="1"/>
  <c r="AC580" i="6" l="1"/>
  <c r="AE580" i="6"/>
  <c r="AF580" i="6" s="1"/>
  <c r="AA580" i="6"/>
  <c r="Z580" i="6" s="1"/>
  <c r="Y581" i="6"/>
  <c r="AH580" i="6"/>
  <c r="AG580" i="6"/>
  <c r="AD579" i="6"/>
  <c r="AB579" i="6"/>
  <c r="AG581" i="6" l="1"/>
  <c r="AH581" i="6"/>
  <c r="AE581" i="6"/>
  <c r="AF581" i="6" s="1"/>
  <c r="Y582" i="6"/>
  <c r="AC581" i="6"/>
  <c r="AA581" i="6"/>
  <c r="Z581" i="6" s="1"/>
  <c r="AD580" i="6"/>
  <c r="AB580" i="6"/>
  <c r="AD581" i="6" l="1"/>
  <c r="AB581" i="6"/>
  <c r="Y583" i="6"/>
  <c r="AH582" i="6"/>
  <c r="AG582" i="6"/>
  <c r="AE582" i="6"/>
  <c r="AF582" i="6" s="1"/>
  <c r="AC582" i="6"/>
  <c r="AA582" i="6"/>
  <c r="Z582" i="6" s="1"/>
  <c r="AB582" i="6" l="1"/>
  <c r="AD582" i="6"/>
  <c r="AC583" i="6"/>
  <c r="AH583" i="6"/>
  <c r="AG583" i="6"/>
  <c r="AE583" i="6"/>
  <c r="AF583" i="6" s="1"/>
  <c r="AA583" i="6"/>
  <c r="Z583" i="6" s="1"/>
  <c r="Y584" i="6"/>
  <c r="AE584" i="6" l="1"/>
  <c r="AF584" i="6" s="1"/>
  <c r="Y585" i="6"/>
  <c r="AH584" i="6"/>
  <c r="AG584" i="6"/>
  <c r="AC584" i="6"/>
  <c r="AA584" i="6"/>
  <c r="Z584" i="6" s="1"/>
  <c r="AD583" i="6"/>
  <c r="AB583" i="6"/>
  <c r="AB584" i="6" l="1"/>
  <c r="AD584" i="6"/>
  <c r="AA585" i="6"/>
  <c r="Z585" i="6" s="1"/>
  <c r="Y586" i="6"/>
  <c r="AH585" i="6"/>
  <c r="AG585" i="6"/>
  <c r="AE585" i="6"/>
  <c r="AF585" i="6" s="1"/>
  <c r="AC585" i="6"/>
  <c r="AD585" i="6" l="1"/>
  <c r="AB585" i="6"/>
  <c r="AC586" i="6"/>
  <c r="Y587" i="6"/>
  <c r="AH586" i="6"/>
  <c r="AG586" i="6"/>
  <c r="AE586" i="6"/>
  <c r="AF586" i="6" s="1"/>
  <c r="AA586" i="6"/>
  <c r="Z586" i="6" s="1"/>
  <c r="AD586" i="6" l="1"/>
  <c r="AB586" i="6"/>
  <c r="AC587" i="6"/>
  <c r="Y588" i="6"/>
  <c r="AE587" i="6"/>
  <c r="AF587" i="6" s="1"/>
  <c r="AH587" i="6"/>
  <c r="AG587" i="6"/>
  <c r="AA587" i="6"/>
  <c r="Z587" i="6" s="1"/>
  <c r="AD587" i="6" l="1"/>
  <c r="AB587" i="6"/>
  <c r="Y589" i="6"/>
  <c r="AH588" i="6"/>
  <c r="AG588" i="6"/>
  <c r="AC588" i="6"/>
  <c r="AA588" i="6"/>
  <c r="Z588" i="6" s="1"/>
  <c r="AE588" i="6"/>
  <c r="AF588" i="6" s="1"/>
  <c r="AB588" i="6" l="1"/>
  <c r="AD588" i="6"/>
  <c r="AC589" i="6"/>
  <c r="Y590" i="6"/>
  <c r="AH589" i="6"/>
  <c r="AG589" i="6"/>
  <c r="AE589" i="6"/>
  <c r="AF589" i="6" s="1"/>
  <c r="AA589" i="6"/>
  <c r="Z589" i="6" s="1"/>
  <c r="AD589" i="6" l="1"/>
  <c r="AB589" i="6"/>
  <c r="AA590" i="6"/>
  <c r="Z590" i="6" s="1"/>
  <c r="Y591" i="6"/>
  <c r="AC590" i="6"/>
  <c r="AG590" i="6"/>
  <c r="AH590" i="6"/>
  <c r="AE590" i="6"/>
  <c r="AF590" i="6" s="1"/>
  <c r="AB590" i="6" l="1"/>
  <c r="AD590" i="6"/>
  <c r="AG591" i="6"/>
  <c r="Y592" i="6"/>
  <c r="AE591" i="6"/>
  <c r="AF591" i="6" s="1"/>
  <c r="AC591" i="6"/>
  <c r="AH591" i="6"/>
  <c r="AA591" i="6"/>
  <c r="Z591" i="6" s="1"/>
  <c r="AD591" i="6" l="1"/>
  <c r="AB591" i="6"/>
  <c r="Y593" i="6"/>
  <c r="AC592" i="6"/>
  <c r="AH592" i="6"/>
  <c r="AG592" i="6"/>
  <c r="AE592" i="6"/>
  <c r="AF592" i="6" s="1"/>
  <c r="AA592" i="6"/>
  <c r="Z592" i="6" s="1"/>
  <c r="AD592" i="6" l="1"/>
  <c r="AB592" i="6"/>
  <c r="AH593" i="6"/>
  <c r="AE593" i="6"/>
  <c r="AF593" i="6" s="1"/>
  <c r="AC593" i="6"/>
  <c r="AA593" i="6"/>
  <c r="Z593" i="6" s="1"/>
  <c r="Y594" i="6"/>
  <c r="AG593" i="6"/>
  <c r="AG594" i="6" l="1"/>
  <c r="Y595" i="6"/>
  <c r="AH594" i="6"/>
  <c r="AE594" i="6"/>
  <c r="AF594" i="6" s="1"/>
  <c r="AA594" i="6"/>
  <c r="Z594" i="6" s="1"/>
  <c r="AC594" i="6"/>
  <c r="AD593" i="6"/>
  <c r="AB593" i="6"/>
  <c r="AD594" i="6" l="1"/>
  <c r="AB594" i="6"/>
  <c r="AG595" i="6"/>
  <c r="AC595" i="6"/>
  <c r="Y596" i="6"/>
  <c r="AH595" i="6"/>
  <c r="AE595" i="6"/>
  <c r="AF595" i="6" s="1"/>
  <c r="AA595" i="6"/>
  <c r="Z595" i="6" s="1"/>
  <c r="AG596" i="6" l="1"/>
  <c r="Y597" i="6"/>
  <c r="AH596" i="6"/>
  <c r="AE596" i="6"/>
  <c r="AF596" i="6" s="1"/>
  <c r="AC596" i="6"/>
  <c r="AA596" i="6"/>
  <c r="Z596" i="6" s="1"/>
  <c r="AD595" i="6"/>
  <c r="AB595" i="6"/>
  <c r="AD596" i="6" l="1"/>
  <c r="AB596" i="6"/>
  <c r="AG597" i="6"/>
  <c r="Y598" i="6"/>
  <c r="AE597" i="6"/>
  <c r="AF597" i="6" s="1"/>
  <c r="AC597" i="6"/>
  <c r="AA597" i="6"/>
  <c r="Z597" i="6" s="1"/>
  <c r="AH597" i="6"/>
  <c r="AD597" i="6" l="1"/>
  <c r="AB597" i="6"/>
  <c r="AE598" i="6"/>
  <c r="AF598" i="6" s="1"/>
  <c r="AC598" i="6"/>
  <c r="Y599" i="6"/>
  <c r="AA598" i="6"/>
  <c r="Z598" i="6" s="1"/>
  <c r="AH598" i="6"/>
  <c r="AG598" i="6"/>
  <c r="Y600" i="6" l="1"/>
  <c r="AH599" i="6"/>
  <c r="AG599" i="6"/>
  <c r="AE599" i="6"/>
  <c r="AF599" i="6" s="1"/>
  <c r="AC599" i="6"/>
  <c r="AA599" i="6"/>
  <c r="Z599" i="6" s="1"/>
  <c r="AD598" i="6"/>
  <c r="AB598" i="6"/>
  <c r="AD599" i="6" l="1"/>
  <c r="AB599" i="6"/>
  <c r="AG600" i="6"/>
  <c r="AC600" i="6"/>
  <c r="AA600" i="6"/>
  <c r="Z600" i="6" s="1"/>
  <c r="Y601" i="6"/>
  <c r="AH600" i="6"/>
  <c r="AE600" i="6"/>
  <c r="AF600" i="6" s="1"/>
  <c r="AC601" i="6" l="1"/>
  <c r="AE601" i="6"/>
  <c r="AF601" i="6" s="1"/>
  <c r="Y602" i="6"/>
  <c r="AH601" i="6"/>
  <c r="AG601" i="6"/>
  <c r="AA601" i="6"/>
  <c r="Z601" i="6" s="1"/>
  <c r="AD600" i="6"/>
  <c r="AB600" i="6"/>
  <c r="AE602" i="6" l="1"/>
  <c r="AF602" i="6" s="1"/>
  <c r="Y603" i="6"/>
  <c r="AH602" i="6"/>
  <c r="AG602" i="6"/>
  <c r="AC602" i="6"/>
  <c r="AA602" i="6"/>
  <c r="Z602" i="6" s="1"/>
  <c r="AD601" i="6"/>
  <c r="AB601" i="6"/>
  <c r="AD602" i="6" l="1"/>
  <c r="AB602" i="6"/>
  <c r="AG603" i="6"/>
  <c r="Y604" i="6"/>
  <c r="AH603" i="6"/>
  <c r="AE603" i="6"/>
  <c r="AF603" i="6" s="1"/>
  <c r="AC603" i="6"/>
  <c r="AA603" i="6"/>
  <c r="Z603" i="6" s="1"/>
  <c r="AD603" i="6" l="1"/>
  <c r="AB603" i="6"/>
  <c r="AA604" i="6"/>
  <c r="Z604" i="6" s="1"/>
  <c r="AE604" i="6"/>
  <c r="AF604" i="6" s="1"/>
  <c r="AC604" i="6"/>
  <c r="AG604" i="6"/>
  <c r="Y605" i="6"/>
  <c r="AH604" i="6"/>
  <c r="Y606" i="6" l="1"/>
  <c r="AH605" i="6"/>
  <c r="AE605" i="6"/>
  <c r="AF605" i="6" s="1"/>
  <c r="AC605" i="6"/>
  <c r="AA605" i="6"/>
  <c r="Z605" i="6" s="1"/>
  <c r="AG605" i="6"/>
  <c r="AD604" i="6"/>
  <c r="AB604" i="6"/>
  <c r="AD605" i="6" l="1"/>
  <c r="AB605" i="6"/>
  <c r="Y607" i="6"/>
  <c r="AG606" i="6"/>
  <c r="AH606" i="6"/>
  <c r="AE606" i="6"/>
  <c r="AF606" i="6" s="1"/>
  <c r="AC606" i="6"/>
  <c r="AA606" i="6"/>
  <c r="Z606" i="6" s="1"/>
  <c r="AD606" i="6" l="1"/>
  <c r="AB606" i="6"/>
  <c r="AE607" i="6"/>
  <c r="AF607" i="6" s="1"/>
  <c r="AC607" i="6"/>
  <c r="AG607" i="6"/>
  <c r="AA607" i="6"/>
  <c r="Z607" i="6" s="1"/>
  <c r="Y608" i="6"/>
  <c r="AH607" i="6"/>
  <c r="AC608" i="6" l="1"/>
  <c r="Y609" i="6"/>
  <c r="AH608" i="6"/>
  <c r="AG608" i="6"/>
  <c r="AA608" i="6"/>
  <c r="Z608" i="6" s="1"/>
  <c r="AE608" i="6"/>
  <c r="AF608" i="6" s="1"/>
  <c r="AD607" i="6"/>
  <c r="AB607" i="6"/>
  <c r="AG609" i="6" l="1"/>
  <c r="AH609" i="6"/>
  <c r="Y610" i="6"/>
  <c r="AE609" i="6"/>
  <c r="AF609" i="6" s="1"/>
  <c r="AC609" i="6"/>
  <c r="AA609" i="6"/>
  <c r="Z609" i="6" s="1"/>
  <c r="AD608" i="6"/>
  <c r="AB608" i="6"/>
  <c r="AD609" i="6" l="1"/>
  <c r="AB609" i="6"/>
  <c r="AE610" i="6"/>
  <c r="AF610" i="6" s="1"/>
  <c r="AC610" i="6"/>
  <c r="Y611" i="6"/>
  <c r="AH610" i="6"/>
  <c r="AG610" i="6"/>
  <c r="AA610" i="6"/>
  <c r="Z610" i="6" s="1"/>
  <c r="AA611" i="6" l="1"/>
  <c r="Z611" i="6" s="1"/>
  <c r="AG611" i="6"/>
  <c r="Y612" i="6"/>
  <c r="AH611" i="6"/>
  <c r="AE611" i="6"/>
  <c r="AF611" i="6" s="1"/>
  <c r="AC611" i="6"/>
  <c r="AD610" i="6"/>
  <c r="AB610" i="6"/>
  <c r="AB611" i="6" l="1"/>
  <c r="AD611" i="6"/>
  <c r="AE612" i="6"/>
  <c r="AF612" i="6" s="1"/>
  <c r="AH612" i="6"/>
  <c r="Y613" i="6"/>
  <c r="AG612" i="6"/>
  <c r="AC612" i="6"/>
  <c r="AA612" i="6"/>
  <c r="Z612" i="6" s="1"/>
  <c r="AB612" i="6" l="1"/>
  <c r="AD612" i="6"/>
  <c r="AE613" i="6"/>
  <c r="AF613" i="6" s="1"/>
  <c r="AC613" i="6"/>
  <c r="Y614" i="6"/>
  <c r="AH613" i="6"/>
  <c r="AG613" i="6"/>
  <c r="AA613" i="6"/>
  <c r="Z613" i="6" s="1"/>
  <c r="AD613" i="6" l="1"/>
  <c r="AB613" i="6"/>
  <c r="AC614" i="6"/>
  <c r="AA614" i="6"/>
  <c r="Z614" i="6" s="1"/>
  <c r="AG614" i="6"/>
  <c r="AE614" i="6"/>
  <c r="AF614" i="6" s="1"/>
  <c r="Y615" i="6"/>
  <c r="AH614" i="6"/>
  <c r="AC615" i="6" l="1"/>
  <c r="Y616" i="6"/>
  <c r="AH615" i="6"/>
  <c r="AG615" i="6"/>
  <c r="AA615" i="6"/>
  <c r="Z615" i="6" s="1"/>
  <c r="AE615" i="6"/>
  <c r="AF615" i="6" s="1"/>
  <c r="AD614" i="6"/>
  <c r="AB614" i="6"/>
  <c r="AE616" i="6" l="1"/>
  <c r="AF616" i="6" s="1"/>
  <c r="Y617" i="6"/>
  <c r="AH616" i="6"/>
  <c r="AG616" i="6"/>
  <c r="AC616" i="6"/>
  <c r="AA616" i="6"/>
  <c r="Z616" i="6" s="1"/>
  <c r="AD615" i="6"/>
  <c r="AB615" i="6"/>
  <c r="AD616" i="6" l="1"/>
  <c r="AB616" i="6"/>
  <c r="AA617" i="6"/>
  <c r="Z617" i="6" s="1"/>
  <c r="Y618" i="6"/>
  <c r="AH617" i="6"/>
  <c r="AG617" i="6"/>
  <c r="AE617" i="6"/>
  <c r="AF617" i="6" s="1"/>
  <c r="AC617" i="6"/>
  <c r="AB617" i="6" l="1"/>
  <c r="AD617" i="6"/>
  <c r="AA618" i="6"/>
  <c r="Z618" i="6" s="1"/>
  <c r="AC618" i="6"/>
  <c r="AG618" i="6"/>
  <c r="Y619" i="6"/>
  <c r="AH618" i="6"/>
  <c r="AE618" i="6"/>
  <c r="AF618" i="6" s="1"/>
  <c r="Y620" i="6" l="1"/>
  <c r="AG619" i="6"/>
  <c r="AE619" i="6"/>
  <c r="AF619" i="6" s="1"/>
  <c r="AH619" i="6"/>
  <c r="AC619" i="6"/>
  <c r="AA619" i="6"/>
  <c r="Z619" i="6" s="1"/>
  <c r="AB618" i="6"/>
  <c r="AD618" i="6"/>
  <c r="AD619" i="6" l="1"/>
  <c r="AB619" i="6"/>
  <c r="Y621" i="6"/>
  <c r="AH620" i="6"/>
  <c r="AG620" i="6"/>
  <c r="AE620" i="6"/>
  <c r="AF620" i="6" s="1"/>
  <c r="AC620" i="6"/>
  <c r="AA620" i="6"/>
  <c r="Z620" i="6" s="1"/>
  <c r="AB620" i="6" l="1"/>
  <c r="AD620" i="6"/>
  <c r="AH621" i="6"/>
  <c r="AG621" i="6"/>
  <c r="AE621" i="6"/>
  <c r="AF621" i="6" s="1"/>
  <c r="AC621" i="6"/>
  <c r="AA621" i="6"/>
  <c r="Z621" i="6" s="1"/>
  <c r="Y622" i="6"/>
  <c r="AG622" i="6" l="1"/>
  <c r="Y623" i="6"/>
  <c r="AH622" i="6"/>
  <c r="AA622" i="6"/>
  <c r="Z622" i="6" s="1"/>
  <c r="AE622" i="6"/>
  <c r="AF622" i="6" s="1"/>
  <c r="AC622" i="6"/>
  <c r="AD621" i="6"/>
  <c r="AB621" i="6"/>
  <c r="AB622" i="6" l="1"/>
  <c r="AD622" i="6"/>
  <c r="AG623" i="6"/>
  <c r="AC623" i="6"/>
  <c r="AH623" i="6"/>
  <c r="AE623" i="6"/>
  <c r="AF623" i="6" s="1"/>
  <c r="AA623" i="6"/>
  <c r="Z623" i="6" s="1"/>
  <c r="Y624" i="6"/>
  <c r="Y625" i="6" l="1"/>
  <c r="AH624" i="6"/>
  <c r="AG624" i="6"/>
  <c r="AE624" i="6"/>
  <c r="AF624" i="6" s="1"/>
  <c r="AC624" i="6"/>
  <c r="AA624" i="6"/>
  <c r="Z624" i="6" s="1"/>
  <c r="AD623" i="6"/>
  <c r="AB623" i="6"/>
  <c r="AD624" i="6" l="1"/>
  <c r="AB624" i="6"/>
  <c r="AE625" i="6"/>
  <c r="AF625" i="6" s="1"/>
  <c r="AG625" i="6"/>
  <c r="AC625" i="6"/>
  <c r="AA625" i="6"/>
  <c r="Z625" i="6" s="1"/>
  <c r="Y626" i="6"/>
  <c r="AH625" i="6"/>
  <c r="AE626" i="6" l="1"/>
  <c r="AF626" i="6" s="1"/>
  <c r="AA626" i="6"/>
  <c r="Z626" i="6" s="1"/>
  <c r="Y627" i="6"/>
  <c r="AG626" i="6"/>
  <c r="AH626" i="6"/>
  <c r="AC626" i="6"/>
  <c r="AD625" i="6"/>
  <c r="AB625" i="6"/>
  <c r="AD626" i="6" l="1"/>
  <c r="AB626" i="6"/>
  <c r="AH627" i="6"/>
  <c r="Y628" i="6"/>
  <c r="AG627" i="6"/>
  <c r="AC627" i="6"/>
  <c r="AA627" i="6"/>
  <c r="Z627" i="6" s="1"/>
  <c r="AE627" i="6"/>
  <c r="AF627" i="6" s="1"/>
  <c r="AD627" i="6" l="1"/>
  <c r="AB627" i="6"/>
  <c r="AC628" i="6"/>
  <c r="AH628" i="6"/>
  <c r="AG628" i="6"/>
  <c r="AE628" i="6"/>
  <c r="AF628" i="6" s="1"/>
  <c r="Y629" i="6"/>
  <c r="AA628" i="6"/>
  <c r="Z628" i="6" s="1"/>
  <c r="AC629" i="6" l="1"/>
  <c r="AG629" i="6"/>
  <c r="AE629" i="6"/>
  <c r="AF629" i="6" s="1"/>
  <c r="Y630" i="6"/>
  <c r="AH629" i="6"/>
  <c r="AA629" i="6"/>
  <c r="Z629" i="6" s="1"/>
  <c r="AD628" i="6"/>
  <c r="AB628" i="6"/>
  <c r="Y631" i="6" l="1"/>
  <c r="AH630" i="6"/>
  <c r="AG630" i="6"/>
  <c r="AE630" i="6"/>
  <c r="AF630" i="6" s="1"/>
  <c r="AC630" i="6"/>
  <c r="AA630" i="6"/>
  <c r="Z630" i="6" s="1"/>
  <c r="AD629" i="6"/>
  <c r="AB629" i="6"/>
  <c r="AD630" i="6" l="1"/>
  <c r="AB630" i="6"/>
  <c r="AA631" i="6"/>
  <c r="Z631" i="6" s="1"/>
  <c r="Y632" i="6"/>
  <c r="AH631" i="6"/>
  <c r="AG631" i="6"/>
  <c r="AE631" i="6"/>
  <c r="AF631" i="6" s="1"/>
  <c r="AC631" i="6"/>
  <c r="AD631" i="6" l="1"/>
  <c r="AB631" i="6"/>
  <c r="AA632" i="6"/>
  <c r="Z632" i="6" s="1"/>
  <c r="AH632" i="6"/>
  <c r="AG632" i="6"/>
  <c r="Y633" i="6"/>
  <c r="AE632" i="6"/>
  <c r="AF632" i="6" s="1"/>
  <c r="AC632" i="6"/>
  <c r="AB632" i="6" l="1"/>
  <c r="AD632" i="6"/>
  <c r="Y634" i="6"/>
  <c r="AA633" i="6"/>
  <c r="Z633" i="6" s="1"/>
  <c r="AH633" i="6"/>
  <c r="AG633" i="6"/>
  <c r="AE633" i="6"/>
  <c r="AF633" i="6" s="1"/>
  <c r="AC633" i="6"/>
  <c r="AD633" i="6" l="1"/>
  <c r="AB633" i="6"/>
  <c r="Y635" i="6"/>
  <c r="AA634" i="6"/>
  <c r="Z634" i="6" s="1"/>
  <c r="AH634" i="6"/>
  <c r="AE634" i="6"/>
  <c r="AF634" i="6" s="1"/>
  <c r="AG634" i="6"/>
  <c r="AC634" i="6"/>
  <c r="AD634" i="6" l="1"/>
  <c r="AB634" i="6"/>
  <c r="Y636" i="6"/>
  <c r="AH635" i="6"/>
  <c r="AA635" i="6"/>
  <c r="Z635" i="6" s="1"/>
  <c r="AG635" i="6"/>
  <c r="AE635" i="6"/>
  <c r="AF635" i="6" s="1"/>
  <c r="AC635" i="6"/>
  <c r="AD635" i="6" l="1"/>
  <c r="AB635" i="6"/>
  <c r="AG636" i="6"/>
  <c r="AE636" i="6"/>
  <c r="AF636" i="6" s="1"/>
  <c r="AC636" i="6"/>
  <c r="Y637" i="6"/>
  <c r="AH636" i="6"/>
  <c r="AA636" i="6"/>
  <c r="Z636" i="6" s="1"/>
  <c r="AG637" i="6" l="1"/>
  <c r="Y638" i="6"/>
  <c r="AH637" i="6"/>
  <c r="AE637" i="6"/>
  <c r="AF637" i="6" s="1"/>
  <c r="AC637" i="6"/>
  <c r="AA637" i="6"/>
  <c r="Z637" i="6" s="1"/>
  <c r="AB636" i="6"/>
  <c r="AD636" i="6"/>
  <c r="AD637" i="6" l="1"/>
  <c r="AB637" i="6"/>
  <c r="Y639" i="6"/>
  <c r="AH638" i="6"/>
  <c r="AC638" i="6"/>
  <c r="AA638" i="6"/>
  <c r="Z638" i="6" s="1"/>
  <c r="AG638" i="6"/>
  <c r="AE638" i="6"/>
  <c r="AF638" i="6" s="1"/>
  <c r="AE639" i="6" l="1"/>
  <c r="AF639" i="6" s="1"/>
  <c r="AA639" i="6"/>
  <c r="Z639" i="6" s="1"/>
  <c r="Y640" i="6"/>
  <c r="AH639" i="6"/>
  <c r="AC639" i="6"/>
  <c r="AG639" i="6"/>
  <c r="AB638" i="6"/>
  <c r="AD638" i="6"/>
  <c r="AD639" i="6" l="1"/>
  <c r="AB639" i="6"/>
  <c r="AE640" i="6"/>
  <c r="AF640" i="6" s="1"/>
  <c r="AA640" i="6"/>
  <c r="Z640" i="6" s="1"/>
  <c r="Y641" i="6"/>
  <c r="AH640" i="6"/>
  <c r="AG640" i="6"/>
  <c r="AC640" i="6"/>
  <c r="AD640" i="6" l="1"/>
  <c r="AB640" i="6"/>
  <c r="AH641" i="6"/>
  <c r="AC641" i="6"/>
  <c r="Y642" i="6"/>
  <c r="AG641" i="6"/>
  <c r="AE641" i="6"/>
  <c r="AF641" i="6" s="1"/>
  <c r="AA641" i="6"/>
  <c r="Z641" i="6" s="1"/>
  <c r="AC642" i="6" l="1"/>
  <c r="AA642" i="6"/>
  <c r="Z642" i="6" s="1"/>
  <c r="AH642" i="6"/>
  <c r="Y643" i="6"/>
  <c r="AG642" i="6"/>
  <c r="AE642" i="6"/>
  <c r="AF642" i="6" s="1"/>
  <c r="AD641" i="6"/>
  <c r="AB641" i="6"/>
  <c r="AC643" i="6" l="1"/>
  <c r="AE643" i="6"/>
  <c r="AF643" i="6" s="1"/>
  <c r="AH643" i="6"/>
  <c r="Y644" i="6"/>
  <c r="AG643" i="6"/>
  <c r="AA643" i="6"/>
  <c r="Z643" i="6" s="1"/>
  <c r="AB642" i="6"/>
  <c r="AD642" i="6"/>
  <c r="AH644" i="6" l="1"/>
  <c r="Y645" i="6"/>
  <c r="AG644" i="6"/>
  <c r="AE644" i="6"/>
  <c r="AF644" i="6" s="1"/>
  <c r="AC644" i="6"/>
  <c r="AA644" i="6"/>
  <c r="Z644" i="6" s="1"/>
  <c r="AD643" i="6"/>
  <c r="AB643" i="6"/>
  <c r="AD644" i="6" l="1"/>
  <c r="AB644" i="6"/>
  <c r="AA645" i="6"/>
  <c r="Z645" i="6" s="1"/>
  <c r="AC645" i="6"/>
  <c r="Y646" i="6"/>
  <c r="AH645" i="6"/>
  <c r="AG645" i="6"/>
  <c r="AE645" i="6"/>
  <c r="AF645" i="6" s="1"/>
  <c r="AA646" i="6" l="1"/>
  <c r="Z646" i="6" s="1"/>
  <c r="Y647" i="6"/>
  <c r="AH646" i="6"/>
  <c r="AG646" i="6"/>
  <c r="AE646" i="6"/>
  <c r="AF646" i="6" s="1"/>
  <c r="AC646" i="6"/>
  <c r="AD645" i="6"/>
  <c r="AB645" i="6"/>
  <c r="AD646" i="6" l="1"/>
  <c r="AB646" i="6"/>
  <c r="Y648" i="6"/>
  <c r="AA647" i="6"/>
  <c r="Z647" i="6" s="1"/>
  <c r="AG647" i="6"/>
  <c r="AE647" i="6"/>
  <c r="AF647" i="6" s="1"/>
  <c r="AC647" i="6"/>
  <c r="AH647" i="6"/>
  <c r="AD647" i="6" l="1"/>
  <c r="AB647" i="6"/>
  <c r="Y649" i="6"/>
  <c r="AE648" i="6"/>
  <c r="AF648" i="6" s="1"/>
  <c r="AH648" i="6"/>
  <c r="AC648" i="6"/>
  <c r="AA648" i="6"/>
  <c r="Z648" i="6" s="1"/>
  <c r="AG648" i="6"/>
  <c r="AD648" i="6" l="1"/>
  <c r="AB648" i="6"/>
  <c r="Y650" i="6"/>
  <c r="AG649" i="6"/>
  <c r="AH649" i="6"/>
  <c r="AE649" i="6"/>
  <c r="AF649" i="6" s="1"/>
  <c r="AC649" i="6"/>
  <c r="AA649" i="6"/>
  <c r="Z649" i="6" s="1"/>
  <c r="AD649" i="6" l="1"/>
  <c r="AB649" i="6"/>
  <c r="AG650" i="6"/>
  <c r="AH650" i="6"/>
  <c r="Y651" i="6"/>
  <c r="AE650" i="6"/>
  <c r="AF650" i="6" s="1"/>
  <c r="AC650" i="6"/>
  <c r="AA650" i="6"/>
  <c r="Z650" i="6" s="1"/>
  <c r="AB650" i="6" l="1"/>
  <c r="AD650" i="6"/>
  <c r="AG651" i="6"/>
  <c r="AE651" i="6"/>
  <c r="AF651" i="6" s="1"/>
  <c r="AA651" i="6"/>
  <c r="Z651" i="6" s="1"/>
  <c r="Y652" i="6"/>
  <c r="AH651" i="6"/>
  <c r="AC651" i="6"/>
  <c r="AD651" i="6" l="1"/>
  <c r="AB651" i="6"/>
  <c r="AC652" i="6"/>
  <c r="AA652" i="6"/>
  <c r="Z652" i="6" s="1"/>
  <c r="AH652" i="6"/>
  <c r="Y653" i="6"/>
  <c r="AE652" i="6"/>
  <c r="AF652" i="6" s="1"/>
  <c r="AG652" i="6"/>
  <c r="AE653" i="6" l="1"/>
  <c r="AF653" i="6" s="1"/>
  <c r="Y654" i="6"/>
  <c r="AC653" i="6"/>
  <c r="AH653" i="6"/>
  <c r="AG653" i="6"/>
  <c r="AA653" i="6"/>
  <c r="Z653" i="6" s="1"/>
  <c r="AD652" i="6"/>
  <c r="AB652" i="6"/>
  <c r="AD653" i="6" l="1"/>
  <c r="AB653" i="6"/>
  <c r="AE654" i="6"/>
  <c r="AF654" i="6" s="1"/>
  <c r="AH654" i="6"/>
  <c r="AG654" i="6"/>
  <c r="AC654" i="6"/>
  <c r="AA654" i="6"/>
  <c r="Z654" i="6" s="1"/>
  <c r="Y655" i="6"/>
  <c r="AH655" i="6" l="1"/>
  <c r="Y656" i="6"/>
  <c r="AG655" i="6"/>
  <c r="AE655" i="6"/>
  <c r="AF655" i="6" s="1"/>
  <c r="AC655" i="6"/>
  <c r="AA655" i="6"/>
  <c r="Z655" i="6" s="1"/>
  <c r="AB654" i="6"/>
  <c r="AD654" i="6"/>
  <c r="AD655" i="6" l="1"/>
  <c r="AB655" i="6"/>
  <c r="AC656" i="6"/>
  <c r="Y657" i="6"/>
  <c r="AH656" i="6"/>
  <c r="AG656" i="6"/>
  <c r="AE656" i="6"/>
  <c r="AF656" i="6" s="1"/>
  <c r="AA656" i="6"/>
  <c r="Z656" i="6" s="1"/>
  <c r="AD656" i="6" l="1"/>
  <c r="AB656" i="6"/>
  <c r="AC657" i="6"/>
  <c r="Y658" i="6"/>
  <c r="AH657" i="6"/>
  <c r="AG657" i="6"/>
  <c r="AE657" i="6"/>
  <c r="AF657" i="6" s="1"/>
  <c r="AA657" i="6"/>
  <c r="Z657" i="6" s="1"/>
  <c r="AD657" i="6" l="1"/>
  <c r="AB657" i="6"/>
  <c r="AC658" i="6"/>
  <c r="AA658" i="6"/>
  <c r="Z658" i="6" s="1"/>
  <c r="Y659" i="6"/>
  <c r="AH658" i="6"/>
  <c r="AG658" i="6"/>
  <c r="AE658" i="6"/>
  <c r="AF658" i="6" s="1"/>
  <c r="AC659" i="6" l="1"/>
  <c r="AA659" i="6"/>
  <c r="Z659" i="6" s="1"/>
  <c r="Y660" i="6"/>
  <c r="AH659" i="6"/>
  <c r="AG659" i="6"/>
  <c r="AE659" i="6"/>
  <c r="AF659" i="6" s="1"/>
  <c r="AB658" i="6"/>
  <c r="AD658" i="6"/>
  <c r="AA660" i="6" l="1"/>
  <c r="Z660" i="6" s="1"/>
  <c r="AC660" i="6"/>
  <c r="AH660" i="6"/>
  <c r="Y661" i="6"/>
  <c r="AG660" i="6"/>
  <c r="AE660" i="6"/>
  <c r="AF660" i="6" s="1"/>
  <c r="AD659" i="6"/>
  <c r="AB659" i="6"/>
  <c r="Y662" i="6" l="1"/>
  <c r="AA661" i="6"/>
  <c r="Z661" i="6" s="1"/>
  <c r="AH661" i="6"/>
  <c r="AG661" i="6"/>
  <c r="AE661" i="6"/>
  <c r="AF661" i="6" s="1"/>
  <c r="AC661" i="6"/>
  <c r="AD660" i="6"/>
  <c r="AB660" i="6"/>
  <c r="AD661" i="6" l="1"/>
  <c r="AB661" i="6"/>
  <c r="Y663" i="6"/>
  <c r="AA662" i="6"/>
  <c r="Z662" i="6" s="1"/>
  <c r="AE662" i="6"/>
  <c r="AF662" i="6" s="1"/>
  <c r="AC662" i="6"/>
  <c r="AH662" i="6"/>
  <c r="AG662" i="6"/>
  <c r="AB662" i="6" l="1"/>
  <c r="AD662" i="6"/>
  <c r="AH663" i="6"/>
  <c r="AE663" i="6"/>
  <c r="AF663" i="6" s="1"/>
  <c r="Y664" i="6"/>
  <c r="AG663" i="6"/>
  <c r="AA663" i="6"/>
  <c r="Z663" i="6" s="1"/>
  <c r="AC663" i="6"/>
  <c r="AD663" i="6" l="1"/>
  <c r="AB663" i="6"/>
  <c r="Y665" i="6"/>
  <c r="AG664" i="6"/>
  <c r="AC664" i="6"/>
  <c r="AH664" i="6"/>
  <c r="AE664" i="6"/>
  <c r="AF664" i="6" s="1"/>
  <c r="AA664" i="6"/>
  <c r="Z664" i="6" s="1"/>
  <c r="AG665" i="6" l="1"/>
  <c r="Y666" i="6"/>
  <c r="AH665" i="6"/>
  <c r="AE665" i="6"/>
  <c r="AF665" i="6" s="1"/>
  <c r="AA665" i="6"/>
  <c r="Z665" i="6" s="1"/>
  <c r="AC665" i="6"/>
  <c r="AB664" i="6"/>
  <c r="AD664" i="6"/>
  <c r="AD665" i="6" l="1"/>
  <c r="AB665" i="6"/>
  <c r="AG666" i="6"/>
  <c r="Y667" i="6"/>
  <c r="AH666" i="6"/>
  <c r="AE666" i="6"/>
  <c r="AF666" i="6" s="1"/>
  <c r="AC666" i="6"/>
  <c r="AA666" i="6"/>
  <c r="Z666" i="6" s="1"/>
  <c r="AD666" i="6" l="1"/>
  <c r="AB666" i="6"/>
  <c r="AG667" i="6"/>
  <c r="AE667" i="6"/>
  <c r="AF667" i="6" s="1"/>
  <c r="Y668" i="6"/>
  <c r="AH667" i="6"/>
  <c r="AA667" i="6"/>
  <c r="Z667" i="6" s="1"/>
  <c r="AC667" i="6"/>
  <c r="AB667" i="6" l="1"/>
  <c r="AD667" i="6"/>
  <c r="AE668" i="6"/>
  <c r="AF668" i="6" s="1"/>
  <c r="Y669" i="6"/>
  <c r="AG668" i="6"/>
  <c r="AH668" i="6"/>
  <c r="AC668" i="6"/>
  <c r="AA668" i="6"/>
  <c r="Z668" i="6" s="1"/>
  <c r="AB668" i="6" l="1"/>
  <c r="AD668" i="6"/>
  <c r="AH669" i="6"/>
  <c r="AE669" i="6"/>
  <c r="AF669" i="6" s="1"/>
  <c r="AC669" i="6"/>
  <c r="Y670" i="6"/>
  <c r="AG669" i="6"/>
  <c r="AA669" i="6"/>
  <c r="Z669" i="6" s="1"/>
  <c r="AE670" i="6" l="1"/>
  <c r="AF670" i="6" s="1"/>
  <c r="AC670" i="6"/>
  <c r="Y671" i="6"/>
  <c r="AH670" i="6"/>
  <c r="AG670" i="6"/>
  <c r="AA670" i="6"/>
  <c r="Z670" i="6" s="1"/>
  <c r="AD669" i="6"/>
  <c r="AB669" i="6"/>
  <c r="AC671" i="6" l="1"/>
  <c r="AA671" i="6"/>
  <c r="Z671" i="6" s="1"/>
  <c r="Y672" i="6"/>
  <c r="AH671" i="6"/>
  <c r="AG671" i="6"/>
  <c r="AE671" i="6"/>
  <c r="AF671" i="6" s="1"/>
  <c r="AD670" i="6"/>
  <c r="AB670" i="6"/>
  <c r="AG672" i="6" l="1"/>
  <c r="AH672" i="6"/>
  <c r="AC672" i="6"/>
  <c r="AA672" i="6"/>
  <c r="Z672" i="6" s="1"/>
  <c r="Y673" i="6"/>
  <c r="AE672" i="6"/>
  <c r="AF672" i="6" s="1"/>
  <c r="AD671" i="6"/>
  <c r="AB671" i="6"/>
  <c r="AC673" i="6" l="1"/>
  <c r="AA673" i="6"/>
  <c r="Z673" i="6" s="1"/>
  <c r="AH673" i="6"/>
  <c r="AE673" i="6"/>
  <c r="AF673" i="6" s="1"/>
  <c r="Y674" i="6"/>
  <c r="AG673" i="6"/>
  <c r="AD672" i="6"/>
  <c r="AB672" i="6"/>
  <c r="AA674" i="6" l="1"/>
  <c r="Z674" i="6" s="1"/>
  <c r="AE674" i="6"/>
  <c r="AF674" i="6" s="1"/>
  <c r="AC674" i="6"/>
  <c r="Y675" i="6"/>
  <c r="AH674" i="6"/>
  <c r="AG674" i="6"/>
  <c r="AD673" i="6"/>
  <c r="AB673" i="6"/>
  <c r="Y676" i="6" l="1"/>
  <c r="AE675" i="6"/>
  <c r="AF675" i="6" s="1"/>
  <c r="AH675" i="6"/>
  <c r="AG675" i="6"/>
  <c r="AC675" i="6"/>
  <c r="AA675" i="6"/>
  <c r="Z675" i="6" s="1"/>
  <c r="AD674" i="6"/>
  <c r="AB674" i="6"/>
  <c r="AD675" i="6" l="1"/>
  <c r="AB675" i="6"/>
  <c r="Y677" i="6"/>
  <c r="AA676" i="6"/>
  <c r="Z676" i="6" s="1"/>
  <c r="AH676" i="6"/>
  <c r="AG676" i="6"/>
  <c r="AE676" i="6"/>
  <c r="AF676" i="6" s="1"/>
  <c r="AC676" i="6"/>
  <c r="AD676" i="6" l="1"/>
  <c r="AB676" i="6"/>
  <c r="AH677" i="6"/>
  <c r="AG677" i="6"/>
  <c r="Y678" i="6"/>
  <c r="AE677" i="6"/>
  <c r="AF677" i="6" s="1"/>
  <c r="AA677" i="6"/>
  <c r="Z677" i="6" s="1"/>
  <c r="AC677" i="6"/>
  <c r="AB677" i="6" l="1"/>
  <c r="AD677" i="6"/>
  <c r="Y679" i="6"/>
  <c r="AG678" i="6"/>
  <c r="AC678" i="6"/>
  <c r="AA678" i="6"/>
  <c r="Z678" i="6" s="1"/>
  <c r="AH678" i="6"/>
  <c r="AE678" i="6"/>
  <c r="AF678" i="6" s="1"/>
  <c r="AB678" i="6" l="1"/>
  <c r="AD678" i="6"/>
  <c r="AG679" i="6"/>
  <c r="Y680" i="6"/>
  <c r="AH679" i="6"/>
  <c r="AE679" i="6"/>
  <c r="AF679" i="6" s="1"/>
  <c r="AA679" i="6"/>
  <c r="Z679" i="6" s="1"/>
  <c r="AC679" i="6"/>
  <c r="AD679" i="6" l="1"/>
  <c r="AB679" i="6"/>
  <c r="Y681" i="6"/>
  <c r="AE680" i="6"/>
  <c r="AF680" i="6" s="1"/>
  <c r="AG680" i="6"/>
  <c r="AH680" i="6"/>
  <c r="AC680" i="6"/>
  <c r="AA680" i="6"/>
  <c r="Z680" i="6" s="1"/>
  <c r="AB680" i="6" l="1"/>
  <c r="AD680" i="6"/>
  <c r="AG681" i="6"/>
  <c r="AE681" i="6"/>
  <c r="AF681" i="6" s="1"/>
  <c r="AA681" i="6"/>
  <c r="Z681" i="6" s="1"/>
  <c r="AC681" i="6"/>
  <c r="Y682" i="6"/>
  <c r="AH681" i="6"/>
  <c r="AE682" i="6" l="1"/>
  <c r="AF682" i="6" s="1"/>
  <c r="AC682" i="6"/>
  <c r="AA682" i="6"/>
  <c r="Z682" i="6" s="1"/>
  <c r="Y683" i="6"/>
  <c r="AH682" i="6"/>
  <c r="AG682" i="6"/>
  <c r="AB681" i="6"/>
  <c r="AD681" i="6"/>
  <c r="Y684" i="6" l="1"/>
  <c r="AH683" i="6"/>
  <c r="AE683" i="6"/>
  <c r="AF683" i="6" s="1"/>
  <c r="AG683" i="6"/>
  <c r="AC683" i="6"/>
  <c r="AA683" i="6"/>
  <c r="Z683" i="6" s="1"/>
  <c r="AB682" i="6"/>
  <c r="AD682" i="6"/>
  <c r="AD683" i="6" l="1"/>
  <c r="AB683" i="6"/>
  <c r="AE684" i="6"/>
  <c r="AF684" i="6" s="1"/>
  <c r="AC684" i="6"/>
  <c r="AH684" i="6"/>
  <c r="AG684" i="6"/>
  <c r="AA684" i="6"/>
  <c r="Z684" i="6" s="1"/>
  <c r="Y685" i="6"/>
  <c r="AC685" i="6" l="1"/>
  <c r="Y686" i="6"/>
  <c r="AH685" i="6"/>
  <c r="AG685" i="6"/>
  <c r="AE685" i="6"/>
  <c r="AF685" i="6" s="1"/>
  <c r="AA685" i="6"/>
  <c r="Z685" i="6" s="1"/>
  <c r="AD684" i="6"/>
  <c r="AB684" i="6"/>
  <c r="AG686" i="6" l="1"/>
  <c r="AA686" i="6"/>
  <c r="Z686" i="6" s="1"/>
  <c r="Y687" i="6"/>
  <c r="AH686" i="6"/>
  <c r="AE686" i="6"/>
  <c r="AF686" i="6" s="1"/>
  <c r="AC686" i="6"/>
  <c r="AB685" i="6"/>
  <c r="AD685" i="6"/>
  <c r="AB686" i="6" l="1"/>
  <c r="AD686" i="6"/>
  <c r="AC687" i="6"/>
  <c r="AA687" i="6"/>
  <c r="Z687" i="6" s="1"/>
  <c r="Y688" i="6"/>
  <c r="AG687" i="6"/>
  <c r="AE687" i="6"/>
  <c r="AF687" i="6" s="1"/>
  <c r="AH687" i="6"/>
  <c r="AA688" i="6" l="1"/>
  <c r="Z688" i="6" s="1"/>
  <c r="Y689" i="6"/>
  <c r="AH688" i="6"/>
  <c r="AG688" i="6"/>
  <c r="AE688" i="6"/>
  <c r="AF688" i="6" s="1"/>
  <c r="AC688" i="6"/>
  <c r="AD687" i="6"/>
  <c r="AB687" i="6"/>
  <c r="AB688" i="6" l="1"/>
  <c r="AD688" i="6"/>
  <c r="Y690" i="6"/>
  <c r="AE689" i="6"/>
  <c r="AF689" i="6" s="1"/>
  <c r="AH689" i="6"/>
  <c r="AG689" i="6"/>
  <c r="AC689" i="6"/>
  <c r="AA689" i="6"/>
  <c r="Z689" i="6" s="1"/>
  <c r="AD689" i="6" l="1"/>
  <c r="AB689" i="6"/>
  <c r="Y691" i="6"/>
  <c r="AA690" i="6"/>
  <c r="Z690" i="6" s="1"/>
  <c r="AH690" i="6"/>
  <c r="AE690" i="6"/>
  <c r="AF690" i="6" s="1"/>
  <c r="AC690" i="6"/>
  <c r="AG690" i="6"/>
  <c r="AD690" i="6" l="1"/>
  <c r="AB690" i="6"/>
  <c r="AE691" i="6"/>
  <c r="AF691" i="6" s="1"/>
  <c r="AC691" i="6"/>
  <c r="AA691" i="6"/>
  <c r="Z691" i="6" s="1"/>
  <c r="AG691" i="6"/>
  <c r="Y692" i="6"/>
  <c r="AH691" i="6"/>
  <c r="Y693" i="6" l="1"/>
  <c r="AG692" i="6"/>
  <c r="AC692" i="6"/>
  <c r="AH692" i="6"/>
  <c r="AA692" i="6"/>
  <c r="Z692" i="6" s="1"/>
  <c r="AE692" i="6"/>
  <c r="AF692" i="6" s="1"/>
  <c r="AD691" i="6"/>
  <c r="AB691" i="6"/>
  <c r="AB692" i="6" l="1"/>
  <c r="AD692" i="6"/>
  <c r="AG693" i="6"/>
  <c r="Y694" i="6"/>
  <c r="AH693" i="6"/>
  <c r="AE693" i="6"/>
  <c r="AF693" i="6" s="1"/>
  <c r="AC693" i="6"/>
  <c r="AA693" i="6"/>
  <c r="Z693" i="6" s="1"/>
  <c r="AD693" i="6" l="1"/>
  <c r="AB693" i="6"/>
  <c r="AH694" i="6"/>
  <c r="AG694" i="6"/>
  <c r="AE694" i="6"/>
  <c r="AF694" i="6" s="1"/>
  <c r="Y695" i="6"/>
  <c r="AC694" i="6"/>
  <c r="AA694" i="6"/>
  <c r="Z694" i="6" s="1"/>
  <c r="AD694" i="6" l="1"/>
  <c r="AB694" i="6"/>
  <c r="AG695" i="6"/>
  <c r="AE695" i="6"/>
  <c r="AF695" i="6" s="1"/>
  <c r="AA695" i="6"/>
  <c r="Z695" i="6" s="1"/>
  <c r="AC695" i="6"/>
  <c r="Y696" i="6"/>
  <c r="AH695" i="6"/>
  <c r="AE696" i="6" l="1"/>
  <c r="AF696" i="6" s="1"/>
  <c r="Y697" i="6"/>
  <c r="AH696" i="6"/>
  <c r="AG696" i="6"/>
  <c r="AC696" i="6"/>
  <c r="AA696" i="6"/>
  <c r="Z696" i="6" s="1"/>
  <c r="AD695" i="6"/>
  <c r="AB695" i="6"/>
  <c r="AD696" i="6" l="1"/>
  <c r="AB696" i="6"/>
  <c r="Y698" i="6"/>
  <c r="AH697" i="6"/>
  <c r="AG697" i="6"/>
  <c r="AE697" i="6"/>
  <c r="AF697" i="6" s="1"/>
  <c r="AC697" i="6"/>
  <c r="AA697" i="6"/>
  <c r="Z697" i="6" s="1"/>
  <c r="AB697" i="6" l="1"/>
  <c r="AD697" i="6"/>
  <c r="AE698" i="6"/>
  <c r="AF698" i="6" s="1"/>
  <c r="AC698" i="6"/>
  <c r="AA698" i="6"/>
  <c r="Z698" i="6" s="1"/>
  <c r="Y699" i="6"/>
  <c r="AH698" i="6"/>
  <c r="AG698" i="6"/>
  <c r="AC699" i="6" l="1"/>
  <c r="AH699" i="6"/>
  <c r="AG699" i="6"/>
  <c r="AE699" i="6"/>
  <c r="AF699" i="6" s="1"/>
  <c r="AA699" i="6"/>
  <c r="Z699" i="6" s="1"/>
  <c r="Y700" i="6"/>
  <c r="AD698" i="6"/>
  <c r="AB698" i="6"/>
  <c r="AG700" i="6" l="1"/>
  <c r="AE700" i="6"/>
  <c r="AF700" i="6" s="1"/>
  <c r="Y701" i="6"/>
  <c r="AH700" i="6"/>
  <c r="AC700" i="6"/>
  <c r="AA700" i="6"/>
  <c r="Z700" i="6" s="1"/>
  <c r="AD699" i="6"/>
  <c r="AB699" i="6"/>
  <c r="AD700" i="6" l="1"/>
  <c r="AB700" i="6"/>
  <c r="AC701" i="6"/>
  <c r="AA701" i="6"/>
  <c r="Z701" i="6" s="1"/>
  <c r="AH701" i="6"/>
  <c r="AG701" i="6"/>
  <c r="AE701" i="6"/>
  <c r="AF701" i="6" s="1"/>
  <c r="Y702" i="6"/>
  <c r="AA702" i="6" l="1"/>
  <c r="Z702" i="6" s="1"/>
  <c r="Y703" i="6"/>
  <c r="AH702" i="6"/>
  <c r="AG702" i="6"/>
  <c r="AE702" i="6"/>
  <c r="AF702" i="6" s="1"/>
  <c r="AC702" i="6"/>
  <c r="AD701" i="6"/>
  <c r="AB701" i="6"/>
  <c r="AD702" i="6" l="1"/>
  <c r="AB702" i="6"/>
  <c r="Y704" i="6"/>
  <c r="AE703" i="6"/>
  <c r="AF703" i="6" s="1"/>
  <c r="AH703" i="6"/>
  <c r="AG703" i="6"/>
  <c r="AC703" i="6"/>
  <c r="AA703" i="6"/>
  <c r="Z703" i="6" s="1"/>
  <c r="AD703" i="6" l="1"/>
  <c r="AB703" i="6"/>
  <c r="Y705" i="6"/>
  <c r="AA704" i="6"/>
  <c r="Z704" i="6" s="1"/>
  <c r="AH704" i="6"/>
  <c r="AG704" i="6"/>
  <c r="AE704" i="6"/>
  <c r="AF704" i="6" s="1"/>
  <c r="AC704" i="6"/>
  <c r="AB704" i="6" l="1"/>
  <c r="AD704" i="6"/>
  <c r="AA705" i="6"/>
  <c r="Z705" i="6" s="1"/>
  <c r="AH705" i="6"/>
  <c r="AG705" i="6"/>
  <c r="AE705" i="6"/>
  <c r="AF705" i="6" s="1"/>
  <c r="AC705" i="6"/>
  <c r="Y706" i="6"/>
  <c r="AC706" i="6" l="1"/>
  <c r="AH706" i="6"/>
  <c r="AG706" i="6"/>
  <c r="AE706" i="6"/>
  <c r="AF706" i="6" s="1"/>
  <c r="Y707" i="6"/>
  <c r="AA706" i="6"/>
  <c r="Z706" i="6" s="1"/>
  <c r="AB705" i="6"/>
  <c r="AD705" i="6"/>
  <c r="AH707" i="6" l="1"/>
  <c r="Y708" i="6"/>
  <c r="AG707" i="6"/>
  <c r="AE707" i="6"/>
  <c r="AF707" i="6" s="1"/>
  <c r="AC707" i="6"/>
  <c r="AA707" i="6"/>
  <c r="Z707" i="6" s="1"/>
  <c r="AD706" i="6"/>
  <c r="AB706" i="6"/>
  <c r="AD707" i="6" l="1"/>
  <c r="AB707" i="6"/>
  <c r="AE708" i="6"/>
  <c r="AF708" i="6" s="1"/>
  <c r="AC708" i="6"/>
  <c r="AA708" i="6"/>
  <c r="Z708" i="6" s="1"/>
  <c r="Y709" i="6"/>
  <c r="AH708" i="6"/>
  <c r="AG708" i="6"/>
  <c r="AD708" i="6" l="1"/>
  <c r="AB708" i="6"/>
  <c r="AA709" i="6"/>
  <c r="Z709" i="6" s="1"/>
  <c r="Y710" i="6"/>
  <c r="AG709" i="6"/>
  <c r="AC709" i="6"/>
  <c r="AE709" i="6"/>
  <c r="AF709" i="6" s="1"/>
  <c r="AH709" i="6"/>
  <c r="AB709" i="6" l="1"/>
  <c r="AD709" i="6"/>
  <c r="AG710" i="6"/>
  <c r="Y711" i="6"/>
  <c r="AH710" i="6"/>
  <c r="AE710" i="6"/>
  <c r="AF710" i="6" s="1"/>
  <c r="AC710" i="6"/>
  <c r="AA710" i="6"/>
  <c r="Z710" i="6" s="1"/>
  <c r="AD710" i="6" l="1"/>
  <c r="AB710" i="6"/>
  <c r="Y712" i="6"/>
  <c r="AH711" i="6"/>
  <c r="AG711" i="6"/>
  <c r="AE711" i="6"/>
  <c r="AF711" i="6" s="1"/>
  <c r="AA711" i="6"/>
  <c r="Z711" i="6" s="1"/>
  <c r="AC711" i="6"/>
  <c r="AD711" i="6" l="1"/>
  <c r="AB711" i="6"/>
  <c r="AH712" i="6"/>
  <c r="AA712" i="6"/>
  <c r="Z712" i="6" s="1"/>
  <c r="AC712" i="6"/>
  <c r="Y713" i="6"/>
  <c r="AG712" i="6"/>
  <c r="AE712" i="6"/>
  <c r="AF712" i="6" s="1"/>
  <c r="Y714" i="6" l="1"/>
  <c r="AH713" i="6"/>
  <c r="AG713" i="6"/>
  <c r="AE713" i="6"/>
  <c r="AF713" i="6" s="1"/>
  <c r="AC713" i="6"/>
  <c r="AA713" i="6"/>
  <c r="Z713" i="6" s="1"/>
  <c r="AB712" i="6"/>
  <c r="AD712" i="6"/>
  <c r="AD713" i="6" l="1"/>
  <c r="AB713" i="6"/>
  <c r="AG714" i="6"/>
  <c r="AA714" i="6"/>
  <c r="Z714" i="6" s="1"/>
  <c r="AE714" i="6"/>
  <c r="AF714" i="6" s="1"/>
  <c r="AC714" i="6"/>
  <c r="Y715" i="6"/>
  <c r="AH714" i="6"/>
  <c r="AH715" i="6" l="1"/>
  <c r="AA715" i="6"/>
  <c r="Z715" i="6" s="1"/>
  <c r="Y716" i="6"/>
  <c r="AG715" i="6"/>
  <c r="AE715" i="6"/>
  <c r="AF715" i="6" s="1"/>
  <c r="AC715" i="6"/>
  <c r="AD714" i="6"/>
  <c r="AB714" i="6"/>
  <c r="AB715" i="6" l="1"/>
  <c r="AD715" i="6"/>
  <c r="AG716" i="6"/>
  <c r="Y717" i="6"/>
  <c r="AH716" i="6"/>
  <c r="AE716" i="6"/>
  <c r="AF716" i="6" s="1"/>
  <c r="AC716" i="6"/>
  <c r="AA716" i="6"/>
  <c r="Z716" i="6" s="1"/>
  <c r="AB716" i="6" l="1"/>
  <c r="AD716" i="6"/>
  <c r="AE717" i="6"/>
  <c r="AF717" i="6" s="1"/>
  <c r="Y718" i="6"/>
  <c r="AH717" i="6"/>
  <c r="AG717" i="6"/>
  <c r="AC717" i="6"/>
  <c r="AA717" i="6"/>
  <c r="Z717" i="6" s="1"/>
  <c r="AD717" i="6" l="1"/>
  <c r="AB717" i="6"/>
  <c r="AH718" i="6"/>
  <c r="AA718" i="6"/>
  <c r="Z718" i="6" s="1"/>
  <c r="Y719" i="6"/>
  <c r="AG718" i="6"/>
  <c r="AE718" i="6"/>
  <c r="AF718" i="6" s="1"/>
  <c r="AC718" i="6"/>
  <c r="AB718" i="6" l="1"/>
  <c r="AD718" i="6"/>
  <c r="AE719" i="6"/>
  <c r="AF719" i="6" s="1"/>
  <c r="AG719" i="6"/>
  <c r="AC719" i="6"/>
  <c r="AA719" i="6"/>
  <c r="Z719" i="6" s="1"/>
  <c r="Y720" i="6"/>
  <c r="AH719" i="6"/>
  <c r="AC720" i="6" l="1"/>
  <c r="AE720" i="6"/>
  <c r="AF720" i="6" s="1"/>
  <c r="AA720" i="6"/>
  <c r="Z720" i="6" s="1"/>
  <c r="Y721" i="6"/>
  <c r="AH720" i="6"/>
  <c r="AG720" i="6"/>
  <c r="AD719" i="6"/>
  <c r="AB719" i="6"/>
  <c r="AH721" i="6" l="1"/>
  <c r="AA721" i="6"/>
  <c r="Z721" i="6" s="1"/>
  <c r="Y722" i="6"/>
  <c r="AG721" i="6"/>
  <c r="AE721" i="6"/>
  <c r="AF721" i="6" s="1"/>
  <c r="AC721" i="6"/>
  <c r="AD720" i="6"/>
  <c r="AB720" i="6"/>
  <c r="AB721" i="6" l="1"/>
  <c r="AD721" i="6"/>
  <c r="AC722" i="6"/>
  <c r="AG722" i="6"/>
  <c r="Y723" i="6"/>
  <c r="AH722" i="6"/>
  <c r="AE722" i="6"/>
  <c r="AF722" i="6" s="1"/>
  <c r="AA722" i="6"/>
  <c r="Z722" i="6" s="1"/>
  <c r="AA723" i="6" l="1"/>
  <c r="Z723" i="6" s="1"/>
  <c r="AE723" i="6"/>
  <c r="AF723" i="6" s="1"/>
  <c r="AG723" i="6"/>
  <c r="AC723" i="6"/>
  <c r="Y724" i="6"/>
  <c r="AH723" i="6"/>
  <c r="AD722" i="6"/>
  <c r="AB722" i="6"/>
  <c r="Y725" i="6" l="1"/>
  <c r="AH724" i="6"/>
  <c r="AG724" i="6"/>
  <c r="AA724" i="6"/>
  <c r="Z724" i="6" s="1"/>
  <c r="AE724" i="6"/>
  <c r="AF724" i="6" s="1"/>
  <c r="AC724" i="6"/>
  <c r="AB723" i="6"/>
  <c r="AD723" i="6"/>
  <c r="AB724" i="6" l="1"/>
  <c r="AD724" i="6"/>
  <c r="Y726" i="6"/>
  <c r="AH725" i="6"/>
  <c r="AA725" i="6"/>
  <c r="Z725" i="6" s="1"/>
  <c r="AG725" i="6"/>
  <c r="AC725" i="6"/>
  <c r="AE725" i="6"/>
  <c r="AF725" i="6" s="1"/>
  <c r="AD725" i="6" l="1"/>
  <c r="AB725" i="6"/>
  <c r="AE726" i="6"/>
  <c r="AF726" i="6" s="1"/>
  <c r="AC726" i="6"/>
  <c r="Y727" i="6"/>
  <c r="AH726" i="6"/>
  <c r="AG726" i="6"/>
  <c r="AA726" i="6"/>
  <c r="Z726" i="6" s="1"/>
  <c r="Y728" i="6" l="1"/>
  <c r="AH727" i="6"/>
  <c r="AG727" i="6"/>
  <c r="AC727" i="6"/>
  <c r="AE727" i="6"/>
  <c r="AF727" i="6" s="1"/>
  <c r="AA727" i="6"/>
  <c r="Z727" i="6" s="1"/>
  <c r="AD726" i="6"/>
  <c r="AB726" i="6"/>
  <c r="AB727" i="6" l="1"/>
  <c r="AD727" i="6"/>
  <c r="AG728" i="6"/>
  <c r="AA728" i="6"/>
  <c r="Z728" i="6" s="1"/>
  <c r="AE728" i="6"/>
  <c r="AF728" i="6" s="1"/>
  <c r="AC728" i="6"/>
  <c r="Y729" i="6"/>
  <c r="AH728" i="6"/>
  <c r="AG729" i="6" l="1"/>
  <c r="Y730" i="6"/>
  <c r="AH729" i="6"/>
  <c r="AE729" i="6"/>
  <c r="AF729" i="6" s="1"/>
  <c r="AA729" i="6"/>
  <c r="Z729" i="6" s="1"/>
  <c r="AC729" i="6"/>
  <c r="AD728" i="6"/>
  <c r="AB728" i="6"/>
  <c r="AD729" i="6" l="1"/>
  <c r="AB729" i="6"/>
  <c r="AG730" i="6"/>
  <c r="Y731" i="6"/>
  <c r="AC730" i="6"/>
  <c r="AH730" i="6"/>
  <c r="AE730" i="6"/>
  <c r="AF730" i="6" s="1"/>
  <c r="AA730" i="6"/>
  <c r="Z730" i="6" s="1"/>
  <c r="AD730" i="6" l="1"/>
  <c r="AB730" i="6"/>
  <c r="AE731" i="6"/>
  <c r="AF731" i="6" s="1"/>
  <c r="AA731" i="6"/>
  <c r="Z731" i="6" s="1"/>
  <c r="Y732" i="6"/>
  <c r="AH731" i="6"/>
  <c r="AG731" i="6"/>
  <c r="AC731" i="6"/>
  <c r="AD731" i="6" l="1"/>
  <c r="AB731" i="6"/>
  <c r="AH732" i="6"/>
  <c r="AG732" i="6"/>
  <c r="AE732" i="6"/>
  <c r="AF732" i="6" s="1"/>
  <c r="AA732" i="6"/>
  <c r="Z732" i="6" s="1"/>
  <c r="Y733" i="6"/>
  <c r="AC732" i="6"/>
  <c r="AB732" i="6" l="1"/>
  <c r="AD732" i="6"/>
  <c r="AE733" i="6"/>
  <c r="AF733" i="6" s="1"/>
  <c r="AC733" i="6"/>
  <c r="AA733" i="6"/>
  <c r="Z733" i="6" s="1"/>
  <c r="Y734" i="6"/>
  <c r="AH733" i="6"/>
  <c r="AG733" i="6"/>
  <c r="AC734" i="6" l="1"/>
  <c r="AE734" i="6"/>
  <c r="AF734" i="6" s="1"/>
  <c r="AA734" i="6"/>
  <c r="Z734" i="6" s="1"/>
  <c r="Y735" i="6"/>
  <c r="AH734" i="6"/>
  <c r="AG734" i="6"/>
  <c r="AD733" i="6"/>
  <c r="AB733" i="6"/>
  <c r="Y736" i="6" l="1"/>
  <c r="AH735" i="6"/>
  <c r="AC735" i="6"/>
  <c r="AG735" i="6"/>
  <c r="AE735" i="6"/>
  <c r="AF735" i="6" s="1"/>
  <c r="AA735" i="6"/>
  <c r="Z735" i="6" s="1"/>
  <c r="AB734" i="6"/>
  <c r="AD734" i="6"/>
  <c r="AB735" i="6" l="1"/>
  <c r="AD735" i="6"/>
  <c r="AC736" i="6"/>
  <c r="AG736" i="6"/>
  <c r="Y737" i="6"/>
  <c r="AH736" i="6"/>
  <c r="AE736" i="6"/>
  <c r="AF736" i="6" s="1"/>
  <c r="AA736" i="6"/>
  <c r="Z736" i="6" s="1"/>
  <c r="AA737" i="6" l="1"/>
  <c r="Z737" i="6" s="1"/>
  <c r="AE737" i="6"/>
  <c r="AF737" i="6" s="1"/>
  <c r="AC737" i="6"/>
  <c r="Y738" i="6"/>
  <c r="AH737" i="6"/>
  <c r="AG737" i="6"/>
  <c r="AD736" i="6"/>
  <c r="AB736" i="6"/>
  <c r="Y739" i="6" l="1"/>
  <c r="AG738" i="6"/>
  <c r="AC738" i="6"/>
  <c r="AE738" i="6"/>
  <c r="AF738" i="6" s="1"/>
  <c r="AA738" i="6"/>
  <c r="Z738" i="6" s="1"/>
  <c r="AH738" i="6"/>
  <c r="AD737" i="6"/>
  <c r="AB737" i="6"/>
  <c r="AD738" i="6" l="1"/>
  <c r="AB738" i="6"/>
  <c r="Y740" i="6"/>
  <c r="AH739" i="6"/>
  <c r="AG739" i="6"/>
  <c r="AA739" i="6"/>
  <c r="Z739" i="6" s="1"/>
  <c r="AE739" i="6"/>
  <c r="AF739" i="6" s="1"/>
  <c r="AC739" i="6"/>
  <c r="AD739" i="6" l="1"/>
  <c r="AB739" i="6"/>
  <c r="AH740" i="6"/>
  <c r="AG740" i="6"/>
  <c r="AE740" i="6"/>
  <c r="AF740" i="6" s="1"/>
  <c r="AA740" i="6"/>
  <c r="Z740" i="6" s="1"/>
  <c r="AC740" i="6"/>
  <c r="Y741" i="6"/>
  <c r="Y742" i="6" l="1"/>
  <c r="AE741" i="6"/>
  <c r="AF741" i="6" s="1"/>
  <c r="AG741" i="6"/>
  <c r="AC741" i="6"/>
  <c r="AA741" i="6"/>
  <c r="Z741" i="6" s="1"/>
  <c r="AH741" i="6"/>
  <c r="AD740" i="6"/>
  <c r="AB740" i="6"/>
  <c r="AD741" i="6" l="1"/>
  <c r="AB741" i="6"/>
  <c r="AG742" i="6"/>
  <c r="AE742" i="6"/>
  <c r="AF742" i="6" s="1"/>
  <c r="AC742" i="6"/>
  <c r="Y743" i="6"/>
  <c r="AH742" i="6"/>
  <c r="AA742" i="6"/>
  <c r="Z742" i="6" s="1"/>
  <c r="Y744" i="6" l="1"/>
  <c r="AH743" i="6"/>
  <c r="AG743" i="6"/>
  <c r="AC743" i="6"/>
  <c r="AE743" i="6"/>
  <c r="AF743" i="6" s="1"/>
  <c r="AA743" i="6"/>
  <c r="Z743" i="6" s="1"/>
  <c r="AB742" i="6"/>
  <c r="AD742" i="6"/>
  <c r="AB743" i="6" l="1"/>
  <c r="AD743" i="6"/>
  <c r="AG744" i="6"/>
  <c r="Y745" i="6"/>
  <c r="AH744" i="6"/>
  <c r="AA744" i="6"/>
  <c r="Z744" i="6" s="1"/>
  <c r="AE744" i="6"/>
  <c r="AF744" i="6" s="1"/>
  <c r="AC744" i="6"/>
  <c r="AB744" i="6" l="1"/>
  <c r="AD744" i="6"/>
  <c r="AE745" i="6"/>
  <c r="AF745" i="6" s="1"/>
  <c r="AC745" i="6"/>
  <c r="AH745" i="6"/>
  <c r="AG745" i="6"/>
  <c r="Y746" i="6"/>
  <c r="AA745" i="6"/>
  <c r="Z745" i="6" s="1"/>
  <c r="Y747" i="6" l="1"/>
  <c r="AE746" i="6"/>
  <c r="AF746" i="6" s="1"/>
  <c r="AH746" i="6"/>
  <c r="AG746" i="6"/>
  <c r="AC746" i="6"/>
  <c r="AA746" i="6"/>
  <c r="Z746" i="6" s="1"/>
  <c r="AD745" i="6"/>
  <c r="AB745" i="6"/>
  <c r="AD746" i="6" l="1"/>
  <c r="AB746" i="6"/>
  <c r="AE747" i="6"/>
  <c r="AF747" i="6" s="1"/>
  <c r="AA747" i="6"/>
  <c r="Z747" i="6" s="1"/>
  <c r="Y748" i="6"/>
  <c r="AH747" i="6"/>
  <c r="AG747" i="6"/>
  <c r="AC747" i="6"/>
  <c r="AB747" i="6" l="1"/>
  <c r="AD747" i="6"/>
  <c r="AC748" i="6"/>
  <c r="AA748" i="6"/>
  <c r="Z748" i="6" s="1"/>
  <c r="Y749" i="6"/>
  <c r="AH748" i="6"/>
  <c r="AG748" i="6"/>
  <c r="AE748" i="6"/>
  <c r="AF748" i="6" s="1"/>
  <c r="AG749" i="6" l="1"/>
  <c r="AE749" i="6"/>
  <c r="AF749" i="6" s="1"/>
  <c r="AC749" i="6"/>
  <c r="AA749" i="6"/>
  <c r="Z749" i="6" s="1"/>
  <c r="AH749" i="6"/>
  <c r="Y750" i="6"/>
  <c r="AB748" i="6"/>
  <c r="AD748" i="6"/>
  <c r="Y751" i="6" l="1"/>
  <c r="AC750" i="6"/>
  <c r="AE750" i="6"/>
  <c r="AF750" i="6" s="1"/>
  <c r="AA750" i="6"/>
  <c r="Z750" i="6" s="1"/>
  <c r="AH750" i="6"/>
  <c r="AG750" i="6"/>
  <c r="AD749" i="6"/>
  <c r="AB749" i="6"/>
  <c r="AD750" i="6" l="1"/>
  <c r="AB750" i="6"/>
  <c r="AA751" i="6"/>
  <c r="Z751" i="6" s="1"/>
  <c r="Y752" i="6"/>
  <c r="AE751" i="6"/>
  <c r="AF751" i="6" s="1"/>
  <c r="AH751" i="6"/>
  <c r="AG751" i="6"/>
  <c r="AC751" i="6"/>
  <c r="AD751" i="6" l="1"/>
  <c r="AB751" i="6"/>
  <c r="AE752" i="6"/>
  <c r="AF752" i="6" s="1"/>
  <c r="AC752" i="6"/>
  <c r="AA752" i="6"/>
  <c r="Z752" i="6" s="1"/>
  <c r="AH752" i="6"/>
  <c r="Y753" i="6"/>
  <c r="AG752" i="6"/>
  <c r="Y754" i="6" l="1"/>
  <c r="AH753" i="6"/>
  <c r="AG753" i="6"/>
  <c r="AA753" i="6"/>
  <c r="Z753" i="6" s="1"/>
  <c r="AE753" i="6"/>
  <c r="AF753" i="6" s="1"/>
  <c r="AC753" i="6"/>
  <c r="AB752" i="6"/>
  <c r="AD752" i="6"/>
  <c r="AB753" i="6" l="1"/>
  <c r="AD753" i="6"/>
  <c r="AH754" i="6"/>
  <c r="AG754" i="6"/>
  <c r="AA754" i="6"/>
  <c r="Z754" i="6" s="1"/>
  <c r="Y755" i="6"/>
  <c r="AE754" i="6"/>
  <c r="AF754" i="6" s="1"/>
  <c r="AC754" i="6"/>
  <c r="AB754" i="6" l="1"/>
  <c r="AD754" i="6"/>
  <c r="Y756" i="6"/>
  <c r="AC755" i="6"/>
  <c r="AH755" i="6"/>
  <c r="AG755" i="6"/>
  <c r="AE755" i="6"/>
  <c r="AF755" i="6" s="1"/>
  <c r="AA755" i="6"/>
  <c r="Z755" i="6" s="1"/>
  <c r="AD755" i="6" l="1"/>
  <c r="AB755" i="6"/>
  <c r="AG756" i="6"/>
  <c r="AE756" i="6"/>
  <c r="AF756" i="6" s="1"/>
  <c r="Y757" i="6"/>
  <c r="AH756" i="6"/>
  <c r="AA756" i="6"/>
  <c r="Z756" i="6" s="1"/>
  <c r="AC756" i="6"/>
  <c r="AD756" i="6" l="1"/>
  <c r="AB756" i="6"/>
  <c r="AG757" i="6"/>
  <c r="AE757" i="6"/>
  <c r="AF757" i="6" s="1"/>
  <c r="AC757" i="6"/>
  <c r="Y758" i="6"/>
  <c r="AH757" i="6"/>
  <c r="AA757" i="6"/>
  <c r="Z757" i="6" s="1"/>
  <c r="AG758" i="6" l="1"/>
  <c r="AA758" i="6"/>
  <c r="Z758" i="6" s="1"/>
  <c r="Y759" i="6"/>
  <c r="AE758" i="6"/>
  <c r="AF758" i="6" s="1"/>
  <c r="AC758" i="6"/>
  <c r="AH758" i="6"/>
  <c r="AD757" i="6"/>
  <c r="AB757" i="6"/>
  <c r="AD758" i="6" l="1"/>
  <c r="AB758" i="6"/>
  <c r="AE759" i="6"/>
  <c r="AF759" i="6" s="1"/>
  <c r="AC759" i="6"/>
  <c r="AA759" i="6"/>
  <c r="Z759" i="6" s="1"/>
  <c r="Y760" i="6"/>
  <c r="AH759" i="6"/>
  <c r="AG759" i="6"/>
  <c r="Y761" i="6" l="1"/>
  <c r="AH760" i="6"/>
  <c r="AC760" i="6"/>
  <c r="AG760" i="6"/>
  <c r="AE760" i="6"/>
  <c r="AF760" i="6" s="1"/>
  <c r="AA760" i="6"/>
  <c r="Z760" i="6" s="1"/>
  <c r="AD759" i="6"/>
  <c r="AB759" i="6"/>
  <c r="AD760" i="6" l="1"/>
  <c r="AB760" i="6"/>
  <c r="AE761" i="6"/>
  <c r="AF761" i="6" s="1"/>
  <c r="AH761" i="6"/>
  <c r="AA761" i="6"/>
  <c r="Z761" i="6" s="1"/>
  <c r="Y762" i="6"/>
  <c r="AG761" i="6"/>
  <c r="AC761" i="6"/>
  <c r="AB761" i="6" l="1"/>
  <c r="AD761" i="6"/>
  <c r="AC762" i="6"/>
  <c r="AA762" i="6"/>
  <c r="Z762" i="6" s="1"/>
  <c r="Y763" i="6"/>
  <c r="AH762" i="6"/>
  <c r="AG762" i="6"/>
  <c r="AE762" i="6"/>
  <c r="AF762" i="6" s="1"/>
  <c r="AG763" i="6" l="1"/>
  <c r="Y764" i="6"/>
  <c r="AH763" i="6"/>
  <c r="AC763" i="6"/>
  <c r="AA763" i="6"/>
  <c r="Z763" i="6" s="1"/>
  <c r="AE763" i="6"/>
  <c r="AF763" i="6" s="1"/>
  <c r="AB762" i="6"/>
  <c r="AD762" i="6"/>
  <c r="AB763" i="6" l="1"/>
  <c r="AD763" i="6"/>
  <c r="Y765" i="6"/>
  <c r="AC764" i="6"/>
  <c r="AH764" i="6"/>
  <c r="AG764" i="6"/>
  <c r="AE764" i="6"/>
  <c r="AF764" i="6" s="1"/>
  <c r="AA764" i="6"/>
  <c r="Z764" i="6" s="1"/>
  <c r="AD764" i="6" l="1"/>
  <c r="AB764" i="6"/>
  <c r="AA765" i="6"/>
  <c r="Z765" i="6" s="1"/>
  <c r="AH765" i="6"/>
  <c r="AG765" i="6"/>
  <c r="AE765" i="6"/>
  <c r="AF765" i="6" s="1"/>
  <c r="Y766" i="6"/>
  <c r="AC765" i="6"/>
  <c r="AD765" i="6" l="1"/>
  <c r="AB765" i="6"/>
  <c r="AE766" i="6"/>
  <c r="AF766" i="6" s="1"/>
  <c r="AC766" i="6"/>
  <c r="AA766" i="6"/>
  <c r="Z766" i="6" s="1"/>
  <c r="AH766" i="6"/>
  <c r="Y767" i="6"/>
  <c r="AG766" i="6"/>
  <c r="Y768" i="6" l="1"/>
  <c r="AH767" i="6"/>
  <c r="AG767" i="6"/>
  <c r="AA767" i="6"/>
  <c r="Z767" i="6" s="1"/>
  <c r="AC767" i="6"/>
  <c r="AE767" i="6"/>
  <c r="AF767" i="6" s="1"/>
  <c r="AD766" i="6"/>
  <c r="AB766" i="6"/>
  <c r="AD767" i="6" l="1"/>
  <c r="AB767" i="6"/>
  <c r="AH768" i="6"/>
  <c r="AG768" i="6"/>
  <c r="AE768" i="6"/>
  <c r="AF768" i="6" s="1"/>
  <c r="AC768" i="6"/>
  <c r="AA768" i="6"/>
  <c r="Z768" i="6" s="1"/>
  <c r="Y769" i="6"/>
  <c r="Y770" i="6" l="1"/>
  <c r="AC769" i="6"/>
  <c r="AH769" i="6"/>
  <c r="AG769" i="6"/>
  <c r="AE769" i="6"/>
  <c r="AF769" i="6" s="1"/>
  <c r="AA769" i="6"/>
  <c r="Z769" i="6" s="1"/>
  <c r="AD768" i="6"/>
  <c r="AB768" i="6"/>
  <c r="AD769" i="6" l="1"/>
  <c r="AB769" i="6"/>
  <c r="AG770" i="6"/>
  <c r="AE770" i="6"/>
  <c r="AF770" i="6" s="1"/>
  <c r="AA770" i="6"/>
  <c r="Z770" i="6" s="1"/>
  <c r="Y771" i="6"/>
  <c r="AH770" i="6"/>
  <c r="AC770" i="6"/>
  <c r="AD770" i="6" l="1"/>
  <c r="AB770" i="6"/>
  <c r="Y772" i="6"/>
  <c r="AH771" i="6"/>
  <c r="AG771" i="6"/>
  <c r="AE771" i="6"/>
  <c r="AF771" i="6" s="1"/>
  <c r="AA771" i="6"/>
  <c r="Z771" i="6" s="1"/>
  <c r="AC771" i="6"/>
  <c r="AD771" i="6" l="1"/>
  <c r="AB771" i="6"/>
  <c r="AA772" i="6"/>
  <c r="Z772" i="6" s="1"/>
  <c r="AH772" i="6"/>
  <c r="Y773" i="6"/>
  <c r="AE772" i="6"/>
  <c r="AF772" i="6" s="1"/>
  <c r="AG772" i="6"/>
  <c r="AC772" i="6"/>
  <c r="AB772" i="6" l="1"/>
  <c r="AD772" i="6"/>
  <c r="AE773" i="6"/>
  <c r="AF773" i="6" s="1"/>
  <c r="Y774" i="6"/>
  <c r="AH773" i="6"/>
  <c r="AG773" i="6"/>
  <c r="AC773" i="6"/>
  <c r="AA773" i="6"/>
  <c r="Z773" i="6" s="1"/>
  <c r="AD773" i="6" l="1"/>
  <c r="AB773" i="6"/>
  <c r="Y775" i="6"/>
  <c r="AE774" i="6"/>
  <c r="AF774" i="6" s="1"/>
  <c r="AG774" i="6"/>
  <c r="AH774" i="6"/>
  <c r="AC774" i="6"/>
  <c r="AA774" i="6"/>
  <c r="Z774" i="6" s="1"/>
  <c r="AD774" i="6" l="1"/>
  <c r="AB774" i="6"/>
  <c r="AG775" i="6"/>
  <c r="AA775" i="6"/>
  <c r="Z775" i="6" s="1"/>
  <c r="AH775" i="6"/>
  <c r="AE775" i="6"/>
  <c r="AF775" i="6" s="1"/>
  <c r="AC775" i="6"/>
  <c r="Y776" i="6"/>
  <c r="AE776" i="6" l="1"/>
  <c r="AF776" i="6" s="1"/>
  <c r="AC776" i="6"/>
  <c r="AH776" i="6"/>
  <c r="AG776" i="6"/>
  <c r="AA776" i="6"/>
  <c r="Z776" i="6" s="1"/>
  <c r="Y777" i="6"/>
  <c r="AD775" i="6"/>
  <c r="AB775" i="6"/>
  <c r="AG777" i="6" l="1"/>
  <c r="AE777" i="6"/>
  <c r="AF777" i="6" s="1"/>
  <c r="AC777" i="6"/>
  <c r="AA777" i="6"/>
  <c r="Z777" i="6" s="1"/>
  <c r="Y778" i="6"/>
  <c r="AH777" i="6"/>
  <c r="AD776" i="6"/>
  <c r="AB776" i="6"/>
  <c r="Y779" i="6" l="1"/>
  <c r="AG778" i="6"/>
  <c r="AC778" i="6"/>
  <c r="AH778" i="6"/>
  <c r="AE778" i="6"/>
  <c r="AF778" i="6" s="1"/>
  <c r="AA778" i="6"/>
  <c r="Z778" i="6" s="1"/>
  <c r="AD777" i="6"/>
  <c r="AB777" i="6"/>
  <c r="AD778" i="6" l="1"/>
  <c r="AB778" i="6"/>
  <c r="AC779" i="6"/>
  <c r="Y780" i="6"/>
  <c r="AH779" i="6"/>
  <c r="AE779" i="6"/>
  <c r="AF779" i="6" s="1"/>
  <c r="AA779" i="6"/>
  <c r="Z779" i="6" s="1"/>
  <c r="AG779" i="6"/>
  <c r="AD779" i="6" l="1"/>
  <c r="AB779" i="6"/>
  <c r="AE780" i="6"/>
  <c r="AF780" i="6" s="1"/>
  <c r="Y781" i="6"/>
  <c r="AC780" i="6"/>
  <c r="AH780" i="6"/>
  <c r="AG780" i="6"/>
  <c r="AA780" i="6"/>
  <c r="Z780" i="6" s="1"/>
  <c r="AD780" i="6" l="1"/>
  <c r="AB780" i="6"/>
  <c r="AE781" i="6"/>
  <c r="AF781" i="6" s="1"/>
  <c r="AA781" i="6"/>
  <c r="Z781" i="6" s="1"/>
  <c r="Y782" i="6"/>
  <c r="AC781" i="6"/>
  <c r="AH781" i="6"/>
  <c r="AG781" i="6"/>
  <c r="AB781" i="6" l="1"/>
  <c r="AD781" i="6"/>
  <c r="AC782" i="6"/>
  <c r="AA782" i="6"/>
  <c r="Z782" i="6" s="1"/>
  <c r="Y783" i="6"/>
  <c r="AH782" i="6"/>
  <c r="AG782" i="6"/>
  <c r="AE782" i="6"/>
  <c r="AF782" i="6" s="1"/>
  <c r="AC783" i="6" l="1"/>
  <c r="AH783" i="6"/>
  <c r="AG783" i="6"/>
  <c r="AE783" i="6"/>
  <c r="AF783" i="6" s="1"/>
  <c r="AA783" i="6"/>
  <c r="Z783" i="6" s="1"/>
  <c r="Y784" i="6"/>
  <c r="AB782" i="6"/>
  <c r="AD782" i="6"/>
  <c r="AH784" i="6" l="1"/>
  <c r="AG784" i="6"/>
  <c r="AE784" i="6"/>
  <c r="AF784" i="6" s="1"/>
  <c r="AC784" i="6"/>
  <c r="AA784" i="6"/>
  <c r="Z784" i="6" s="1"/>
  <c r="Y785" i="6"/>
  <c r="AB783" i="6"/>
  <c r="AD783" i="6"/>
  <c r="AA785" i="6" l="1"/>
  <c r="Z785" i="6" s="1"/>
  <c r="AH785" i="6"/>
  <c r="AG785" i="6"/>
  <c r="Y786" i="6"/>
  <c r="AE785" i="6"/>
  <c r="AF785" i="6" s="1"/>
  <c r="AC785" i="6"/>
  <c r="AD784" i="6"/>
  <c r="AB784" i="6"/>
  <c r="AB785" i="6" l="1"/>
  <c r="AD785" i="6"/>
  <c r="AA786" i="6"/>
  <c r="Z786" i="6" s="1"/>
  <c r="AG786" i="6"/>
  <c r="Y787" i="6"/>
  <c r="AH786" i="6"/>
  <c r="AE786" i="6"/>
  <c r="AF786" i="6" s="1"/>
  <c r="AC786" i="6"/>
  <c r="AB786" i="6" l="1"/>
  <c r="AD786" i="6"/>
  <c r="Y788" i="6"/>
  <c r="AC787" i="6"/>
  <c r="AH787" i="6"/>
  <c r="AG787" i="6"/>
  <c r="AA787" i="6"/>
  <c r="Z787" i="6" s="1"/>
  <c r="AE787" i="6"/>
  <c r="AF787" i="6" s="1"/>
  <c r="AD787" i="6" l="1"/>
  <c r="AB787" i="6"/>
  <c r="Y789" i="6"/>
  <c r="AA788" i="6"/>
  <c r="Z788" i="6" s="1"/>
  <c r="AE788" i="6"/>
  <c r="AF788" i="6" s="1"/>
  <c r="AC788" i="6"/>
  <c r="AH788" i="6"/>
  <c r="AG788" i="6"/>
  <c r="AD788" i="6" l="1"/>
  <c r="AB788" i="6"/>
  <c r="AA789" i="6"/>
  <c r="Z789" i="6" s="1"/>
  <c r="AH789" i="6"/>
  <c r="AE789" i="6"/>
  <c r="AF789" i="6" s="1"/>
  <c r="Y790" i="6"/>
  <c r="AG789" i="6"/>
  <c r="AC789" i="6"/>
  <c r="AD789" i="6" l="1"/>
  <c r="AB789" i="6"/>
  <c r="Y791" i="6"/>
  <c r="AH790" i="6"/>
  <c r="AG790" i="6"/>
  <c r="AE790" i="6"/>
  <c r="AF790" i="6" s="1"/>
  <c r="AC790" i="6"/>
  <c r="AA790" i="6"/>
  <c r="Z790" i="6" s="1"/>
  <c r="AB790" i="6" l="1"/>
  <c r="AD790" i="6"/>
  <c r="AG791" i="6"/>
  <c r="Y792" i="6"/>
  <c r="AH791" i="6"/>
  <c r="AE791" i="6"/>
  <c r="AF791" i="6" s="1"/>
  <c r="AC791" i="6"/>
  <c r="AA791" i="6"/>
  <c r="Z791" i="6" s="1"/>
  <c r="AD791" i="6" l="1"/>
  <c r="AB791" i="6"/>
  <c r="AE792" i="6"/>
  <c r="AF792" i="6" s="1"/>
  <c r="AC792" i="6"/>
  <c r="AA792" i="6"/>
  <c r="Z792" i="6" s="1"/>
  <c r="AH792" i="6"/>
  <c r="AG792" i="6"/>
  <c r="Y793" i="6"/>
  <c r="Y794" i="6" l="1"/>
  <c r="AH793" i="6"/>
  <c r="AG793" i="6"/>
  <c r="AA793" i="6"/>
  <c r="Z793" i="6" s="1"/>
  <c r="AE793" i="6"/>
  <c r="AF793" i="6" s="1"/>
  <c r="AC793" i="6"/>
  <c r="AB792" i="6"/>
  <c r="AD792" i="6"/>
  <c r="AD793" i="6" l="1"/>
  <c r="AB793" i="6"/>
  <c r="AE794" i="6"/>
  <c r="AF794" i="6" s="1"/>
  <c r="Y795" i="6"/>
  <c r="AH794" i="6"/>
  <c r="AG794" i="6"/>
  <c r="AC794" i="6"/>
  <c r="AA794" i="6"/>
  <c r="Z794" i="6" s="1"/>
  <c r="AD794" i="6" l="1"/>
  <c r="AB794" i="6"/>
  <c r="Y796" i="6"/>
  <c r="AH795" i="6"/>
  <c r="AG795" i="6"/>
  <c r="AE795" i="6"/>
  <c r="AF795" i="6" s="1"/>
  <c r="AC795" i="6"/>
  <c r="AA795" i="6"/>
  <c r="Z795" i="6" s="1"/>
  <c r="AD795" i="6" l="1"/>
  <c r="AB795" i="6"/>
  <c r="AH796" i="6"/>
  <c r="AG796" i="6"/>
  <c r="Y797" i="6"/>
  <c r="AE796" i="6"/>
  <c r="AF796" i="6" s="1"/>
  <c r="AC796" i="6"/>
  <c r="AA796" i="6"/>
  <c r="Z796" i="6" s="1"/>
  <c r="AD796" i="6" l="1"/>
  <c r="AB796" i="6"/>
  <c r="AC797" i="6"/>
  <c r="AH797" i="6"/>
  <c r="Y798" i="6"/>
  <c r="AG797" i="6"/>
  <c r="AE797" i="6"/>
  <c r="AF797" i="6" s="1"/>
  <c r="AA797" i="6"/>
  <c r="Z797" i="6" s="1"/>
  <c r="Y799" i="6" l="1"/>
  <c r="AC798" i="6"/>
  <c r="AH798" i="6"/>
  <c r="AG798" i="6"/>
  <c r="AE798" i="6"/>
  <c r="AF798" i="6" s="1"/>
  <c r="AA798" i="6"/>
  <c r="Z798" i="6" s="1"/>
  <c r="AB797" i="6"/>
  <c r="AD797" i="6"/>
  <c r="AD798" i="6" l="1"/>
  <c r="AB798" i="6"/>
  <c r="AG799" i="6"/>
  <c r="AE799" i="6"/>
  <c r="AF799" i="6" s="1"/>
  <c r="AH799" i="6"/>
  <c r="AC799" i="6"/>
  <c r="AA799" i="6"/>
  <c r="Z799" i="6" s="1"/>
  <c r="Y800" i="6"/>
  <c r="AA800" i="6" l="1"/>
  <c r="Z800" i="6" s="1"/>
  <c r="AG800" i="6"/>
  <c r="Y801" i="6"/>
  <c r="AE800" i="6"/>
  <c r="AF800" i="6" s="1"/>
  <c r="AH800" i="6"/>
  <c r="AC800" i="6"/>
  <c r="AD799" i="6"/>
  <c r="AB799" i="6"/>
  <c r="AD800" i="6" l="1"/>
  <c r="AB800" i="6"/>
  <c r="AH801" i="6"/>
  <c r="Y802" i="6"/>
  <c r="AG801" i="6"/>
  <c r="AE801" i="6"/>
  <c r="AF801" i="6" s="1"/>
  <c r="AC801" i="6"/>
  <c r="AA801" i="6"/>
  <c r="Z801" i="6" s="1"/>
  <c r="AB801" i="6" l="1"/>
  <c r="AD801" i="6"/>
  <c r="Y803" i="6"/>
  <c r="AE802" i="6"/>
  <c r="AF802" i="6" s="1"/>
  <c r="AH802" i="6"/>
  <c r="AG802" i="6"/>
  <c r="AC802" i="6"/>
  <c r="AA802" i="6"/>
  <c r="Z802" i="6" s="1"/>
  <c r="AD802" i="6" l="1"/>
  <c r="AB802" i="6"/>
  <c r="AC803" i="6"/>
  <c r="AA803" i="6"/>
  <c r="Z803" i="6" s="1"/>
  <c r="Y804" i="6"/>
  <c r="AH803" i="6"/>
  <c r="AG803" i="6"/>
  <c r="AE803" i="6"/>
  <c r="AF803" i="6" s="1"/>
  <c r="AG804" i="6" l="1"/>
  <c r="AA804" i="6"/>
  <c r="Z804" i="6" s="1"/>
  <c r="Y805" i="6"/>
  <c r="AH804" i="6"/>
  <c r="AE804" i="6"/>
  <c r="AF804" i="6" s="1"/>
  <c r="AC804" i="6"/>
  <c r="AD803" i="6"/>
  <c r="AB803" i="6"/>
  <c r="AB804" i="6" l="1"/>
  <c r="AD804" i="6"/>
  <c r="AG805" i="6"/>
  <c r="AE805" i="6"/>
  <c r="AF805" i="6" s="1"/>
  <c r="AC805" i="6"/>
  <c r="Y806" i="6"/>
  <c r="AH805" i="6"/>
  <c r="AA805" i="6"/>
  <c r="Z805" i="6" s="1"/>
  <c r="AE806" i="6" l="1"/>
  <c r="AF806" i="6" s="1"/>
  <c r="Y807" i="6"/>
  <c r="AH806" i="6"/>
  <c r="AG806" i="6"/>
  <c r="AC806" i="6"/>
  <c r="AA806" i="6"/>
  <c r="Z806" i="6" s="1"/>
  <c r="AD805" i="6"/>
  <c r="AB805" i="6"/>
  <c r="AD806" i="6" l="1"/>
  <c r="AB806" i="6"/>
  <c r="AA807" i="6"/>
  <c r="Z807" i="6" s="1"/>
  <c r="Y808" i="6"/>
  <c r="AH807" i="6"/>
  <c r="AE807" i="6"/>
  <c r="AF807" i="6" s="1"/>
  <c r="AC807" i="6"/>
  <c r="AG807" i="6"/>
  <c r="AD807" i="6" l="1"/>
  <c r="AB807" i="6"/>
  <c r="AE808" i="6"/>
  <c r="AF808" i="6" s="1"/>
  <c r="AC808" i="6"/>
  <c r="Y809" i="6"/>
  <c r="AH808" i="6"/>
  <c r="AG808" i="6"/>
  <c r="AA808" i="6"/>
  <c r="Z808" i="6" s="1"/>
  <c r="Y810" i="6" l="1"/>
  <c r="AH809" i="6"/>
  <c r="AG809" i="6"/>
  <c r="AE809" i="6"/>
  <c r="AF809" i="6" s="1"/>
  <c r="AC809" i="6"/>
  <c r="AA809" i="6"/>
  <c r="Z809" i="6" s="1"/>
  <c r="AD808" i="6"/>
  <c r="AB808" i="6"/>
  <c r="AD809" i="6" l="1"/>
  <c r="AB809" i="6"/>
  <c r="AE810" i="6"/>
  <c r="AF810" i="6" s="1"/>
  <c r="AG810" i="6"/>
  <c r="AC810" i="6"/>
  <c r="AA810" i="6"/>
  <c r="Z810" i="6" s="1"/>
  <c r="Y811" i="6"/>
  <c r="AH810" i="6"/>
  <c r="AC811" i="6" l="1"/>
  <c r="AA811" i="6"/>
  <c r="Z811" i="6" s="1"/>
  <c r="AH811" i="6"/>
  <c r="AG811" i="6"/>
  <c r="Y812" i="6"/>
  <c r="AE811" i="6"/>
  <c r="AF811" i="6" s="1"/>
  <c r="AD810" i="6"/>
  <c r="AB810" i="6"/>
  <c r="AH812" i="6" l="1"/>
  <c r="AC812" i="6"/>
  <c r="Y813" i="6"/>
  <c r="AG812" i="6"/>
  <c r="AE812" i="6"/>
  <c r="AF812" i="6" s="1"/>
  <c r="AA812" i="6"/>
  <c r="Z812" i="6" s="1"/>
  <c r="AD811" i="6"/>
  <c r="AB811" i="6"/>
  <c r="Y814" i="6" l="1"/>
  <c r="AH813" i="6"/>
  <c r="AG813" i="6"/>
  <c r="AE813" i="6"/>
  <c r="AF813" i="6" s="1"/>
  <c r="AC813" i="6"/>
  <c r="AA813" i="6"/>
  <c r="Z813" i="6" s="1"/>
  <c r="AD812" i="6"/>
  <c r="AB812" i="6"/>
  <c r="AD813" i="6" l="1"/>
  <c r="AB813" i="6"/>
  <c r="AA814" i="6"/>
  <c r="Z814" i="6" s="1"/>
  <c r="AC814" i="6"/>
  <c r="AE814" i="6"/>
  <c r="AF814" i="6" s="1"/>
  <c r="Y815" i="6"/>
  <c r="AH814" i="6"/>
  <c r="AG814" i="6"/>
  <c r="AG815" i="6" l="1"/>
  <c r="Y816" i="6"/>
  <c r="AC815" i="6"/>
  <c r="AH815" i="6"/>
  <c r="AA815" i="6"/>
  <c r="Z815" i="6" s="1"/>
  <c r="AE815" i="6"/>
  <c r="AF815" i="6" s="1"/>
  <c r="AB814" i="6"/>
  <c r="AD814" i="6"/>
  <c r="AB815" i="6" l="1"/>
  <c r="AD815" i="6"/>
  <c r="Y817" i="6"/>
  <c r="AC816" i="6"/>
  <c r="AH816" i="6"/>
  <c r="AG816" i="6"/>
  <c r="AE816" i="6"/>
  <c r="AF816" i="6" s="1"/>
  <c r="AA816" i="6"/>
  <c r="Z816" i="6" s="1"/>
  <c r="AD816" i="6" l="1"/>
  <c r="AB816" i="6"/>
  <c r="AA817" i="6"/>
  <c r="Z817" i="6" s="1"/>
  <c r="Y818" i="6"/>
  <c r="AH817" i="6"/>
  <c r="AG817" i="6"/>
  <c r="AE817" i="6"/>
  <c r="AF817" i="6" s="1"/>
  <c r="AC817" i="6"/>
  <c r="AB817" i="6" l="1"/>
  <c r="AD817" i="6"/>
  <c r="AA818" i="6"/>
  <c r="Z818" i="6" s="1"/>
  <c r="Y819" i="6"/>
  <c r="AH818" i="6"/>
  <c r="AG818" i="6"/>
  <c r="AE818" i="6"/>
  <c r="AF818" i="6" s="1"/>
  <c r="AC818" i="6"/>
  <c r="AB818" i="6" l="1"/>
  <c r="AD818" i="6"/>
  <c r="AG819" i="6"/>
  <c r="Y820" i="6"/>
  <c r="AH819" i="6"/>
  <c r="AE819" i="6"/>
  <c r="AF819" i="6" s="1"/>
  <c r="AC819" i="6"/>
  <c r="AA819" i="6"/>
  <c r="Z819" i="6" s="1"/>
  <c r="AB819" i="6" l="1"/>
  <c r="AD819" i="6"/>
  <c r="AE820" i="6"/>
  <c r="AF820" i="6" s="1"/>
  <c r="AA820" i="6"/>
  <c r="Z820" i="6" s="1"/>
  <c r="Y821" i="6"/>
  <c r="AH820" i="6"/>
  <c r="AG820" i="6"/>
  <c r="AC820" i="6"/>
  <c r="AD820" i="6" l="1"/>
  <c r="AB820" i="6"/>
  <c r="AE821" i="6"/>
  <c r="AF821" i="6" s="1"/>
  <c r="Y822" i="6"/>
  <c r="AH821" i="6"/>
  <c r="AG821" i="6"/>
  <c r="AC821" i="6"/>
  <c r="AA821" i="6"/>
  <c r="Z821" i="6" s="1"/>
  <c r="AD821" i="6" l="1"/>
  <c r="AB821" i="6"/>
  <c r="AE822" i="6"/>
  <c r="AF822" i="6" s="1"/>
  <c r="Y823" i="6"/>
  <c r="AH822" i="6"/>
  <c r="AA822" i="6"/>
  <c r="Z822" i="6" s="1"/>
  <c r="AG822" i="6"/>
  <c r="AC822" i="6"/>
  <c r="AD822" i="6" l="1"/>
  <c r="AB822" i="6"/>
  <c r="Y824" i="6"/>
  <c r="AH823" i="6"/>
  <c r="AG823" i="6"/>
  <c r="AC823" i="6"/>
  <c r="AA823" i="6"/>
  <c r="Z823" i="6" s="1"/>
  <c r="AE823" i="6"/>
  <c r="AF823" i="6" s="1"/>
  <c r="AD823" i="6" l="1"/>
  <c r="AB823" i="6"/>
  <c r="AE824" i="6"/>
  <c r="AF824" i="6" s="1"/>
  <c r="Y825" i="6"/>
  <c r="AH824" i="6"/>
  <c r="AG824" i="6"/>
  <c r="AC824" i="6"/>
  <c r="AA824" i="6"/>
  <c r="Z824" i="6" s="1"/>
  <c r="AD824" i="6" l="1"/>
  <c r="AB824" i="6"/>
  <c r="AC825" i="6"/>
  <c r="Y826" i="6"/>
  <c r="AH825" i="6"/>
  <c r="AA825" i="6"/>
  <c r="Z825" i="6" s="1"/>
  <c r="AG825" i="6"/>
  <c r="AE825" i="6"/>
  <c r="AF825" i="6" s="1"/>
  <c r="AD825" i="6" l="1"/>
  <c r="AB825" i="6"/>
  <c r="Y827" i="6"/>
  <c r="AA826" i="6"/>
  <c r="Z826" i="6" s="1"/>
  <c r="AH826" i="6"/>
  <c r="AG826" i="6"/>
  <c r="AE826" i="6"/>
  <c r="AF826" i="6" s="1"/>
  <c r="AC826" i="6"/>
  <c r="AD826" i="6" l="1"/>
  <c r="AB826" i="6"/>
  <c r="AC827" i="6"/>
  <c r="AE827" i="6"/>
  <c r="AF827" i="6" s="1"/>
  <c r="Y828" i="6"/>
  <c r="AH827" i="6"/>
  <c r="AG827" i="6"/>
  <c r="AA827" i="6"/>
  <c r="Z827" i="6" s="1"/>
  <c r="AA828" i="6" l="1"/>
  <c r="Z828" i="6" s="1"/>
  <c r="Y829" i="6"/>
  <c r="AH828" i="6"/>
  <c r="AG828" i="6"/>
  <c r="AE828" i="6"/>
  <c r="AF828" i="6" s="1"/>
  <c r="AC828" i="6"/>
  <c r="AB827" i="6"/>
  <c r="AD827" i="6"/>
  <c r="AB828" i="6" l="1"/>
  <c r="AD828" i="6"/>
  <c r="Y830" i="6"/>
  <c r="AH829" i="6"/>
  <c r="AG829" i="6"/>
  <c r="AE829" i="6"/>
  <c r="AF829" i="6" s="1"/>
  <c r="AC829" i="6"/>
  <c r="AA829" i="6"/>
  <c r="Z829" i="6" s="1"/>
  <c r="AD829" i="6" l="1"/>
  <c r="AB829" i="6"/>
  <c r="Y831" i="6"/>
  <c r="AA830" i="6"/>
  <c r="Z830" i="6" s="1"/>
  <c r="AE830" i="6"/>
  <c r="AF830" i="6" s="1"/>
  <c r="AH830" i="6"/>
  <c r="AG830" i="6"/>
  <c r="AC830" i="6"/>
  <c r="AD830" i="6" l="1"/>
  <c r="AB830" i="6"/>
  <c r="Y832" i="6"/>
  <c r="AH831" i="6"/>
  <c r="AG831" i="6"/>
  <c r="AE831" i="6"/>
  <c r="AF831" i="6" s="1"/>
  <c r="AC831" i="6"/>
  <c r="AA831" i="6"/>
  <c r="Z831" i="6" s="1"/>
  <c r="AB831" i="6" l="1"/>
  <c r="AD831" i="6"/>
  <c r="Y833" i="6"/>
  <c r="AH832" i="6"/>
  <c r="AG832" i="6"/>
  <c r="AE832" i="6"/>
  <c r="AF832" i="6" s="1"/>
  <c r="AC832" i="6"/>
  <c r="AA832" i="6"/>
  <c r="Z832" i="6" s="1"/>
  <c r="AD832" i="6" l="1"/>
  <c r="AB832" i="6"/>
  <c r="AG833" i="6"/>
  <c r="AE833" i="6"/>
  <c r="AF833" i="6" s="1"/>
  <c r="Y834" i="6"/>
  <c r="AH833" i="6"/>
  <c r="AC833" i="6"/>
  <c r="AA833" i="6"/>
  <c r="Z833" i="6" s="1"/>
  <c r="AD833" i="6" l="1"/>
  <c r="AB833" i="6"/>
  <c r="Y835" i="6"/>
  <c r="AH834" i="6"/>
  <c r="AG834" i="6"/>
  <c r="AE834" i="6"/>
  <c r="AF834" i="6" s="1"/>
  <c r="AC834" i="6"/>
  <c r="AA834" i="6"/>
  <c r="Z834" i="6" s="1"/>
  <c r="AB834" i="6" l="1"/>
  <c r="AD834" i="6"/>
  <c r="AG835" i="6"/>
  <c r="Y836" i="6"/>
  <c r="AH835" i="6"/>
  <c r="AC835" i="6"/>
  <c r="AA835" i="6"/>
  <c r="Z835" i="6" s="1"/>
  <c r="AE835" i="6"/>
  <c r="AF835" i="6" s="1"/>
  <c r="AD835" i="6" l="1"/>
  <c r="AB835" i="6"/>
  <c r="AE836" i="6"/>
  <c r="AF836" i="6" s="1"/>
  <c r="Y837" i="6"/>
  <c r="AH836" i="6"/>
  <c r="AG836" i="6"/>
  <c r="AC836" i="6"/>
  <c r="AA836" i="6"/>
  <c r="Z836" i="6" s="1"/>
  <c r="Y838" i="6" l="1"/>
  <c r="AH837" i="6"/>
  <c r="AG837" i="6"/>
  <c r="AE837" i="6"/>
  <c r="AF837" i="6" s="1"/>
  <c r="AC837" i="6"/>
  <c r="AA837" i="6"/>
  <c r="Z837" i="6" s="1"/>
  <c r="AD836" i="6"/>
  <c r="AB836" i="6"/>
  <c r="AB837" i="6" l="1"/>
  <c r="AD837" i="6"/>
  <c r="AE838" i="6"/>
  <c r="AF838" i="6" s="1"/>
  <c r="AA838" i="6"/>
  <c r="Z838" i="6" s="1"/>
  <c r="Y839" i="6"/>
  <c r="AH838" i="6"/>
  <c r="AG838" i="6"/>
  <c r="AC838" i="6"/>
  <c r="AD838" i="6" l="1"/>
  <c r="AB838" i="6"/>
  <c r="AC839" i="6"/>
  <c r="Y840" i="6"/>
  <c r="AH839" i="6"/>
  <c r="AG839" i="6"/>
  <c r="AA839" i="6"/>
  <c r="Z839" i="6" s="1"/>
  <c r="AE839" i="6"/>
  <c r="AF839" i="6" s="1"/>
  <c r="Y841" i="6" l="1"/>
  <c r="AH840" i="6"/>
  <c r="AG840" i="6"/>
  <c r="AE840" i="6"/>
  <c r="AF840" i="6" s="1"/>
  <c r="AC840" i="6"/>
  <c r="AA840" i="6"/>
  <c r="Z840" i="6" s="1"/>
  <c r="AD839" i="6"/>
  <c r="AB839" i="6"/>
  <c r="AB840" i="6" l="1"/>
  <c r="AD840" i="6"/>
  <c r="AC841" i="6"/>
  <c r="AE841" i="6"/>
  <c r="AF841" i="6" s="1"/>
  <c r="AA841" i="6"/>
  <c r="Z841" i="6" s="1"/>
  <c r="Y842" i="6"/>
  <c r="AH841" i="6"/>
  <c r="AG841" i="6"/>
  <c r="AA842" i="6" l="1"/>
  <c r="Z842" i="6" s="1"/>
  <c r="AC842" i="6"/>
  <c r="Y843" i="6"/>
  <c r="AH842" i="6"/>
  <c r="AG842" i="6"/>
  <c r="AE842" i="6"/>
  <c r="AF842" i="6" s="1"/>
  <c r="AD841" i="6"/>
  <c r="AB841" i="6"/>
  <c r="Y844" i="6" l="1"/>
  <c r="AH843" i="6"/>
  <c r="AG843" i="6"/>
  <c r="AC843" i="6"/>
  <c r="AA843" i="6"/>
  <c r="Z843" i="6" s="1"/>
  <c r="AE843" i="6"/>
  <c r="AF843" i="6" s="1"/>
  <c r="AB842" i="6"/>
  <c r="AD842" i="6"/>
  <c r="AB843" i="6" l="1"/>
  <c r="AD843" i="6"/>
  <c r="Y845" i="6"/>
  <c r="AA844" i="6"/>
  <c r="Z844" i="6" s="1"/>
  <c r="AE844" i="6"/>
  <c r="AF844" i="6" s="1"/>
  <c r="AH844" i="6"/>
  <c r="AG844" i="6"/>
  <c r="AC844" i="6"/>
  <c r="AB844" i="6" l="1"/>
  <c r="AD844" i="6"/>
  <c r="AA845" i="6"/>
  <c r="Z845" i="6" s="1"/>
  <c r="Y846" i="6"/>
  <c r="AH845" i="6"/>
  <c r="AG845" i="6"/>
  <c r="AE845" i="6"/>
  <c r="AF845" i="6" s="1"/>
  <c r="AC845" i="6"/>
  <c r="AD845" i="6" l="1"/>
  <c r="AB845" i="6"/>
  <c r="Y847" i="6"/>
  <c r="AH846" i="6"/>
  <c r="AC846" i="6"/>
  <c r="AA846" i="6"/>
  <c r="Z846" i="6" s="1"/>
  <c r="AG846" i="6"/>
  <c r="AE846" i="6"/>
  <c r="AF846" i="6" s="1"/>
  <c r="AB846" i="6" l="1"/>
  <c r="AD846" i="6"/>
  <c r="AG847" i="6"/>
  <c r="AE847" i="6"/>
  <c r="AF847" i="6" s="1"/>
  <c r="AA847" i="6"/>
  <c r="Z847" i="6" s="1"/>
  <c r="Y848" i="6"/>
  <c r="AH847" i="6"/>
  <c r="AC847" i="6"/>
  <c r="AB847" i="6" l="1"/>
  <c r="AD847" i="6"/>
  <c r="AA848" i="6"/>
  <c r="Z848" i="6" s="1"/>
  <c r="Y849" i="6"/>
  <c r="AH848" i="6"/>
  <c r="AG848" i="6"/>
  <c r="AE848" i="6"/>
  <c r="AF848" i="6" s="1"/>
  <c r="AC848" i="6"/>
  <c r="AD848" i="6" l="1"/>
  <c r="AB848" i="6"/>
  <c r="AG849" i="6"/>
  <c r="Y850" i="6"/>
  <c r="AH849" i="6"/>
  <c r="AE849" i="6"/>
  <c r="AF849" i="6" s="1"/>
  <c r="AC849" i="6"/>
  <c r="AA849" i="6"/>
  <c r="Z849" i="6" s="1"/>
  <c r="AB849" i="6" l="1"/>
  <c r="AD849" i="6"/>
  <c r="AE850" i="6"/>
  <c r="AF850" i="6" s="1"/>
  <c r="AA850" i="6"/>
  <c r="Z850" i="6" s="1"/>
  <c r="AH850" i="6"/>
  <c r="AG850" i="6"/>
  <c r="AC850" i="6"/>
  <c r="Y851" i="6"/>
  <c r="AA851" i="6" l="1"/>
  <c r="Z851" i="6" s="1"/>
  <c r="Y852" i="6"/>
  <c r="AH851" i="6"/>
  <c r="AG851" i="6"/>
  <c r="AE851" i="6"/>
  <c r="AF851" i="6" s="1"/>
  <c r="AC851" i="6"/>
  <c r="AB850" i="6"/>
  <c r="AD850" i="6"/>
  <c r="AD851" i="6" l="1"/>
  <c r="AB851" i="6"/>
  <c r="AE852" i="6"/>
  <c r="AF852" i="6" s="1"/>
  <c r="Y853" i="6"/>
  <c r="AH852" i="6"/>
  <c r="AG852" i="6"/>
  <c r="AC852" i="6"/>
  <c r="AA852" i="6"/>
  <c r="Z852" i="6" s="1"/>
  <c r="AB852" i="6" l="1"/>
  <c r="AD852" i="6"/>
  <c r="AC853" i="6"/>
  <c r="AA853" i="6"/>
  <c r="Z853" i="6" s="1"/>
  <c r="Y854" i="6"/>
  <c r="AH853" i="6"/>
  <c r="AG853" i="6"/>
  <c r="AE853" i="6"/>
  <c r="AF853" i="6" s="1"/>
  <c r="AB853" i="6" l="1"/>
  <c r="AD853" i="6"/>
  <c r="AA854" i="6"/>
  <c r="Z854" i="6" s="1"/>
  <c r="AH854" i="6"/>
  <c r="AG854" i="6"/>
  <c r="AE854" i="6"/>
  <c r="AF854" i="6" s="1"/>
  <c r="AC854" i="6"/>
  <c r="Y855" i="6"/>
  <c r="AE855" i="6" l="1"/>
  <c r="AF855" i="6" s="1"/>
  <c r="AC855" i="6"/>
  <c r="Y856" i="6"/>
  <c r="AH855" i="6"/>
  <c r="AG855" i="6"/>
  <c r="AA855" i="6"/>
  <c r="Z855" i="6" s="1"/>
  <c r="AD854" i="6"/>
  <c r="AB854" i="6"/>
  <c r="AA856" i="6" l="1"/>
  <c r="Z856" i="6" s="1"/>
  <c r="AH856" i="6"/>
  <c r="AG856" i="6"/>
  <c r="AE856" i="6"/>
  <c r="AF856" i="6" s="1"/>
  <c r="AC856" i="6"/>
  <c r="Y857" i="6"/>
  <c r="AB855" i="6"/>
  <c r="AD855" i="6"/>
  <c r="AG857" i="6" l="1"/>
  <c r="Y858" i="6"/>
  <c r="AH857" i="6"/>
  <c r="AE857" i="6"/>
  <c r="AF857" i="6" s="1"/>
  <c r="AC857" i="6"/>
  <c r="AA857" i="6"/>
  <c r="Z857" i="6" s="1"/>
  <c r="AD856" i="6"/>
  <c r="AB856" i="6"/>
  <c r="AB857" i="6" l="1"/>
  <c r="AD857" i="6"/>
  <c r="Y859" i="6"/>
  <c r="AC858" i="6"/>
  <c r="AA858" i="6"/>
  <c r="Z858" i="6" s="1"/>
  <c r="AE858" i="6"/>
  <c r="AF858" i="6" s="1"/>
  <c r="AH858" i="6"/>
  <c r="AG858" i="6"/>
  <c r="AD858" i="6" l="1"/>
  <c r="AB858" i="6"/>
  <c r="Y860" i="6"/>
  <c r="AH859" i="6"/>
  <c r="AE859" i="6"/>
  <c r="AF859" i="6" s="1"/>
  <c r="AC859" i="6"/>
  <c r="AG859" i="6"/>
  <c r="AA859" i="6"/>
  <c r="Z859" i="6" s="1"/>
  <c r="AD859" i="6" l="1"/>
  <c r="AB859" i="6"/>
  <c r="Y861" i="6"/>
  <c r="AH860" i="6"/>
  <c r="AC860" i="6"/>
  <c r="AG860" i="6"/>
  <c r="AE860" i="6"/>
  <c r="AF860" i="6" s="1"/>
  <c r="AA860" i="6"/>
  <c r="Z860" i="6" s="1"/>
  <c r="AD860" i="6" l="1"/>
  <c r="AB860" i="6"/>
  <c r="AG861" i="6"/>
  <c r="AA861" i="6"/>
  <c r="Z861" i="6" s="1"/>
  <c r="Y862" i="6"/>
  <c r="AH861" i="6"/>
  <c r="AE861" i="6"/>
  <c r="AF861" i="6" s="1"/>
  <c r="AC861" i="6"/>
  <c r="AB861" i="6" l="1"/>
  <c r="AD861" i="6"/>
  <c r="Y863" i="6"/>
  <c r="AG862" i="6"/>
  <c r="AE862" i="6"/>
  <c r="AF862" i="6" s="1"/>
  <c r="AC862" i="6"/>
  <c r="AH862" i="6"/>
  <c r="AA862" i="6"/>
  <c r="Z862" i="6" s="1"/>
  <c r="AD862" i="6" l="1"/>
  <c r="AB862" i="6"/>
  <c r="Y864" i="6"/>
  <c r="AG863" i="6"/>
  <c r="AH863" i="6"/>
  <c r="AE863" i="6"/>
  <c r="AF863" i="6" s="1"/>
  <c r="AC863" i="6"/>
  <c r="AA863" i="6"/>
  <c r="Z863" i="6" s="1"/>
  <c r="AD863" i="6" l="1"/>
  <c r="AB863" i="6"/>
  <c r="AE864" i="6"/>
  <c r="AF864" i="6" s="1"/>
  <c r="AH864" i="6"/>
  <c r="AA864" i="6"/>
  <c r="Z864" i="6" s="1"/>
  <c r="AC864" i="6"/>
  <c r="AG864" i="6"/>
  <c r="Y865" i="6"/>
  <c r="AH865" i="6" l="1"/>
  <c r="AG865" i="6"/>
  <c r="AE865" i="6"/>
  <c r="AF865" i="6" s="1"/>
  <c r="Y866" i="6"/>
  <c r="AC865" i="6"/>
  <c r="AA865" i="6"/>
  <c r="Z865" i="6" s="1"/>
  <c r="AD864" i="6"/>
  <c r="AB864" i="6"/>
  <c r="AD865" i="6" l="1"/>
  <c r="AB865" i="6"/>
  <c r="AG866" i="6"/>
  <c r="AE866" i="6"/>
  <c r="AF866" i="6" s="1"/>
  <c r="AA866" i="6"/>
  <c r="Z866" i="6" s="1"/>
  <c r="Y867" i="6"/>
  <c r="AH866" i="6"/>
  <c r="AC866" i="6"/>
  <c r="AA63" i="8"/>
  <c r="AC63" i="8" a="1"/>
  <c r="AD63" i="8" a="1"/>
  <c r="AD63" i="8" l="1"/>
  <c r="AC63" i="8"/>
  <c r="AB866" i="6"/>
  <c r="AD866" i="6"/>
  <c r="AC867" i="6"/>
  <c r="Y868" i="6"/>
  <c r="AH867" i="6"/>
  <c r="AG867" i="6"/>
  <c r="AE867" i="6"/>
  <c r="AF867" i="6" s="1"/>
  <c r="AA867" i="6"/>
  <c r="Z867" i="6" s="1"/>
  <c r="Y869" i="6" l="1"/>
  <c r="AH868" i="6"/>
  <c r="AG868" i="6"/>
  <c r="AE868" i="6"/>
  <c r="AF868" i="6" s="1"/>
  <c r="AC868" i="6"/>
  <c r="AA868" i="6"/>
  <c r="Z868" i="6" s="1"/>
  <c r="AB867" i="6"/>
  <c r="AD867" i="6"/>
  <c r="AD868" i="6" l="1"/>
  <c r="AB868" i="6"/>
  <c r="AE869" i="6"/>
  <c r="AF869" i="6" s="1"/>
  <c r="AC869" i="6"/>
  <c r="AA869" i="6"/>
  <c r="Z869" i="6" s="1"/>
  <c r="AH869" i="6"/>
  <c r="AG869" i="6"/>
  <c r="Y870" i="6"/>
  <c r="AA870" i="6" l="1"/>
  <c r="Z870" i="6" s="1"/>
  <c r="Y871" i="6"/>
  <c r="AH870" i="6"/>
  <c r="AG870" i="6"/>
  <c r="AE870" i="6"/>
  <c r="AF870" i="6" s="1"/>
  <c r="AC870" i="6"/>
  <c r="AB869" i="6"/>
  <c r="AD869" i="6"/>
  <c r="AD870" i="6" l="1"/>
  <c r="AB870" i="6"/>
  <c r="Y872" i="6"/>
  <c r="AH871" i="6"/>
  <c r="AG871" i="6"/>
  <c r="AE871" i="6"/>
  <c r="AF871" i="6" s="1"/>
  <c r="AC871" i="6"/>
  <c r="AA871" i="6"/>
  <c r="Z871" i="6" s="1"/>
  <c r="AD871" i="6" l="1"/>
  <c r="AB871" i="6"/>
  <c r="Y873" i="6"/>
  <c r="AC872" i="6"/>
  <c r="AA872" i="6"/>
  <c r="Z872" i="6" s="1"/>
  <c r="AE872" i="6"/>
  <c r="AF872" i="6" s="1"/>
  <c r="AH872" i="6"/>
  <c r="AG872" i="6"/>
  <c r="O63" i="8"/>
  <c r="Q63" i="8" a="1"/>
  <c r="R63" i="8" a="1"/>
  <c r="R63" i="8" l="1"/>
  <c r="Q63" i="8"/>
  <c r="N63" i="8"/>
  <c r="Y874" i="6"/>
  <c r="AE873" i="6"/>
  <c r="AF873" i="6" s="1"/>
  <c r="AH873" i="6"/>
  <c r="AG873" i="6"/>
  <c r="AC873" i="6"/>
  <c r="AA873" i="6"/>
  <c r="Z873" i="6" s="1"/>
  <c r="AD872" i="6"/>
  <c r="AB872" i="6"/>
  <c r="Y875" i="6" l="1"/>
  <c r="AH874" i="6"/>
  <c r="AG874" i="6"/>
  <c r="AE874" i="6"/>
  <c r="AF874" i="6" s="1"/>
  <c r="AA874" i="6"/>
  <c r="Z874" i="6" s="1"/>
  <c r="AC874" i="6"/>
  <c r="AD873" i="6"/>
  <c r="AB873" i="6"/>
  <c r="N64" i="8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U63" i="8"/>
  <c r="U64" i="8" l="1"/>
  <c r="Z63" i="8"/>
  <c r="AB874" i="6"/>
  <c r="AD874" i="6"/>
  <c r="AG875" i="6"/>
  <c r="AA875" i="6"/>
  <c r="Z875" i="6" s="1"/>
  <c r="AH875" i="6"/>
  <c r="AC875" i="6"/>
  <c r="AE875" i="6"/>
  <c r="AF875" i="6" s="1"/>
  <c r="Y876" i="6"/>
  <c r="I63" i="8"/>
  <c r="K63" i="8" a="1"/>
  <c r="K63" i="8" l="1"/>
  <c r="H63" i="8"/>
  <c r="AG876" i="6"/>
  <c r="AH876" i="6"/>
  <c r="Y877" i="6"/>
  <c r="AE876" i="6"/>
  <c r="AF876" i="6" s="1"/>
  <c r="AC876" i="6"/>
  <c r="AA876" i="6"/>
  <c r="Z876" i="6" s="1"/>
  <c r="AD875" i="6"/>
  <c r="AB875" i="6"/>
  <c r="U65" i="8"/>
  <c r="Z64" i="8"/>
  <c r="U66" i="8" l="1"/>
  <c r="Z65" i="8"/>
  <c r="AB876" i="6"/>
  <c r="AD876" i="6"/>
  <c r="Y878" i="6"/>
  <c r="AG877" i="6"/>
  <c r="AH877" i="6"/>
  <c r="AC877" i="6"/>
  <c r="AE877" i="6"/>
  <c r="AF877" i="6" s="1"/>
  <c r="AA877" i="6"/>
  <c r="Z877" i="6" s="1"/>
  <c r="S63" i="8"/>
  <c r="AD877" i="6" l="1"/>
  <c r="AB877" i="6"/>
  <c r="AE878" i="6"/>
  <c r="AF878" i="6" s="1"/>
  <c r="Y879" i="6"/>
  <c r="AG878" i="6"/>
  <c r="AC878" i="6"/>
  <c r="AA878" i="6"/>
  <c r="Z878" i="6" s="1"/>
  <c r="AH878" i="6"/>
  <c r="U67" i="8"/>
  <c r="Z66" i="8"/>
  <c r="B63" i="8"/>
  <c r="A63" i="8"/>
  <c r="E63" i="8" a="1"/>
  <c r="E63" i="8" l="1"/>
  <c r="U68" i="8"/>
  <c r="Z67" i="8"/>
  <c r="AD878" i="6"/>
  <c r="AB878" i="6"/>
  <c r="AE879" i="6"/>
  <c r="AF879" i="6" s="1"/>
  <c r="Y880" i="6"/>
  <c r="AH879" i="6"/>
  <c r="AG879" i="6"/>
  <c r="AC879" i="6"/>
  <c r="AA879" i="6"/>
  <c r="Z879" i="6" s="1"/>
  <c r="K59" i="8" a="1"/>
  <c r="K59" i="8" l="1"/>
  <c r="AG880" i="6"/>
  <c r="AE880" i="6"/>
  <c r="AF880" i="6" s="1"/>
  <c r="AH880" i="6"/>
  <c r="Y881" i="6"/>
  <c r="AC880" i="6"/>
  <c r="AA880" i="6"/>
  <c r="Z880" i="6" s="1"/>
  <c r="AD879" i="6"/>
  <c r="AB879" i="6"/>
  <c r="U69" i="8"/>
  <c r="Z68" i="8"/>
  <c r="U70" i="8" l="1"/>
  <c r="Z69" i="8"/>
  <c r="AD880" i="6"/>
  <c r="AB880" i="6"/>
  <c r="AC881" i="6"/>
  <c r="Y882" i="6"/>
  <c r="AH881" i="6"/>
  <c r="AG881" i="6"/>
  <c r="AE881" i="6"/>
  <c r="AF881" i="6" s="1"/>
  <c r="AA881" i="6"/>
  <c r="Z881" i="6" s="1"/>
  <c r="K58" i="8" a="1"/>
  <c r="K58" i="8" l="1"/>
  <c r="AC882" i="6"/>
  <c r="AA882" i="6"/>
  <c r="Z882" i="6" s="1"/>
  <c r="AG882" i="6"/>
  <c r="Y883" i="6"/>
  <c r="AH882" i="6"/>
  <c r="AE882" i="6"/>
  <c r="AF882" i="6" s="1"/>
  <c r="AD881" i="6"/>
  <c r="AB881" i="6"/>
  <c r="U71" i="8"/>
  <c r="Z70" i="8"/>
  <c r="U72" i="8" l="1"/>
  <c r="Z71" i="8"/>
  <c r="AE883" i="6"/>
  <c r="AF883" i="6" s="1"/>
  <c r="AC883" i="6"/>
  <c r="Y884" i="6"/>
  <c r="AA883" i="6"/>
  <c r="Z883" i="6" s="1"/>
  <c r="AH883" i="6"/>
  <c r="AG883" i="6"/>
  <c r="AB882" i="6"/>
  <c r="AD882" i="6"/>
  <c r="E58" i="8" a="1"/>
  <c r="E58" i="8" l="1"/>
  <c r="AA884" i="6"/>
  <c r="Z884" i="6" s="1"/>
  <c r="Y885" i="6"/>
  <c r="AH884" i="6"/>
  <c r="AG884" i="6"/>
  <c r="AE884" i="6"/>
  <c r="AF884" i="6" s="1"/>
  <c r="AC884" i="6"/>
  <c r="AB883" i="6"/>
  <c r="AD883" i="6"/>
  <c r="U73" i="8"/>
  <c r="Z72" i="8"/>
  <c r="U74" i="8" l="1"/>
  <c r="Z73" i="8"/>
  <c r="AD884" i="6"/>
  <c r="AB884" i="6"/>
  <c r="AA885" i="6"/>
  <c r="Z885" i="6" s="1"/>
  <c r="AE885" i="6"/>
  <c r="AF885" i="6" s="1"/>
  <c r="Y886" i="6"/>
  <c r="AH885" i="6"/>
  <c r="AG885" i="6"/>
  <c r="AC885" i="6"/>
  <c r="X57" i="8"/>
  <c r="W57" i="8"/>
  <c r="U57" i="8"/>
  <c r="AD885" i="6" l="1"/>
  <c r="AB885" i="6"/>
  <c r="Y887" i="6"/>
  <c r="AH886" i="6"/>
  <c r="AC886" i="6"/>
  <c r="AA886" i="6"/>
  <c r="Z886" i="6" s="1"/>
  <c r="AE886" i="6"/>
  <c r="AF886" i="6" s="1"/>
  <c r="AG886" i="6"/>
  <c r="U75" i="8"/>
  <c r="Z74" i="8"/>
  <c r="K57" i="8" a="1"/>
  <c r="K57" i="8" l="1"/>
  <c r="U76" i="8"/>
  <c r="Z75" i="8"/>
  <c r="AD886" i="6"/>
  <c r="AB886" i="6"/>
  <c r="Y888" i="6"/>
  <c r="AG887" i="6"/>
  <c r="AC887" i="6"/>
  <c r="AE887" i="6"/>
  <c r="AF887" i="6" s="1"/>
  <c r="AA887" i="6"/>
  <c r="Z887" i="6" s="1"/>
  <c r="AH887" i="6"/>
  <c r="AD887" i="6" l="1"/>
  <c r="AB887" i="6"/>
  <c r="Y889" i="6"/>
  <c r="AH888" i="6"/>
  <c r="AG888" i="6"/>
  <c r="AE888" i="6"/>
  <c r="AF888" i="6" s="1"/>
  <c r="AC888" i="6"/>
  <c r="AA888" i="6"/>
  <c r="Z888" i="6" s="1"/>
  <c r="U77" i="8"/>
  <c r="Z76" i="8"/>
  <c r="U78" i="8" l="1"/>
  <c r="Z77" i="8"/>
  <c r="AD888" i="6"/>
  <c r="AB888" i="6"/>
  <c r="AG889" i="6"/>
  <c r="AA889" i="6"/>
  <c r="Z889" i="6" s="1"/>
  <c r="Y890" i="6"/>
  <c r="AH889" i="6"/>
  <c r="AE889" i="6"/>
  <c r="AF889" i="6" s="1"/>
  <c r="AC889" i="6"/>
  <c r="AD889" i="6" l="1"/>
  <c r="AB889" i="6"/>
  <c r="AG890" i="6"/>
  <c r="AH890" i="6"/>
  <c r="AC890" i="6"/>
  <c r="AA890" i="6"/>
  <c r="Z890" i="6" s="1"/>
  <c r="Y891" i="6"/>
  <c r="AE890" i="6"/>
  <c r="AF890" i="6" s="1"/>
  <c r="U79" i="8"/>
  <c r="Z78" i="8"/>
  <c r="S53" i="8"/>
  <c r="U80" i="8" l="1"/>
  <c r="Z79" i="8"/>
  <c r="Y892" i="6"/>
  <c r="AG891" i="6"/>
  <c r="AH891" i="6"/>
  <c r="AE891" i="6"/>
  <c r="AF891" i="6" s="1"/>
  <c r="AC891" i="6"/>
  <c r="AA891" i="6"/>
  <c r="Z891" i="6" s="1"/>
  <c r="AD890" i="6"/>
  <c r="AB890" i="6"/>
  <c r="AD891" i="6" l="1"/>
  <c r="AB891" i="6"/>
  <c r="AE892" i="6"/>
  <c r="AF892" i="6" s="1"/>
  <c r="AC892" i="6"/>
  <c r="AA892" i="6"/>
  <c r="Z892" i="6" s="1"/>
  <c r="Y893" i="6"/>
  <c r="AH892" i="6"/>
  <c r="AG892" i="6"/>
  <c r="U81" i="8"/>
  <c r="Z80" i="8"/>
  <c r="U82" i="8" l="1"/>
  <c r="Z81" i="8"/>
  <c r="AE893" i="6"/>
  <c r="AF893" i="6" s="1"/>
  <c r="AH893" i="6"/>
  <c r="AG893" i="6"/>
  <c r="AC893" i="6"/>
  <c r="Y894" i="6"/>
  <c r="AA893" i="6"/>
  <c r="Z893" i="6" s="1"/>
  <c r="AD892" i="6"/>
  <c r="AB892" i="6"/>
  <c r="AD893" i="6" l="1"/>
  <c r="AB893" i="6"/>
  <c r="AH894" i="6"/>
  <c r="AG894" i="6"/>
  <c r="AE894" i="6"/>
  <c r="AF894" i="6" s="1"/>
  <c r="Y895" i="6"/>
  <c r="AC894" i="6"/>
  <c r="AA894" i="6"/>
  <c r="Z894" i="6" s="1"/>
  <c r="U83" i="8"/>
  <c r="Z82" i="8"/>
  <c r="U84" i="8" l="1"/>
  <c r="Z83" i="8"/>
  <c r="AD894" i="6"/>
  <c r="AB894" i="6"/>
  <c r="AC895" i="6"/>
  <c r="Y896" i="6"/>
  <c r="AH895" i="6"/>
  <c r="AG895" i="6"/>
  <c r="AE895" i="6"/>
  <c r="AF895" i="6" s="1"/>
  <c r="AA895" i="6"/>
  <c r="Z895" i="6" s="1"/>
  <c r="Y897" i="6" l="1"/>
  <c r="AH896" i="6"/>
  <c r="AC896" i="6"/>
  <c r="AA896" i="6"/>
  <c r="Z896" i="6" s="1"/>
  <c r="AG896" i="6"/>
  <c r="AE896" i="6"/>
  <c r="AF896" i="6" s="1"/>
  <c r="AD895" i="6"/>
  <c r="AB895" i="6"/>
  <c r="U85" i="8"/>
  <c r="Z84" i="8"/>
  <c r="U86" i="8" l="1"/>
  <c r="Z85" i="8"/>
  <c r="AD896" i="6"/>
  <c r="AB896" i="6"/>
  <c r="AG897" i="6"/>
  <c r="AH897" i="6"/>
  <c r="AE897" i="6"/>
  <c r="AF897" i="6" s="1"/>
  <c r="AA897" i="6"/>
  <c r="Z897" i="6" s="1"/>
  <c r="Y898" i="6"/>
  <c r="AC897" i="6"/>
  <c r="AD897" i="6" l="1"/>
  <c r="AB897" i="6"/>
  <c r="AC898" i="6"/>
  <c r="Y899" i="6"/>
  <c r="AH898" i="6"/>
  <c r="AG898" i="6"/>
  <c r="AE898" i="6"/>
  <c r="AF898" i="6" s="1"/>
  <c r="AA898" i="6"/>
  <c r="Z898" i="6" s="1"/>
  <c r="U87" i="8"/>
  <c r="Z86" i="8"/>
  <c r="U88" i="8" l="1"/>
  <c r="Z87" i="8"/>
  <c r="AC899" i="6"/>
  <c r="AA899" i="6"/>
  <c r="Z899" i="6" s="1"/>
  <c r="AH899" i="6"/>
  <c r="Y900" i="6"/>
  <c r="AE899" i="6"/>
  <c r="AF899" i="6" s="1"/>
  <c r="AG899" i="6"/>
  <c r="AB898" i="6"/>
  <c r="AD898" i="6"/>
  <c r="AC900" i="6" l="1"/>
  <c r="Y901" i="6"/>
  <c r="AH900" i="6"/>
  <c r="AE900" i="6"/>
  <c r="AF900" i="6" s="1"/>
  <c r="AA900" i="6"/>
  <c r="Z900" i="6" s="1"/>
  <c r="AG900" i="6"/>
  <c r="AD899" i="6"/>
  <c r="AB899" i="6"/>
  <c r="U89" i="8"/>
  <c r="Z88" i="8"/>
  <c r="U90" i="8" l="1"/>
  <c r="Z89" i="8"/>
  <c r="AA901" i="6"/>
  <c r="Z901" i="6" s="1"/>
  <c r="Y902" i="6"/>
  <c r="AG901" i="6"/>
  <c r="AC901" i="6"/>
  <c r="AH901" i="6"/>
  <c r="AE901" i="6"/>
  <c r="AF901" i="6" s="1"/>
  <c r="AD900" i="6"/>
  <c r="AB900" i="6"/>
  <c r="AB901" i="6" l="1"/>
  <c r="AD901" i="6"/>
  <c r="AH902" i="6"/>
  <c r="AG902" i="6"/>
  <c r="AE902" i="6"/>
  <c r="AF902" i="6" s="1"/>
  <c r="AC902" i="6"/>
  <c r="AA902" i="6"/>
  <c r="Z902" i="6" s="1"/>
  <c r="Y903" i="6"/>
  <c r="U91" i="8"/>
  <c r="Z90" i="8"/>
  <c r="S52" i="8"/>
  <c r="U92" i="8" l="1"/>
  <c r="Z91" i="8"/>
  <c r="AE903" i="6"/>
  <c r="AF903" i="6" s="1"/>
  <c r="AC903" i="6"/>
  <c r="Y904" i="6"/>
  <c r="AH903" i="6"/>
  <c r="AG903" i="6"/>
  <c r="AA903" i="6"/>
  <c r="Z903" i="6" s="1"/>
  <c r="AB902" i="6"/>
  <c r="AD902" i="6"/>
  <c r="AA904" i="6" l="1"/>
  <c r="Z904" i="6" s="1"/>
  <c r="AH904" i="6"/>
  <c r="AG904" i="6"/>
  <c r="AE904" i="6"/>
  <c r="AF904" i="6" s="1"/>
  <c r="Y905" i="6"/>
  <c r="AC904" i="6"/>
  <c r="AB903" i="6"/>
  <c r="AD903" i="6"/>
  <c r="U93" i="8"/>
  <c r="Z92" i="8"/>
  <c r="U94" i="8" l="1"/>
  <c r="Z93" i="8"/>
  <c r="AD904" i="6"/>
  <c r="AB904" i="6"/>
  <c r="AA905" i="6"/>
  <c r="Z905" i="6" s="1"/>
  <c r="Y906" i="6"/>
  <c r="AH905" i="6"/>
  <c r="AG905" i="6"/>
  <c r="AE905" i="6"/>
  <c r="AF905" i="6" s="1"/>
  <c r="AC905" i="6"/>
  <c r="AD905" i="6" l="1"/>
  <c r="AB905" i="6"/>
  <c r="Y907" i="6"/>
  <c r="AE906" i="6"/>
  <c r="AF906" i="6" s="1"/>
  <c r="AC906" i="6"/>
  <c r="AA906" i="6"/>
  <c r="Z906" i="6" s="1"/>
  <c r="AH906" i="6"/>
  <c r="AG906" i="6"/>
  <c r="U95" i="8"/>
  <c r="Z94" i="8"/>
  <c r="U96" i="8" l="1"/>
  <c r="Z95" i="8"/>
  <c r="AD906" i="6"/>
  <c r="AB906" i="6"/>
  <c r="Y908" i="6"/>
  <c r="AH907" i="6"/>
  <c r="AE907" i="6"/>
  <c r="AF907" i="6" s="1"/>
  <c r="AA907" i="6"/>
  <c r="Z907" i="6" s="1"/>
  <c r="AG907" i="6"/>
  <c r="AC907" i="6"/>
  <c r="AD907" i="6" l="1"/>
  <c r="AB907" i="6"/>
  <c r="AH908" i="6"/>
  <c r="AG908" i="6"/>
  <c r="AE908" i="6"/>
  <c r="AF908" i="6" s="1"/>
  <c r="AC908" i="6"/>
  <c r="Y909" i="6"/>
  <c r="AA908" i="6"/>
  <c r="Z908" i="6" s="1"/>
  <c r="U97" i="8"/>
  <c r="Z96" i="8"/>
  <c r="U98" i="8" l="1"/>
  <c r="Z97" i="8"/>
  <c r="Y910" i="6"/>
  <c r="AH909" i="6"/>
  <c r="AC909" i="6"/>
  <c r="AA909" i="6"/>
  <c r="Z909" i="6" s="1"/>
  <c r="AG909" i="6"/>
  <c r="AE909" i="6"/>
  <c r="AF909" i="6" s="1"/>
  <c r="AB908" i="6"/>
  <c r="AD908" i="6"/>
  <c r="AD909" i="6" l="1"/>
  <c r="AB909" i="6"/>
  <c r="Y911" i="6"/>
  <c r="AA910" i="6"/>
  <c r="Z910" i="6" s="1"/>
  <c r="AH910" i="6"/>
  <c r="AE910" i="6"/>
  <c r="AF910" i="6" s="1"/>
  <c r="AC910" i="6"/>
  <c r="AG910" i="6"/>
  <c r="U99" i="8"/>
  <c r="Z98" i="8"/>
  <c r="U100" i="8" l="1"/>
  <c r="Z99" i="8"/>
  <c r="AB910" i="6"/>
  <c r="AD910" i="6"/>
  <c r="AG911" i="6"/>
  <c r="Y912" i="6"/>
  <c r="AH911" i="6"/>
  <c r="AE911" i="6"/>
  <c r="AF911" i="6" s="1"/>
  <c r="AA911" i="6"/>
  <c r="Z911" i="6" s="1"/>
  <c r="AC911" i="6"/>
  <c r="AD911" i="6" l="1"/>
  <c r="AB911" i="6"/>
  <c r="AH912" i="6"/>
  <c r="AG912" i="6"/>
  <c r="Y913" i="6"/>
  <c r="AE912" i="6"/>
  <c r="AF912" i="6" s="1"/>
  <c r="AA912" i="6"/>
  <c r="Z912" i="6" s="1"/>
  <c r="AC912" i="6"/>
  <c r="U101" i="8"/>
  <c r="U102" i="8" s="1"/>
  <c r="U103" i="8" s="1"/>
  <c r="Z100" i="8"/>
  <c r="AB912" i="6" l="1"/>
  <c r="AD912" i="6"/>
  <c r="AA913" i="6"/>
  <c r="Z913" i="6" s="1"/>
  <c r="AH913" i="6"/>
  <c r="Y914" i="6"/>
  <c r="AG913" i="6"/>
  <c r="AE913" i="6"/>
  <c r="AF913" i="6" s="1"/>
  <c r="AC913" i="6"/>
  <c r="AD913" i="6" l="1"/>
  <c r="AB913" i="6"/>
  <c r="Y915" i="6"/>
  <c r="AH914" i="6"/>
  <c r="AC914" i="6"/>
  <c r="AG914" i="6"/>
  <c r="AE914" i="6"/>
  <c r="AF914" i="6" s="1"/>
  <c r="AA914" i="6"/>
  <c r="Z914" i="6" s="1"/>
  <c r="S51" i="8"/>
  <c r="AG915" i="6" l="1"/>
  <c r="AA915" i="6"/>
  <c r="Z915" i="6" s="1"/>
  <c r="Y916" i="6"/>
  <c r="AH915" i="6"/>
  <c r="AE915" i="6"/>
  <c r="AF915" i="6" s="1"/>
  <c r="AC915" i="6"/>
  <c r="AD914" i="6"/>
  <c r="AB914" i="6"/>
  <c r="AD915" i="6" l="1"/>
  <c r="AB915" i="6"/>
  <c r="AA916" i="6"/>
  <c r="Z916" i="6" s="1"/>
  <c r="AG916" i="6"/>
  <c r="Y917" i="6"/>
  <c r="AH916" i="6"/>
  <c r="AE916" i="6"/>
  <c r="AF916" i="6" s="1"/>
  <c r="AC916" i="6"/>
  <c r="AD916" i="6" l="1"/>
  <c r="AB916" i="6"/>
  <c r="AH917" i="6"/>
  <c r="AE917" i="6"/>
  <c r="AF917" i="6" s="1"/>
  <c r="Y918" i="6"/>
  <c r="AG917" i="6"/>
  <c r="AC917" i="6"/>
  <c r="AA917" i="6"/>
  <c r="Z917" i="6" s="1"/>
  <c r="AB917" i="6" l="1"/>
  <c r="AD917" i="6"/>
  <c r="Y919" i="6"/>
  <c r="AE918" i="6"/>
  <c r="AF918" i="6" s="1"/>
  <c r="AA918" i="6"/>
  <c r="Z918" i="6" s="1"/>
  <c r="AG918" i="6"/>
  <c r="AH918" i="6"/>
  <c r="AC918" i="6"/>
  <c r="AD918" i="6" l="1"/>
  <c r="AB918" i="6"/>
  <c r="AE919" i="6"/>
  <c r="AF919" i="6" s="1"/>
  <c r="AG919" i="6"/>
  <c r="Y920" i="6"/>
  <c r="AH919" i="6"/>
  <c r="AC919" i="6"/>
  <c r="AA919" i="6"/>
  <c r="Z919" i="6" s="1"/>
  <c r="AD919" i="6" l="1"/>
  <c r="AB919" i="6"/>
  <c r="AH920" i="6"/>
  <c r="AE920" i="6"/>
  <c r="AF920" i="6" s="1"/>
  <c r="Y921" i="6"/>
  <c r="AG920" i="6"/>
  <c r="AC920" i="6"/>
  <c r="AA920" i="6"/>
  <c r="Z920" i="6" s="1"/>
  <c r="AD920" i="6" l="1"/>
  <c r="AB920" i="6"/>
  <c r="Y922" i="6"/>
  <c r="AE921" i="6"/>
  <c r="AF921" i="6" s="1"/>
  <c r="AH921" i="6"/>
  <c r="AG921" i="6"/>
  <c r="AC921" i="6"/>
  <c r="AA921" i="6"/>
  <c r="Z921" i="6" s="1"/>
  <c r="AD921" i="6" l="1"/>
  <c r="AB921" i="6"/>
  <c r="AH922" i="6"/>
  <c r="AG922" i="6"/>
  <c r="AE922" i="6"/>
  <c r="AF922" i="6" s="1"/>
  <c r="AC922" i="6"/>
  <c r="AA922" i="6"/>
  <c r="Z922" i="6" s="1"/>
  <c r="Y923" i="6"/>
  <c r="AH923" i="6" l="1"/>
  <c r="AE923" i="6"/>
  <c r="AF923" i="6" s="1"/>
  <c r="Y924" i="6"/>
  <c r="AG923" i="6"/>
  <c r="AA923" i="6"/>
  <c r="Z923" i="6" s="1"/>
  <c r="AC923" i="6"/>
  <c r="AD922" i="6"/>
  <c r="AB922" i="6"/>
  <c r="AD923" i="6" l="1"/>
  <c r="AB923" i="6"/>
  <c r="Y925" i="6"/>
  <c r="AE924" i="6"/>
  <c r="AF924" i="6" s="1"/>
  <c r="AH924" i="6"/>
  <c r="AG924" i="6"/>
  <c r="AC924" i="6"/>
  <c r="AA924" i="6"/>
  <c r="Z924" i="6" s="1"/>
  <c r="AD924" i="6" l="1"/>
  <c r="AB924" i="6"/>
  <c r="AC925" i="6"/>
  <c r="AH925" i="6"/>
  <c r="Y926" i="6"/>
  <c r="AG925" i="6"/>
  <c r="AE925" i="6"/>
  <c r="AF925" i="6" s="1"/>
  <c r="AA925" i="6"/>
  <c r="Z925" i="6" s="1"/>
  <c r="AH926" i="6" l="1"/>
  <c r="AE926" i="6"/>
  <c r="AF926" i="6" s="1"/>
  <c r="Y927" i="6"/>
  <c r="AG926" i="6"/>
  <c r="AC926" i="6"/>
  <c r="AA926" i="6"/>
  <c r="Z926" i="6" s="1"/>
  <c r="AD925" i="6"/>
  <c r="AB925" i="6"/>
  <c r="S50" i="8"/>
  <c r="AD926" i="6" l="1"/>
  <c r="AB926" i="6"/>
  <c r="Y928" i="6"/>
  <c r="AG927" i="6"/>
  <c r="AE927" i="6"/>
  <c r="AF927" i="6" s="1"/>
  <c r="AC927" i="6"/>
  <c r="AA927" i="6"/>
  <c r="Z927" i="6" s="1"/>
  <c r="AH927" i="6"/>
  <c r="AD927" i="6" l="1"/>
  <c r="AB927" i="6"/>
  <c r="AH928" i="6"/>
  <c r="Y929" i="6"/>
  <c r="AE928" i="6"/>
  <c r="AF928" i="6" s="1"/>
  <c r="AC928" i="6"/>
  <c r="AG928" i="6"/>
  <c r="AA928" i="6"/>
  <c r="Z928" i="6" s="1"/>
  <c r="AD928" i="6" l="1"/>
  <c r="AB928" i="6"/>
  <c r="AH929" i="6"/>
  <c r="AE929" i="6"/>
  <c r="AF929" i="6" s="1"/>
  <c r="Y930" i="6"/>
  <c r="AG929" i="6"/>
  <c r="AC929" i="6"/>
  <c r="AA929" i="6"/>
  <c r="Z929" i="6" s="1"/>
  <c r="AD929" i="6" l="1"/>
  <c r="AB929" i="6"/>
  <c r="Y931" i="6"/>
  <c r="AG930" i="6"/>
  <c r="AE930" i="6"/>
  <c r="AF930" i="6" s="1"/>
  <c r="AH930" i="6"/>
  <c r="AC930" i="6"/>
  <c r="AA930" i="6"/>
  <c r="Z930" i="6" s="1"/>
  <c r="AD930" i="6" l="1"/>
  <c r="AB930" i="6"/>
  <c r="AA931" i="6"/>
  <c r="Z931" i="6" s="1"/>
  <c r="AH931" i="6"/>
  <c r="AG931" i="6"/>
  <c r="AE931" i="6"/>
  <c r="AF931" i="6" s="1"/>
  <c r="AC931" i="6"/>
  <c r="Y932" i="6"/>
  <c r="AA932" i="6" l="1"/>
  <c r="Z932" i="6" s="1"/>
  <c r="Y933" i="6"/>
  <c r="AE932" i="6"/>
  <c r="AF932" i="6" s="1"/>
  <c r="AH932" i="6"/>
  <c r="AC932" i="6"/>
  <c r="AG932" i="6"/>
  <c r="AB931" i="6"/>
  <c r="AD931" i="6"/>
  <c r="AD932" i="6" l="1"/>
  <c r="AB932" i="6"/>
  <c r="AH933" i="6"/>
  <c r="AG933" i="6"/>
  <c r="AA933" i="6"/>
  <c r="Z933" i="6" s="1"/>
  <c r="Y934" i="6"/>
  <c r="AE933" i="6"/>
  <c r="AF933" i="6" s="1"/>
  <c r="AC933" i="6"/>
  <c r="AD933" i="6" l="1"/>
  <c r="AB933" i="6"/>
  <c r="AA934" i="6"/>
  <c r="Z934" i="6" s="1"/>
  <c r="AC934" i="6"/>
  <c r="Y935" i="6"/>
  <c r="AH934" i="6"/>
  <c r="AG934" i="6"/>
  <c r="AE934" i="6"/>
  <c r="AF934" i="6" s="1"/>
  <c r="AG935" i="6" l="1"/>
  <c r="Y936" i="6"/>
  <c r="AH935" i="6"/>
  <c r="AE935" i="6"/>
  <c r="AF935" i="6" s="1"/>
  <c r="AC935" i="6"/>
  <c r="AA935" i="6"/>
  <c r="Z935" i="6" s="1"/>
  <c r="AB934" i="6"/>
  <c r="AD934" i="6"/>
  <c r="AD935" i="6" l="1"/>
  <c r="AB935" i="6"/>
  <c r="AH936" i="6"/>
  <c r="AC936" i="6"/>
  <c r="Y937" i="6"/>
  <c r="AE936" i="6"/>
  <c r="AF936" i="6" s="1"/>
  <c r="AA936" i="6"/>
  <c r="Z936" i="6" s="1"/>
  <c r="AG936" i="6"/>
  <c r="Y938" i="6" l="1"/>
  <c r="AE937" i="6"/>
  <c r="AF937" i="6" s="1"/>
  <c r="AC937" i="6"/>
  <c r="AA937" i="6"/>
  <c r="Z937" i="6" s="1"/>
  <c r="AH937" i="6"/>
  <c r="AG937" i="6"/>
  <c r="AB936" i="6"/>
  <c r="AD936" i="6"/>
  <c r="AD937" i="6" l="1"/>
  <c r="AB937" i="6"/>
  <c r="Y939" i="6"/>
  <c r="AH938" i="6"/>
  <c r="AG938" i="6"/>
  <c r="AE938" i="6"/>
  <c r="AF938" i="6" s="1"/>
  <c r="AC938" i="6"/>
  <c r="AA938" i="6"/>
  <c r="Z938" i="6" s="1"/>
  <c r="S49" i="8"/>
  <c r="AB938" i="6" l="1"/>
  <c r="AD938" i="6"/>
  <c r="AH939" i="6"/>
  <c r="AE939" i="6"/>
  <c r="AF939" i="6" s="1"/>
  <c r="AC939" i="6"/>
  <c r="Y940" i="6"/>
  <c r="AG939" i="6"/>
  <c r="AA939" i="6"/>
  <c r="Z939" i="6" s="1"/>
  <c r="Y941" i="6" l="1"/>
  <c r="AH940" i="6"/>
  <c r="AG940" i="6"/>
  <c r="AE940" i="6"/>
  <c r="AF940" i="6" s="1"/>
  <c r="AC940" i="6"/>
  <c r="AA940" i="6"/>
  <c r="Z940" i="6" s="1"/>
  <c r="AB939" i="6"/>
  <c r="AD939" i="6"/>
  <c r="AD940" i="6" l="1"/>
  <c r="AB940" i="6"/>
  <c r="AE941" i="6"/>
  <c r="AF941" i="6" s="1"/>
  <c r="Y942" i="6"/>
  <c r="AH941" i="6"/>
  <c r="AG941" i="6"/>
  <c r="AC941" i="6"/>
  <c r="AA941" i="6"/>
  <c r="Z941" i="6" s="1"/>
  <c r="AH942" i="6" l="1"/>
  <c r="AC942" i="6"/>
  <c r="AA942" i="6"/>
  <c r="Z942" i="6" s="1"/>
  <c r="AE942" i="6"/>
  <c r="AF942" i="6" s="1"/>
  <c r="Y943" i="6"/>
  <c r="AG942" i="6"/>
  <c r="AD941" i="6"/>
  <c r="AB941" i="6"/>
  <c r="Y944" i="6" l="1"/>
  <c r="AH943" i="6"/>
  <c r="AG943" i="6"/>
  <c r="AA943" i="6"/>
  <c r="Z943" i="6" s="1"/>
  <c r="AC943" i="6"/>
  <c r="AE943" i="6"/>
  <c r="AF943" i="6" s="1"/>
  <c r="AD942" i="6"/>
  <c r="AB942" i="6"/>
  <c r="AD943" i="6" l="1"/>
  <c r="AB943" i="6"/>
  <c r="AC944" i="6"/>
  <c r="AA944" i="6"/>
  <c r="Z944" i="6" s="1"/>
  <c r="AH944" i="6"/>
  <c r="Y945" i="6"/>
  <c r="AE944" i="6"/>
  <c r="AF944" i="6" s="1"/>
  <c r="AG944" i="6"/>
  <c r="AE945" i="6" l="1"/>
  <c r="AF945" i="6" s="1"/>
  <c r="AC945" i="6"/>
  <c r="Y946" i="6"/>
  <c r="AH945" i="6"/>
  <c r="AG945" i="6"/>
  <c r="AA945" i="6"/>
  <c r="Z945" i="6" s="1"/>
  <c r="AB944" i="6"/>
  <c r="AD944" i="6"/>
  <c r="Y947" i="6" l="1"/>
  <c r="AH946" i="6"/>
  <c r="AG946" i="6"/>
  <c r="AE946" i="6"/>
  <c r="AF946" i="6" s="1"/>
  <c r="AC946" i="6"/>
  <c r="AA946" i="6"/>
  <c r="Z946" i="6" s="1"/>
  <c r="AB945" i="6"/>
  <c r="AD945" i="6"/>
  <c r="AB946" i="6" l="1"/>
  <c r="AD946" i="6"/>
  <c r="AA947" i="6"/>
  <c r="Z947" i="6" s="1"/>
  <c r="AH947" i="6"/>
  <c r="AG947" i="6"/>
  <c r="AE947" i="6"/>
  <c r="AF947" i="6" s="1"/>
  <c r="AC947" i="6"/>
  <c r="Y948" i="6"/>
  <c r="AC948" i="6" l="1"/>
  <c r="AH948" i="6"/>
  <c r="AG948" i="6"/>
  <c r="Y949" i="6"/>
  <c r="AE948" i="6"/>
  <c r="AF948" i="6" s="1"/>
  <c r="AA948" i="6"/>
  <c r="Z948" i="6" s="1"/>
  <c r="AD947" i="6"/>
  <c r="AB947" i="6"/>
  <c r="Y950" i="6" l="1"/>
  <c r="AE949" i="6"/>
  <c r="AF949" i="6" s="1"/>
  <c r="AG949" i="6"/>
  <c r="AH949" i="6"/>
  <c r="AC949" i="6"/>
  <c r="AA949" i="6"/>
  <c r="Z949" i="6" s="1"/>
  <c r="AD948" i="6"/>
  <c r="AB948" i="6"/>
  <c r="AD949" i="6" l="1"/>
  <c r="AB949" i="6"/>
  <c r="AH950" i="6"/>
  <c r="AC950" i="6"/>
  <c r="Y951" i="6"/>
  <c r="AG950" i="6"/>
  <c r="AE950" i="6"/>
  <c r="AF950" i="6" s="1"/>
  <c r="AA950" i="6"/>
  <c r="Z950" i="6" s="1"/>
  <c r="S48" i="8"/>
  <c r="AG951" i="6" l="1"/>
  <c r="AE951" i="6"/>
  <c r="AF951" i="6" s="1"/>
  <c r="AC951" i="6"/>
  <c r="AA951" i="6"/>
  <c r="Z951" i="6" s="1"/>
  <c r="Y952" i="6"/>
  <c r="AH951" i="6"/>
  <c r="AD950" i="6"/>
  <c r="AB950" i="6"/>
  <c r="AC952" i="6" l="1"/>
  <c r="Y953" i="6"/>
  <c r="AH952" i="6"/>
  <c r="AG952" i="6"/>
  <c r="AE952" i="6"/>
  <c r="AF952" i="6" s="1"/>
  <c r="AA952" i="6"/>
  <c r="Z952" i="6" s="1"/>
  <c r="AB951" i="6"/>
  <c r="AD951" i="6"/>
  <c r="AE953" i="6" l="1"/>
  <c r="AF953" i="6" s="1"/>
  <c r="AH953" i="6"/>
  <c r="AA953" i="6"/>
  <c r="Z953" i="6" s="1"/>
  <c r="Y954" i="6"/>
  <c r="AG953" i="6"/>
  <c r="AC953" i="6"/>
  <c r="AD952" i="6"/>
  <c r="AB952" i="6"/>
  <c r="AD953" i="6" l="1"/>
  <c r="AB953" i="6"/>
  <c r="Y955" i="6"/>
  <c r="AH954" i="6"/>
  <c r="AG954" i="6"/>
  <c r="AE954" i="6"/>
  <c r="AF954" i="6" s="1"/>
  <c r="AC954" i="6"/>
  <c r="AA954" i="6"/>
  <c r="Z954" i="6" s="1"/>
  <c r="AD954" i="6" l="1"/>
  <c r="AB954" i="6"/>
  <c r="AH955" i="6"/>
  <c r="AC955" i="6"/>
  <c r="AA955" i="6"/>
  <c r="Z955" i="6" s="1"/>
  <c r="Y956" i="6"/>
  <c r="AG955" i="6"/>
  <c r="AE955" i="6"/>
  <c r="AF955" i="6" s="1"/>
  <c r="AH956" i="6" l="1"/>
  <c r="Y957" i="6"/>
  <c r="AG956" i="6"/>
  <c r="AC956" i="6"/>
  <c r="AE956" i="6"/>
  <c r="AF956" i="6" s="1"/>
  <c r="AA956" i="6"/>
  <c r="Z956" i="6" s="1"/>
  <c r="AB955" i="6"/>
  <c r="AD955" i="6"/>
  <c r="AD956" i="6" l="1"/>
  <c r="AB956" i="6"/>
  <c r="Y958" i="6"/>
  <c r="AE957" i="6"/>
  <c r="AF957" i="6" s="1"/>
  <c r="AG957" i="6"/>
  <c r="AC957" i="6"/>
  <c r="AA957" i="6"/>
  <c r="Z957" i="6" s="1"/>
  <c r="AH957" i="6"/>
  <c r="AD957" i="6" l="1"/>
  <c r="AB957" i="6"/>
  <c r="AH958" i="6"/>
  <c r="AG958" i="6"/>
  <c r="AE958" i="6"/>
  <c r="AF958" i="6" s="1"/>
  <c r="AC958" i="6"/>
  <c r="AA958" i="6"/>
  <c r="Z958" i="6" s="1"/>
  <c r="Y959" i="6"/>
  <c r="AE959" i="6" l="1"/>
  <c r="AF959" i="6" s="1"/>
  <c r="Y960" i="6"/>
  <c r="AH959" i="6"/>
  <c r="AG959" i="6"/>
  <c r="AC959" i="6"/>
  <c r="AA959" i="6"/>
  <c r="Z959" i="6" s="1"/>
  <c r="AD958" i="6"/>
  <c r="AB958" i="6"/>
  <c r="AB959" i="6" l="1"/>
  <c r="AD959" i="6"/>
  <c r="AC960" i="6"/>
  <c r="AA960" i="6"/>
  <c r="Z960" i="6" s="1"/>
  <c r="AG960" i="6"/>
  <c r="AE960" i="6"/>
  <c r="AF960" i="6" s="1"/>
  <c r="Y961" i="6"/>
  <c r="AH960" i="6"/>
  <c r="Y962" i="6" l="1"/>
  <c r="AH961" i="6"/>
  <c r="AE961" i="6"/>
  <c r="AF961" i="6" s="1"/>
  <c r="AG961" i="6"/>
  <c r="AC961" i="6"/>
  <c r="AA961" i="6"/>
  <c r="Z961" i="6" s="1"/>
  <c r="AD960" i="6"/>
  <c r="AB960" i="6"/>
  <c r="AB961" i="6" l="1"/>
  <c r="AD961" i="6"/>
  <c r="AC962" i="6"/>
  <c r="AG962" i="6"/>
  <c r="AE962" i="6"/>
  <c r="AF962" i="6" s="1"/>
  <c r="AA962" i="6"/>
  <c r="Z962" i="6" s="1"/>
  <c r="Y963" i="6"/>
  <c r="AH962" i="6"/>
  <c r="S47" i="8"/>
  <c r="AG963" i="6" l="1"/>
  <c r="AC963" i="6"/>
  <c r="AH963" i="6"/>
  <c r="Y964" i="6"/>
  <c r="AE963" i="6"/>
  <c r="AF963" i="6" s="1"/>
  <c r="AA963" i="6"/>
  <c r="Z963" i="6" s="1"/>
  <c r="AD962" i="6"/>
  <c r="AB962" i="6"/>
  <c r="AH964" i="6" l="1"/>
  <c r="Y965" i="6"/>
  <c r="AC964" i="6"/>
  <c r="AA964" i="6"/>
  <c r="Z964" i="6" s="1"/>
  <c r="AG964" i="6"/>
  <c r="AE964" i="6"/>
  <c r="AF964" i="6" s="1"/>
  <c r="AD963" i="6"/>
  <c r="AB963" i="6"/>
  <c r="AB964" i="6" l="1"/>
  <c r="AD964" i="6"/>
  <c r="Y966" i="6"/>
  <c r="AH965" i="6"/>
  <c r="AG965" i="6"/>
  <c r="AE965" i="6"/>
  <c r="AF965" i="6" s="1"/>
  <c r="AC965" i="6"/>
  <c r="AA965" i="6"/>
  <c r="Z965" i="6" s="1"/>
  <c r="AB965" i="6" l="1"/>
  <c r="AD965" i="6"/>
  <c r="Y967" i="6"/>
  <c r="AG966" i="6"/>
  <c r="AC966" i="6"/>
  <c r="AA966" i="6"/>
  <c r="Z966" i="6" s="1"/>
  <c r="AH966" i="6"/>
  <c r="AE966" i="6"/>
  <c r="AF966" i="6" s="1"/>
  <c r="AD966" i="6" l="1"/>
  <c r="AB966" i="6"/>
  <c r="Y968" i="6"/>
  <c r="AH967" i="6"/>
  <c r="AG967" i="6"/>
  <c r="AE967" i="6"/>
  <c r="AF967" i="6" s="1"/>
  <c r="AC967" i="6"/>
  <c r="AA967" i="6"/>
  <c r="Z967" i="6" s="1"/>
  <c r="AB967" i="6" l="1"/>
  <c r="AD967" i="6"/>
  <c r="AH968" i="6"/>
  <c r="AG968" i="6"/>
  <c r="AE968" i="6"/>
  <c r="AF968" i="6" s="1"/>
  <c r="AA968" i="6"/>
  <c r="Z968" i="6" s="1"/>
  <c r="Y969" i="6"/>
  <c r="AC968" i="6"/>
  <c r="AB968" i="6" l="1"/>
  <c r="AD968" i="6"/>
  <c r="Y970" i="6"/>
  <c r="AH969" i="6"/>
  <c r="AG969" i="6"/>
  <c r="AE969" i="6"/>
  <c r="AF969" i="6" s="1"/>
  <c r="AC969" i="6"/>
  <c r="AA969" i="6"/>
  <c r="Z969" i="6" s="1"/>
  <c r="AD969" i="6" l="1"/>
  <c r="AB969" i="6"/>
  <c r="AH970" i="6"/>
  <c r="AA970" i="6"/>
  <c r="Z970" i="6" s="1"/>
  <c r="AE970" i="6"/>
  <c r="AF970" i="6" s="1"/>
  <c r="AC970" i="6"/>
  <c r="AG970" i="6"/>
  <c r="Y971" i="6"/>
  <c r="AH971" i="6" l="1"/>
  <c r="AG971" i="6"/>
  <c r="AC971" i="6"/>
  <c r="Y972" i="6"/>
  <c r="AE971" i="6"/>
  <c r="AF971" i="6" s="1"/>
  <c r="AA971" i="6"/>
  <c r="Z971" i="6" s="1"/>
  <c r="AD970" i="6"/>
  <c r="AB970" i="6"/>
  <c r="Y973" i="6" l="1"/>
  <c r="AG972" i="6"/>
  <c r="AE972" i="6"/>
  <c r="AF972" i="6" s="1"/>
  <c r="AA972" i="6"/>
  <c r="Z972" i="6" s="1"/>
  <c r="AH972" i="6"/>
  <c r="AC972" i="6"/>
  <c r="AD971" i="6"/>
  <c r="AB971" i="6"/>
  <c r="AD972" i="6" l="1"/>
  <c r="AB972" i="6"/>
  <c r="AA973" i="6"/>
  <c r="Z973" i="6" s="1"/>
  <c r="Y974" i="6"/>
  <c r="AH973" i="6"/>
  <c r="AG973" i="6"/>
  <c r="AE973" i="6"/>
  <c r="AF973" i="6" s="1"/>
  <c r="AC973" i="6"/>
  <c r="AB973" i="6" l="1"/>
  <c r="AD973" i="6"/>
  <c r="AA974" i="6"/>
  <c r="Z974" i="6" s="1"/>
  <c r="AG974" i="6"/>
  <c r="Y975" i="6"/>
  <c r="AH974" i="6"/>
  <c r="AE974" i="6"/>
  <c r="AF974" i="6" s="1"/>
  <c r="AC974" i="6"/>
  <c r="S46" i="8"/>
  <c r="AB974" i="6" l="1"/>
  <c r="AD974" i="6"/>
  <c r="Y976" i="6"/>
  <c r="AG975" i="6"/>
  <c r="AE975" i="6"/>
  <c r="AF975" i="6" s="1"/>
  <c r="AC975" i="6"/>
  <c r="AH975" i="6"/>
  <c r="AA975" i="6"/>
  <c r="Z975" i="6" s="1"/>
  <c r="AD975" i="6" l="1"/>
  <c r="AB975" i="6"/>
  <c r="AG976" i="6"/>
  <c r="AE976" i="6"/>
  <c r="AF976" i="6" s="1"/>
  <c r="Y977" i="6"/>
  <c r="AH976" i="6"/>
  <c r="AC976" i="6"/>
  <c r="AA976" i="6"/>
  <c r="Z976" i="6" s="1"/>
  <c r="AD976" i="6" l="1"/>
  <c r="AB976" i="6"/>
  <c r="AH977" i="6"/>
  <c r="Y978" i="6"/>
  <c r="AG977" i="6"/>
  <c r="AE977" i="6"/>
  <c r="AF977" i="6" s="1"/>
  <c r="AC977" i="6"/>
  <c r="AA977" i="6"/>
  <c r="Z977" i="6" s="1"/>
  <c r="AD977" i="6" l="1"/>
  <c r="AB977" i="6"/>
  <c r="AH978" i="6"/>
  <c r="AE978" i="6"/>
  <c r="AF978" i="6" s="1"/>
  <c r="AC978" i="6"/>
  <c r="Y979" i="6"/>
  <c r="AG978" i="6"/>
  <c r="AA978" i="6"/>
  <c r="Z978" i="6" s="1"/>
  <c r="Y980" i="6" l="1"/>
  <c r="AG979" i="6"/>
  <c r="AH979" i="6"/>
  <c r="AE979" i="6"/>
  <c r="AF979" i="6" s="1"/>
  <c r="AC979" i="6"/>
  <c r="AA979" i="6"/>
  <c r="Z979" i="6" s="1"/>
  <c r="AD978" i="6"/>
  <c r="AB978" i="6"/>
  <c r="AB979" i="6" l="1"/>
  <c r="AD979" i="6"/>
  <c r="Y981" i="6"/>
  <c r="AH980" i="6"/>
  <c r="AG980" i="6"/>
  <c r="AE980" i="6"/>
  <c r="AF980" i="6" s="1"/>
  <c r="AC980" i="6"/>
  <c r="AA980" i="6"/>
  <c r="Z980" i="6" s="1"/>
  <c r="AD980" i="6" l="1"/>
  <c r="AB980" i="6"/>
  <c r="AG981" i="6"/>
  <c r="Y982" i="6"/>
  <c r="AH981" i="6"/>
  <c r="AE981" i="6"/>
  <c r="AF981" i="6" s="1"/>
  <c r="AC981" i="6"/>
  <c r="AA981" i="6"/>
  <c r="Z981" i="6" s="1"/>
  <c r="AD981" i="6" l="1"/>
  <c r="AB981" i="6"/>
  <c r="Y983" i="6"/>
  <c r="AH982" i="6"/>
  <c r="AG982" i="6"/>
  <c r="AC982" i="6"/>
  <c r="AA982" i="6"/>
  <c r="Z982" i="6" s="1"/>
  <c r="AE982" i="6"/>
  <c r="AF982" i="6" s="1"/>
  <c r="AD982" i="6" l="1"/>
  <c r="AB982" i="6"/>
  <c r="AA983" i="6"/>
  <c r="Z983" i="6" s="1"/>
  <c r="Y984" i="6"/>
  <c r="AH983" i="6"/>
  <c r="AE983" i="6"/>
  <c r="AF983" i="6" s="1"/>
  <c r="AC983" i="6"/>
  <c r="AG983" i="6"/>
  <c r="AB983" i="6" l="1"/>
  <c r="AD983" i="6"/>
  <c r="AH984" i="6"/>
  <c r="AG984" i="6"/>
  <c r="AE984" i="6"/>
  <c r="AF984" i="6" s="1"/>
  <c r="Y985" i="6"/>
  <c r="AA984" i="6"/>
  <c r="Z984" i="6" s="1"/>
  <c r="AC984" i="6"/>
  <c r="AD984" i="6" l="1"/>
  <c r="AB984" i="6"/>
  <c r="AE985" i="6"/>
  <c r="AF985" i="6" s="1"/>
  <c r="AC985" i="6"/>
  <c r="AA985" i="6"/>
  <c r="Z985" i="6" s="1"/>
  <c r="Y986" i="6"/>
  <c r="AH985" i="6"/>
  <c r="AG985" i="6"/>
  <c r="AC986" i="6" l="1"/>
  <c r="AA986" i="6"/>
  <c r="Z986" i="6" s="1"/>
  <c r="Y987" i="6"/>
  <c r="AH986" i="6"/>
  <c r="AG986" i="6"/>
  <c r="AE986" i="6"/>
  <c r="AF986" i="6" s="1"/>
  <c r="AB985" i="6"/>
  <c r="AD985" i="6"/>
  <c r="S45" i="8"/>
  <c r="AH987" i="6" l="1"/>
  <c r="AE987" i="6"/>
  <c r="AF987" i="6" s="1"/>
  <c r="AG987" i="6"/>
  <c r="Y988" i="6"/>
  <c r="AC987" i="6"/>
  <c r="AA987" i="6"/>
  <c r="Z987" i="6" s="1"/>
  <c r="AD986" i="6"/>
  <c r="AB986" i="6"/>
  <c r="AB987" i="6" l="1"/>
  <c r="AD987" i="6"/>
  <c r="Y989" i="6"/>
  <c r="AH988" i="6"/>
  <c r="AG988" i="6"/>
  <c r="AE988" i="6"/>
  <c r="AF988" i="6" s="1"/>
  <c r="AC988" i="6"/>
  <c r="AA988" i="6"/>
  <c r="Z988" i="6" s="1"/>
  <c r="AD988" i="6" l="1"/>
  <c r="AB988" i="6"/>
  <c r="AE989" i="6"/>
  <c r="AF989" i="6" s="1"/>
  <c r="AC989" i="6"/>
  <c r="AA989" i="6"/>
  <c r="Z989" i="6" s="1"/>
  <c r="AH989" i="6"/>
  <c r="Y990" i="6"/>
  <c r="AG989" i="6"/>
  <c r="AH990" i="6" l="1"/>
  <c r="Y991" i="6"/>
  <c r="AG990" i="6"/>
  <c r="AE990" i="6"/>
  <c r="AF990" i="6" s="1"/>
  <c r="AC990" i="6"/>
  <c r="AA990" i="6"/>
  <c r="Z990" i="6" s="1"/>
  <c r="AB989" i="6"/>
  <c r="AD989" i="6"/>
  <c r="AD990" i="6" l="1"/>
  <c r="AB990" i="6"/>
  <c r="Y992" i="6"/>
  <c r="AH991" i="6"/>
  <c r="AG991" i="6"/>
  <c r="AE991" i="6"/>
  <c r="AF991" i="6" s="1"/>
  <c r="AC991" i="6"/>
  <c r="AA991" i="6"/>
  <c r="Z991" i="6" s="1"/>
  <c r="AB991" i="6" l="1"/>
  <c r="AD991" i="6"/>
  <c r="AH992" i="6"/>
  <c r="AG992" i="6"/>
  <c r="AE992" i="6"/>
  <c r="AF992" i="6" s="1"/>
  <c r="Y993" i="6"/>
  <c r="AC992" i="6"/>
  <c r="AA992" i="6"/>
  <c r="Z992" i="6" s="1"/>
  <c r="AD992" i="6" l="1"/>
  <c r="AB992" i="6"/>
  <c r="AH993" i="6"/>
  <c r="AA993" i="6"/>
  <c r="Z993" i="6" s="1"/>
  <c r="AG993" i="6"/>
  <c r="AE993" i="6"/>
  <c r="AF993" i="6" s="1"/>
  <c r="Y994" i="6"/>
  <c r="AC993" i="6"/>
  <c r="AB993" i="6" l="1"/>
  <c r="AD993" i="6"/>
  <c r="AH994" i="6"/>
  <c r="Y995" i="6"/>
  <c r="AE994" i="6"/>
  <c r="AF994" i="6" s="1"/>
  <c r="AG994" i="6"/>
  <c r="AC994" i="6"/>
  <c r="AA994" i="6"/>
  <c r="Z994" i="6" s="1"/>
  <c r="AB994" i="6" l="1"/>
  <c r="AD994" i="6"/>
  <c r="Y996" i="6"/>
  <c r="AH995" i="6"/>
  <c r="AG995" i="6"/>
  <c r="AE995" i="6"/>
  <c r="AF995" i="6" s="1"/>
  <c r="AC995" i="6"/>
  <c r="AA995" i="6"/>
  <c r="Z995" i="6" s="1"/>
  <c r="AD995" i="6" l="1"/>
  <c r="AB995" i="6"/>
  <c r="AH996" i="6"/>
  <c r="AA996" i="6"/>
  <c r="Z996" i="6" s="1"/>
  <c r="Y997" i="6"/>
  <c r="AG996" i="6"/>
  <c r="AE996" i="6"/>
  <c r="AF996" i="6" s="1"/>
  <c r="AC996" i="6"/>
  <c r="AD996" i="6" l="1"/>
  <c r="AB996" i="6"/>
  <c r="AH997" i="6"/>
  <c r="AA997" i="6"/>
  <c r="Z997" i="6" s="1"/>
  <c r="Y998" i="6"/>
  <c r="AG997" i="6"/>
  <c r="AE997" i="6"/>
  <c r="AF997" i="6" s="1"/>
  <c r="AC997" i="6"/>
  <c r="AD997" i="6" l="1"/>
  <c r="AB997" i="6"/>
  <c r="AH998" i="6"/>
  <c r="Y999" i="6"/>
  <c r="AE998" i="6"/>
  <c r="AF998" i="6" s="1"/>
  <c r="AC998" i="6"/>
  <c r="AG998" i="6"/>
  <c r="AA998" i="6"/>
  <c r="Z998" i="6" s="1"/>
  <c r="S44" i="8"/>
  <c r="AD998" i="6" l="1"/>
  <c r="AB998" i="6"/>
  <c r="AH999" i="6"/>
  <c r="AC999" i="6"/>
  <c r="AA999" i="6"/>
  <c r="Z999" i="6" s="1"/>
  <c r="Y1000" i="6"/>
  <c r="AG999" i="6"/>
  <c r="AE999" i="6"/>
  <c r="AF999" i="6" s="1"/>
  <c r="Y1001" i="6" l="1"/>
  <c r="AH1000" i="6"/>
  <c r="AG1000" i="6"/>
  <c r="AE1000" i="6"/>
  <c r="AF1000" i="6" s="1"/>
  <c r="AC1000" i="6"/>
  <c r="AA1000" i="6"/>
  <c r="Z1000" i="6" s="1"/>
  <c r="AB999" i="6"/>
  <c r="AD999" i="6"/>
  <c r="AD1000" i="6" l="1"/>
  <c r="AB1000" i="6"/>
  <c r="AC1001" i="6"/>
  <c r="AA1001" i="6"/>
  <c r="Z1001" i="6" s="1"/>
  <c r="AH1001" i="6"/>
  <c r="Y1002" i="6"/>
  <c r="AG1001" i="6"/>
  <c r="AE1001" i="6"/>
  <c r="AF1001" i="6" s="1"/>
  <c r="AH1002" i="6" l="1"/>
  <c r="AE1002" i="6"/>
  <c r="AF1002" i="6" s="1"/>
  <c r="AC1002" i="6"/>
  <c r="Y1003" i="6"/>
  <c r="AG1002" i="6"/>
  <c r="AA1002" i="6"/>
  <c r="Z1002" i="6" s="1"/>
  <c r="AB1001" i="6"/>
  <c r="AD1001" i="6"/>
  <c r="AH1003" i="6" l="1"/>
  <c r="Y1004" i="6"/>
  <c r="AG1003" i="6"/>
  <c r="AE1003" i="6"/>
  <c r="AF1003" i="6" s="1"/>
  <c r="AC1003" i="6"/>
  <c r="AA1003" i="6"/>
  <c r="Z1003" i="6" s="1"/>
  <c r="AD1002" i="6"/>
  <c r="AB1002" i="6"/>
  <c r="AB1003" i="6" l="1"/>
  <c r="AD1003" i="6"/>
  <c r="AC1004" i="6"/>
  <c r="Y1005" i="6"/>
  <c r="AH1004" i="6"/>
  <c r="AG1004" i="6"/>
  <c r="AE1004" i="6"/>
  <c r="AF1004" i="6" s="1"/>
  <c r="AA1004" i="6"/>
  <c r="Z1004" i="6" s="1"/>
  <c r="AH1005" i="6" l="1"/>
  <c r="Y1006" i="6"/>
  <c r="AG1005" i="6"/>
  <c r="AE1005" i="6"/>
  <c r="AF1005" i="6" s="1"/>
  <c r="AA1005" i="6"/>
  <c r="Z1005" i="6" s="1"/>
  <c r="AC1005" i="6"/>
  <c r="AD1004" i="6"/>
  <c r="AB1004" i="6"/>
  <c r="AB1005" i="6" l="1"/>
  <c r="AD1005" i="6"/>
  <c r="AH1006" i="6"/>
  <c r="Y1007" i="6"/>
  <c r="AG1006" i="6"/>
  <c r="AA1006" i="6"/>
  <c r="Z1006" i="6" s="1"/>
  <c r="AE1006" i="6"/>
  <c r="AF1006" i="6" s="1"/>
  <c r="AC1006" i="6"/>
  <c r="AB1006" i="6" l="1"/>
  <c r="AD1006" i="6"/>
  <c r="AH1007" i="6"/>
  <c r="AA1007" i="6"/>
  <c r="Z1007" i="6" s="1"/>
  <c r="Y1008" i="6"/>
  <c r="AG1007" i="6"/>
  <c r="AC1007" i="6"/>
  <c r="AE1007" i="6"/>
  <c r="AF1007" i="6" s="1"/>
  <c r="AB1007" i="6" l="1"/>
  <c r="AD1007" i="6"/>
  <c r="AH1008" i="6"/>
  <c r="Y1009" i="6"/>
  <c r="AG1008" i="6"/>
  <c r="AE1008" i="6"/>
  <c r="AF1008" i="6" s="1"/>
  <c r="AC1008" i="6"/>
  <c r="AA1008" i="6"/>
  <c r="Z1008" i="6" s="1"/>
  <c r="AD1008" i="6" l="1"/>
  <c r="AB1008" i="6"/>
  <c r="AA1009" i="6"/>
  <c r="Z1009" i="6" s="1"/>
  <c r="AE1009" i="6"/>
  <c r="AF1009" i="6" s="1"/>
  <c r="AC1009" i="6"/>
  <c r="Y1010" i="6"/>
  <c r="AH1009" i="6"/>
  <c r="AG1009" i="6"/>
  <c r="AH1010" i="6" l="1"/>
  <c r="Y1011" i="6"/>
  <c r="AG1010" i="6"/>
  <c r="AA1010" i="6"/>
  <c r="Z1010" i="6" s="1"/>
  <c r="AE1010" i="6"/>
  <c r="AF1010" i="6" s="1"/>
  <c r="AC1010" i="6"/>
  <c r="AD1009" i="6"/>
  <c r="AB1009" i="6"/>
  <c r="S43" i="8"/>
  <c r="AD1010" i="6" l="1"/>
  <c r="AB1010" i="6"/>
  <c r="AH1011" i="6"/>
  <c r="Y1012" i="6"/>
  <c r="AG1011" i="6"/>
  <c r="AC1011" i="6"/>
  <c r="AA1011" i="6"/>
  <c r="Z1011" i="6" s="1"/>
  <c r="AE1011" i="6"/>
  <c r="AF1011" i="6" s="1"/>
  <c r="AD1011" i="6" l="1"/>
  <c r="AB1011" i="6"/>
  <c r="AH1012" i="6"/>
  <c r="AC1012" i="6"/>
  <c r="AA1012" i="6"/>
  <c r="Z1012" i="6" s="1"/>
  <c r="Y1013" i="6"/>
  <c r="AG1012" i="6"/>
  <c r="AE1012" i="6"/>
  <c r="AF1012" i="6" s="1"/>
  <c r="AE1013" i="6" l="1"/>
  <c r="AF1013" i="6" s="1"/>
  <c r="AC1013" i="6"/>
  <c r="AA1013" i="6"/>
  <c r="Z1013" i="6" s="1"/>
  <c r="Y1014" i="6"/>
  <c r="AH1013" i="6"/>
  <c r="AG1013" i="6"/>
  <c r="AD1012" i="6"/>
  <c r="AB1012" i="6"/>
  <c r="AH1014" i="6" l="1"/>
  <c r="Y1015" i="6"/>
  <c r="AA1014" i="6"/>
  <c r="Z1014" i="6" s="1"/>
  <c r="AG1014" i="6"/>
  <c r="AE1014" i="6"/>
  <c r="AF1014" i="6" s="1"/>
  <c r="AC1014" i="6"/>
  <c r="AD1013" i="6"/>
  <c r="AB1013" i="6"/>
  <c r="AB1014" i="6" l="1"/>
  <c r="AD1014" i="6"/>
  <c r="AG1015" i="6"/>
  <c r="AE1015" i="6"/>
  <c r="AF1015" i="6" s="1"/>
  <c r="Y1016" i="6"/>
  <c r="AH1015" i="6"/>
  <c r="AC1015" i="6"/>
  <c r="AA1015" i="6"/>
  <c r="Z1015" i="6" s="1"/>
  <c r="AB1015" i="6" l="1"/>
  <c r="AD1015" i="6"/>
  <c r="AH1016" i="6"/>
  <c r="Y1017" i="6"/>
  <c r="AG1016" i="6"/>
  <c r="AE1016" i="6"/>
  <c r="AF1016" i="6" s="1"/>
  <c r="AC1016" i="6"/>
  <c r="AA1016" i="6"/>
  <c r="Z1016" i="6" s="1"/>
  <c r="AD1016" i="6" l="1"/>
  <c r="AB1016" i="6"/>
  <c r="AH1017" i="6"/>
  <c r="AG1017" i="6"/>
  <c r="AE1017" i="6"/>
  <c r="AF1017" i="6" s="1"/>
  <c r="AC1017" i="6"/>
  <c r="AA1017" i="6"/>
  <c r="Z1017" i="6" s="1"/>
  <c r="Y1018" i="6"/>
  <c r="Y1019" i="6" l="1"/>
  <c r="AH1018" i="6"/>
  <c r="AG1018" i="6"/>
  <c r="AC1018" i="6"/>
  <c r="AA1018" i="6"/>
  <c r="Z1018" i="6" s="1"/>
  <c r="AE1018" i="6"/>
  <c r="AF1018" i="6" s="1"/>
  <c r="AD1017" i="6"/>
  <c r="AB1017" i="6"/>
  <c r="AD1018" i="6" l="1"/>
  <c r="AB1018" i="6"/>
  <c r="Y1020" i="6"/>
  <c r="AG1019" i="6"/>
  <c r="AE1019" i="6"/>
  <c r="AF1019" i="6" s="1"/>
  <c r="AC1019" i="6"/>
  <c r="AH1019" i="6"/>
  <c r="AA1019" i="6"/>
  <c r="Z1019" i="6" s="1"/>
  <c r="AD1019" i="6" l="1"/>
  <c r="AB1019" i="6"/>
  <c r="AH1020" i="6"/>
  <c r="Y1021" i="6"/>
  <c r="AG1020" i="6"/>
  <c r="AE1020" i="6"/>
  <c r="AF1020" i="6" s="1"/>
  <c r="AC1020" i="6"/>
  <c r="AA1020" i="6"/>
  <c r="Z1020" i="6" s="1"/>
  <c r="AD1020" i="6" l="1"/>
  <c r="AB1020" i="6"/>
  <c r="Y1022" i="6"/>
  <c r="AH1021" i="6"/>
  <c r="AG1021" i="6"/>
  <c r="AE1021" i="6"/>
  <c r="AF1021" i="6" s="1"/>
  <c r="AC1021" i="6"/>
  <c r="AA1021" i="6"/>
  <c r="Z1021" i="6" s="1"/>
  <c r="AB1021" i="6" l="1"/>
  <c r="AD1021" i="6"/>
  <c r="AA1022" i="6"/>
  <c r="Z1022" i="6" s="1"/>
  <c r="AE1022" i="6"/>
  <c r="AF1022" i="6" s="1"/>
  <c r="Y1023" i="6"/>
  <c r="AH1022" i="6"/>
  <c r="AG1022" i="6"/>
  <c r="AC1022" i="6"/>
  <c r="S42" i="8"/>
  <c r="AD1022" i="6" l="1"/>
  <c r="AB1022" i="6"/>
  <c r="Y1024" i="6"/>
  <c r="AG1023" i="6"/>
  <c r="AH1023" i="6"/>
  <c r="AE1023" i="6"/>
  <c r="AF1023" i="6" s="1"/>
  <c r="AC1023" i="6"/>
  <c r="AA1023" i="6"/>
  <c r="Z1023" i="6" s="1"/>
  <c r="AB1023" i="6" l="1"/>
  <c r="AD1023" i="6"/>
  <c r="Y1025" i="6"/>
  <c r="AH1024" i="6"/>
  <c r="AG1024" i="6"/>
  <c r="AE1024" i="6"/>
  <c r="AF1024" i="6" s="1"/>
  <c r="AA1024" i="6"/>
  <c r="Z1024" i="6" s="1"/>
  <c r="AC1024" i="6"/>
  <c r="AB1024" i="6" l="1"/>
  <c r="AD1024" i="6"/>
  <c r="AC1025" i="6"/>
  <c r="AA1025" i="6"/>
  <c r="Z1025" i="6" s="1"/>
  <c r="Y1026" i="6"/>
  <c r="AH1025" i="6"/>
  <c r="AG1025" i="6"/>
  <c r="AE1025" i="6"/>
  <c r="AF1025" i="6" s="1"/>
  <c r="AH1026" i="6" l="1"/>
  <c r="AG1026" i="6"/>
  <c r="AE1026" i="6"/>
  <c r="AF1026" i="6" s="1"/>
  <c r="AC1026" i="6"/>
  <c r="Y1027" i="6"/>
  <c r="AA1026" i="6"/>
  <c r="Z1026" i="6" s="1"/>
  <c r="AB1025" i="6"/>
  <c r="AD1025" i="6"/>
  <c r="Y1028" i="6" l="1"/>
  <c r="AH1027" i="6"/>
  <c r="AG1027" i="6"/>
  <c r="AE1027" i="6"/>
  <c r="AF1027" i="6" s="1"/>
  <c r="AC1027" i="6"/>
  <c r="AA1027" i="6"/>
  <c r="Z1027" i="6" s="1"/>
  <c r="AD1026" i="6"/>
  <c r="AB1026" i="6"/>
  <c r="AD1027" i="6" l="1"/>
  <c r="AB1027" i="6"/>
  <c r="AE1028" i="6"/>
  <c r="AF1028" i="6" s="1"/>
  <c r="AC1028" i="6"/>
  <c r="Y1029" i="6"/>
  <c r="AH1028" i="6"/>
  <c r="AG1028" i="6"/>
  <c r="AA1028" i="6"/>
  <c r="Z1028" i="6" s="1"/>
  <c r="AH1029" i="6" l="1"/>
  <c r="AC1029" i="6"/>
  <c r="Y1030" i="6"/>
  <c r="AG1029" i="6"/>
  <c r="AE1029" i="6"/>
  <c r="AF1029" i="6" s="1"/>
  <c r="AA1029" i="6"/>
  <c r="Z1029" i="6" s="1"/>
  <c r="AD1028" i="6"/>
  <c r="AB1028" i="6"/>
  <c r="AC1030" i="6" l="1"/>
  <c r="AA1030" i="6"/>
  <c r="Z1030" i="6" s="1"/>
  <c r="Y1031" i="6"/>
  <c r="AH1030" i="6"/>
  <c r="AG1030" i="6"/>
  <c r="AE1030" i="6"/>
  <c r="AF1030" i="6" s="1"/>
  <c r="AB1029" i="6"/>
  <c r="AD1029" i="6"/>
  <c r="AG1031" i="6" l="1"/>
  <c r="AE1031" i="6"/>
  <c r="AF1031" i="6" s="1"/>
  <c r="Y1032" i="6"/>
  <c r="AH1031" i="6"/>
  <c r="AC1031" i="6"/>
  <c r="AA1031" i="6"/>
  <c r="Z1031" i="6" s="1"/>
  <c r="AD1030" i="6"/>
  <c r="AB1030" i="6"/>
  <c r="AD1031" i="6" l="1"/>
  <c r="AB1031" i="6"/>
  <c r="AH1032" i="6"/>
  <c r="Y1033" i="6"/>
  <c r="AG1032" i="6"/>
  <c r="AC1032" i="6"/>
  <c r="AA1032" i="6"/>
  <c r="Z1032" i="6" s="1"/>
  <c r="AE1032" i="6"/>
  <c r="AF1032" i="6" s="1"/>
  <c r="AD1032" i="6" l="1"/>
  <c r="AB1032" i="6"/>
  <c r="AH1033" i="6"/>
  <c r="Y1034" i="6"/>
  <c r="AG1033" i="6"/>
  <c r="AE1033" i="6"/>
  <c r="AF1033" i="6" s="1"/>
  <c r="AC1033" i="6"/>
  <c r="AA1033" i="6"/>
  <c r="Z1033" i="6" s="1"/>
  <c r="AB1033" i="6" l="1"/>
  <c r="AD1033" i="6"/>
  <c r="AH1034" i="6"/>
  <c r="Y1035" i="6"/>
  <c r="AG1034" i="6"/>
  <c r="AC1034" i="6"/>
  <c r="AA1034" i="6"/>
  <c r="Z1034" i="6" s="1"/>
  <c r="AE1034" i="6"/>
  <c r="AF1034" i="6" s="1"/>
  <c r="S41" i="8"/>
  <c r="AD1034" i="6" l="1"/>
  <c r="AB1034" i="6"/>
  <c r="AH1035" i="6"/>
  <c r="Y1036" i="6"/>
  <c r="AC1035" i="6"/>
  <c r="AG1035" i="6"/>
  <c r="AE1035" i="6"/>
  <c r="AF1035" i="6" s="1"/>
  <c r="AA1035" i="6"/>
  <c r="Z1035" i="6" s="1"/>
  <c r="AB1035" i="6" l="1"/>
  <c r="AD1035" i="6"/>
  <c r="AH1036" i="6"/>
  <c r="AG1036" i="6"/>
  <c r="AE1036" i="6"/>
  <c r="AF1036" i="6" s="1"/>
  <c r="AC1036" i="6"/>
  <c r="AA1036" i="6"/>
  <c r="Z1036" i="6" s="1"/>
  <c r="Y1037" i="6"/>
  <c r="Y1038" i="6" l="1"/>
  <c r="AH1037" i="6"/>
  <c r="AG1037" i="6"/>
  <c r="AE1037" i="6"/>
  <c r="AF1037" i="6" s="1"/>
  <c r="AC1037" i="6"/>
  <c r="AA1037" i="6"/>
  <c r="Z1037" i="6" s="1"/>
  <c r="AD1036" i="6"/>
  <c r="AB1036" i="6"/>
  <c r="AD1037" i="6" l="1"/>
  <c r="AB1037" i="6"/>
  <c r="AH1038" i="6"/>
  <c r="AC1038" i="6"/>
  <c r="AA1038" i="6"/>
  <c r="Z1038" i="6" s="1"/>
  <c r="Y1039" i="6"/>
  <c r="AG1038" i="6"/>
  <c r="AE1038" i="6"/>
  <c r="AF1038" i="6" s="1"/>
  <c r="AG1039" i="6" l="1"/>
  <c r="AE1039" i="6"/>
  <c r="AF1039" i="6" s="1"/>
  <c r="Y1040" i="6"/>
  <c r="AH1039" i="6"/>
  <c r="AC1039" i="6"/>
  <c r="AA1039" i="6"/>
  <c r="Z1039" i="6" s="1"/>
  <c r="AB1038" i="6"/>
  <c r="AD1038" i="6"/>
  <c r="AB1039" i="6" l="1"/>
  <c r="AD1039" i="6"/>
  <c r="AH1040" i="6"/>
  <c r="Y1041" i="6"/>
  <c r="AG1040" i="6"/>
  <c r="AE1040" i="6"/>
  <c r="AF1040" i="6" s="1"/>
  <c r="AC1040" i="6"/>
  <c r="AA1040" i="6"/>
  <c r="Z1040" i="6" s="1"/>
  <c r="AD1040" i="6" l="1"/>
  <c r="AB1040" i="6"/>
  <c r="AH1041" i="6"/>
  <c r="AE1041" i="6"/>
  <c r="AF1041" i="6" s="1"/>
  <c r="AC1041" i="6"/>
  <c r="Y1042" i="6"/>
  <c r="AG1041" i="6"/>
  <c r="AA1041" i="6"/>
  <c r="Z1041" i="6" s="1"/>
  <c r="AH1042" i="6" l="1"/>
  <c r="Y1043" i="6"/>
  <c r="AG1042" i="6"/>
  <c r="AE1042" i="6"/>
  <c r="AF1042" i="6" s="1"/>
  <c r="AC1042" i="6"/>
  <c r="AA1042" i="6"/>
  <c r="Z1042" i="6" s="1"/>
  <c r="AD1041" i="6"/>
  <c r="AB1041" i="6"/>
  <c r="AD1042" i="6" l="1"/>
  <c r="AB1042" i="6"/>
  <c r="AE1043" i="6"/>
  <c r="AF1043" i="6" s="1"/>
  <c r="AC1043" i="6"/>
  <c r="AA1043" i="6"/>
  <c r="Z1043" i="6" s="1"/>
  <c r="Y1044" i="6"/>
  <c r="AH1043" i="6"/>
  <c r="AG1043" i="6"/>
  <c r="AH1044" i="6" l="1"/>
  <c r="AG1044" i="6"/>
  <c r="AE1044" i="6"/>
  <c r="AF1044" i="6" s="1"/>
  <c r="Y1045" i="6"/>
  <c r="AC1044" i="6"/>
  <c r="AA1044" i="6"/>
  <c r="Z1044" i="6" s="1"/>
  <c r="AB1043" i="6"/>
  <c r="AD1043" i="6"/>
  <c r="AD1044" i="6" l="1"/>
  <c r="AB1044" i="6"/>
  <c r="Y1046" i="6"/>
  <c r="AH1045" i="6"/>
  <c r="AG1045" i="6"/>
  <c r="AE1045" i="6"/>
  <c r="AF1045" i="6" s="1"/>
  <c r="AC1045" i="6"/>
  <c r="AA1045" i="6"/>
  <c r="Z1045" i="6" s="1"/>
  <c r="AD1045" i="6" l="1"/>
  <c r="AB1045" i="6"/>
  <c r="AH1046" i="6"/>
  <c r="AA1046" i="6"/>
  <c r="Z1046" i="6" s="1"/>
  <c r="Y1047" i="6"/>
  <c r="AG1046" i="6"/>
  <c r="AE1046" i="6"/>
  <c r="AF1046" i="6" s="1"/>
  <c r="AC1046" i="6"/>
  <c r="S40" i="8"/>
  <c r="AD1046" i="6" l="1"/>
  <c r="AB1046" i="6"/>
  <c r="AH1047" i="6"/>
  <c r="Y1048" i="6"/>
  <c r="AG1047" i="6"/>
  <c r="AC1047" i="6"/>
  <c r="AA1047" i="6"/>
  <c r="Z1047" i="6" s="1"/>
  <c r="AE1047" i="6"/>
  <c r="AF1047" i="6" s="1"/>
  <c r="AD1047" i="6" l="1"/>
  <c r="AB1047" i="6"/>
  <c r="AH1048" i="6"/>
  <c r="Y1049" i="6"/>
  <c r="AA1048" i="6"/>
  <c r="Z1048" i="6" s="1"/>
  <c r="AE1048" i="6"/>
  <c r="AF1048" i="6" s="1"/>
  <c r="AC1048" i="6"/>
  <c r="AG1048" i="6"/>
  <c r="AD1048" i="6" l="1"/>
  <c r="AB1048" i="6"/>
  <c r="AH1049" i="6"/>
  <c r="Y1050" i="6"/>
  <c r="AG1049" i="6"/>
  <c r="AE1049" i="6"/>
  <c r="AF1049" i="6" s="1"/>
  <c r="AC1049" i="6"/>
  <c r="AA1049" i="6"/>
  <c r="Z1049" i="6" s="1"/>
  <c r="AB1049" i="6" l="1"/>
  <c r="AD1049" i="6"/>
  <c r="AH1050" i="6"/>
  <c r="Y1051" i="6"/>
  <c r="AG1050" i="6"/>
  <c r="AE1050" i="6"/>
  <c r="AF1050" i="6" s="1"/>
  <c r="AC1050" i="6"/>
  <c r="AA1050" i="6"/>
  <c r="Z1050" i="6" s="1"/>
  <c r="AD1050" i="6" l="1"/>
  <c r="AB1050" i="6"/>
  <c r="AC1051" i="6"/>
  <c r="AA1051" i="6"/>
  <c r="Z1051" i="6" s="1"/>
  <c r="Y1052" i="6"/>
  <c r="AH1051" i="6"/>
  <c r="AG1051" i="6"/>
  <c r="AE1051" i="6"/>
  <c r="AF1051" i="6" s="1"/>
  <c r="AH1052" i="6" l="1"/>
  <c r="AG1052" i="6"/>
  <c r="AE1052" i="6"/>
  <c r="AF1052" i="6" s="1"/>
  <c r="Y1053" i="6"/>
  <c r="AC1052" i="6"/>
  <c r="AA1052" i="6"/>
  <c r="Z1052" i="6" s="1"/>
  <c r="AB1051" i="6"/>
  <c r="AD1051" i="6"/>
  <c r="AB1052" i="6" l="1"/>
  <c r="AD1052" i="6"/>
  <c r="AH1053" i="6"/>
  <c r="Y1054" i="6"/>
  <c r="AG1053" i="6"/>
  <c r="AE1053" i="6"/>
  <c r="AF1053" i="6" s="1"/>
  <c r="AC1053" i="6"/>
  <c r="AA1053" i="6"/>
  <c r="Z1053" i="6" s="1"/>
  <c r="AB1053" i="6" l="1"/>
  <c r="AD1053" i="6"/>
  <c r="AH1054" i="6"/>
  <c r="AE1054" i="6"/>
  <c r="AF1054" i="6" s="1"/>
  <c r="AC1054" i="6"/>
  <c r="Y1055" i="6"/>
  <c r="AG1054" i="6"/>
  <c r="AA1054" i="6"/>
  <c r="Z1054" i="6" s="1"/>
  <c r="AH1055" i="6" l="1"/>
  <c r="Y1056" i="6"/>
  <c r="AG1055" i="6"/>
  <c r="AE1055" i="6"/>
  <c r="AF1055" i="6" s="1"/>
  <c r="AC1055" i="6"/>
  <c r="AA1055" i="6"/>
  <c r="Z1055" i="6" s="1"/>
  <c r="AD1054" i="6"/>
  <c r="AB1054" i="6"/>
  <c r="AD1055" i="6" l="1"/>
  <c r="AB1055" i="6"/>
  <c r="AH1056" i="6"/>
  <c r="AA1056" i="6"/>
  <c r="Z1056" i="6" s="1"/>
  <c r="Y1057" i="6"/>
  <c r="AG1056" i="6"/>
  <c r="AE1056" i="6"/>
  <c r="AF1056" i="6" s="1"/>
  <c r="AC1056" i="6"/>
  <c r="AD1056" i="6" l="1"/>
  <c r="AB1056" i="6"/>
  <c r="Y1058" i="6"/>
  <c r="AH1057" i="6"/>
  <c r="AG1057" i="6"/>
  <c r="AE1057" i="6"/>
  <c r="AF1057" i="6" s="1"/>
  <c r="AA1057" i="6"/>
  <c r="Z1057" i="6" s="1"/>
  <c r="AC1057" i="6"/>
  <c r="AB1057" i="6" l="1"/>
  <c r="AD1057" i="6"/>
  <c r="Y1059" i="6"/>
  <c r="AH1058" i="6"/>
  <c r="AG1058" i="6"/>
  <c r="AE1058" i="6"/>
  <c r="AF1058" i="6" s="1"/>
  <c r="AC1058" i="6"/>
  <c r="AA1058" i="6"/>
  <c r="Z1058" i="6" s="1"/>
  <c r="S39" i="8"/>
  <c r="AD1058" i="6" l="1"/>
  <c r="AB1058" i="6"/>
  <c r="AH1059" i="6"/>
  <c r="Y1060" i="6"/>
  <c r="AG1059" i="6"/>
  <c r="AE1059" i="6"/>
  <c r="AF1059" i="6" s="1"/>
  <c r="AC1059" i="6"/>
  <c r="AA1059" i="6"/>
  <c r="Z1059" i="6" s="1"/>
  <c r="AD1059" i="6" l="1"/>
  <c r="AB1059" i="6"/>
  <c r="AA1060" i="6"/>
  <c r="Z1060" i="6" s="1"/>
  <c r="Y1061" i="6"/>
  <c r="AE1060" i="6"/>
  <c r="AF1060" i="6" s="1"/>
  <c r="AC1060" i="6"/>
  <c r="AH1060" i="6"/>
  <c r="AG1060" i="6"/>
  <c r="AD1060" i="6" l="1"/>
  <c r="AB1060" i="6"/>
  <c r="AH1061" i="6"/>
  <c r="AA1061" i="6"/>
  <c r="Z1061" i="6" s="1"/>
  <c r="Y1062" i="6"/>
  <c r="AG1061" i="6"/>
  <c r="AE1061" i="6"/>
  <c r="AF1061" i="6" s="1"/>
  <c r="AC1061" i="6"/>
  <c r="AD1061" i="6" l="1"/>
  <c r="AB1061" i="6"/>
  <c r="AH1062" i="6"/>
  <c r="Y1063" i="6"/>
  <c r="AG1062" i="6"/>
  <c r="AE1062" i="6"/>
  <c r="AF1062" i="6" s="1"/>
  <c r="AC1062" i="6"/>
  <c r="AA1062" i="6"/>
  <c r="Z1062" i="6" s="1"/>
  <c r="AA1063" i="6" l="1"/>
  <c r="Z1063" i="6" s="1"/>
  <c r="Y1064" i="6"/>
  <c r="AH1063" i="6"/>
  <c r="AG1063" i="6"/>
  <c r="AE1063" i="6"/>
  <c r="AF1063" i="6" s="1"/>
  <c r="AC1063" i="6"/>
  <c r="AB1062" i="6"/>
  <c r="AD1062" i="6"/>
  <c r="AB1063" i="6" l="1"/>
  <c r="AD1063" i="6"/>
  <c r="AC1064" i="6"/>
  <c r="AA1064" i="6"/>
  <c r="Z1064" i="6" s="1"/>
  <c r="AH1064" i="6"/>
  <c r="AG1064" i="6"/>
  <c r="AE1064" i="6"/>
  <c r="AF1064" i="6" s="1"/>
  <c r="Y1065" i="6"/>
  <c r="Y1066" i="6" l="1"/>
  <c r="AG1065" i="6"/>
  <c r="AE1065" i="6"/>
  <c r="AF1065" i="6" s="1"/>
  <c r="AC1065" i="6"/>
  <c r="AH1065" i="6"/>
  <c r="AA1065" i="6"/>
  <c r="Z1065" i="6" s="1"/>
  <c r="AB1064" i="6"/>
  <c r="AD1064" i="6"/>
  <c r="AD1065" i="6" l="1"/>
  <c r="AB1065" i="6"/>
  <c r="AA1066" i="6"/>
  <c r="Z1066" i="6" s="1"/>
  <c r="Y1067" i="6"/>
  <c r="AH1066" i="6"/>
  <c r="AG1066" i="6"/>
  <c r="AE1066" i="6"/>
  <c r="AF1066" i="6" s="1"/>
  <c r="AC1066" i="6"/>
  <c r="AB1066" i="6" l="1"/>
  <c r="AD1066" i="6"/>
  <c r="AE1067" i="6"/>
  <c r="AF1067" i="6" s="1"/>
  <c r="AC1067" i="6"/>
  <c r="Y1068" i="6"/>
  <c r="AH1067" i="6"/>
  <c r="AG1067" i="6"/>
  <c r="AA1067" i="6"/>
  <c r="Z1067" i="6" s="1"/>
  <c r="AH1068" i="6" l="1"/>
  <c r="AG1068" i="6"/>
  <c r="Y1069" i="6"/>
  <c r="AE1068" i="6"/>
  <c r="AF1068" i="6" s="1"/>
  <c r="AC1068" i="6"/>
  <c r="AA1068" i="6"/>
  <c r="Z1068" i="6" s="1"/>
  <c r="AD1067" i="6"/>
  <c r="AB1067" i="6"/>
  <c r="AD1068" i="6" l="1"/>
  <c r="AB1068" i="6"/>
  <c r="AC1069" i="6"/>
  <c r="AE1069" i="6"/>
  <c r="AF1069" i="6" s="1"/>
  <c r="AA1069" i="6"/>
  <c r="Z1069" i="6" s="1"/>
  <c r="Y1070" i="6"/>
  <c r="AH1069" i="6"/>
  <c r="AG1069" i="6"/>
  <c r="AG1070" i="6" l="1"/>
  <c r="AE1070" i="6"/>
  <c r="AF1070" i="6" s="1"/>
  <c r="Y1071" i="6"/>
  <c r="AH1070" i="6"/>
  <c r="AA1070" i="6"/>
  <c r="Z1070" i="6" s="1"/>
  <c r="AC1070" i="6"/>
  <c r="AB1069" i="6"/>
  <c r="AD1069" i="6"/>
  <c r="S38" i="8"/>
  <c r="AD1070" i="6" l="1"/>
  <c r="AB1070" i="6"/>
  <c r="AE1071" i="6"/>
  <c r="AF1071" i="6" s="1"/>
  <c r="AA1071" i="6"/>
  <c r="Z1071" i="6" s="1"/>
  <c r="Y1072" i="6"/>
  <c r="AH1071" i="6"/>
  <c r="AG1071" i="6"/>
  <c r="AC1071" i="6"/>
  <c r="AB1071" i="6" l="1"/>
  <c r="AD1071" i="6"/>
  <c r="AH1072" i="6"/>
  <c r="AE1072" i="6"/>
  <c r="AF1072" i="6" s="1"/>
  <c r="AA1072" i="6"/>
  <c r="Z1072" i="6" s="1"/>
  <c r="Y1073" i="6"/>
  <c r="AG1072" i="6"/>
  <c r="AC1072" i="6"/>
  <c r="AB1072" i="6" l="1"/>
  <c r="AD1072" i="6"/>
  <c r="Y1074" i="6"/>
  <c r="AH1073" i="6"/>
  <c r="AG1073" i="6"/>
  <c r="AE1073" i="6"/>
  <c r="AF1073" i="6" s="1"/>
  <c r="AC1073" i="6"/>
  <c r="AA1073" i="6"/>
  <c r="Z1073" i="6" s="1"/>
  <c r="Y1075" i="6" l="1"/>
  <c r="AH1074" i="6"/>
  <c r="AG1074" i="6"/>
  <c r="AA1074" i="6"/>
  <c r="Z1074" i="6" s="1"/>
  <c r="AE1074" i="6"/>
  <c r="AF1074" i="6" s="1"/>
  <c r="AC1074" i="6"/>
  <c r="AD1073" i="6"/>
  <c r="AB1073" i="6"/>
  <c r="AD1074" i="6" l="1"/>
  <c r="AB1074" i="6"/>
  <c r="Y1076" i="6"/>
  <c r="AH1075" i="6"/>
  <c r="AE1075" i="6"/>
  <c r="AF1075" i="6" s="1"/>
  <c r="AC1075" i="6"/>
  <c r="AG1075" i="6"/>
  <c r="AA1075" i="6"/>
  <c r="Z1075" i="6" s="1"/>
  <c r="AH1076" i="6" l="1"/>
  <c r="AA1076" i="6"/>
  <c r="Z1076" i="6" s="1"/>
  <c r="Y1077" i="6"/>
  <c r="AG1076" i="6"/>
  <c r="AE1076" i="6"/>
  <c r="AF1076" i="6" s="1"/>
  <c r="AC1076" i="6"/>
  <c r="AB1075" i="6"/>
  <c r="AD1075" i="6"/>
  <c r="AD1076" i="6" l="1"/>
  <c r="AB1076" i="6"/>
  <c r="Y1078" i="6"/>
  <c r="AE1077" i="6"/>
  <c r="AF1077" i="6" s="1"/>
  <c r="AC1077" i="6"/>
  <c r="AH1077" i="6"/>
  <c r="AG1077" i="6"/>
  <c r="AA1077" i="6"/>
  <c r="Z1077" i="6" s="1"/>
  <c r="AB1077" i="6" l="1"/>
  <c r="AD1077" i="6"/>
  <c r="AC1078" i="6"/>
  <c r="AA1078" i="6"/>
  <c r="Z1078" i="6" s="1"/>
  <c r="AH1078" i="6"/>
  <c r="Y1079" i="6"/>
  <c r="AG1078" i="6"/>
  <c r="AE1078" i="6"/>
  <c r="AF1078" i="6" s="1"/>
  <c r="AA1079" i="6" l="1"/>
  <c r="Z1079" i="6" s="1"/>
  <c r="AH1079" i="6"/>
  <c r="AG1079" i="6"/>
  <c r="AE1079" i="6"/>
  <c r="AF1079" i="6" s="1"/>
  <c r="AC1079" i="6"/>
  <c r="Y1080" i="6"/>
  <c r="AB1078" i="6"/>
  <c r="AD1078" i="6"/>
  <c r="AA1080" i="6" l="1"/>
  <c r="Z1080" i="6" s="1"/>
  <c r="AH1080" i="6"/>
  <c r="AG1080" i="6"/>
  <c r="Y1081" i="6"/>
  <c r="AE1080" i="6"/>
  <c r="AF1080" i="6" s="1"/>
  <c r="AC1080" i="6"/>
  <c r="AD1079" i="6"/>
  <c r="AB1079" i="6"/>
  <c r="AD1080" i="6" l="1"/>
  <c r="AB1080" i="6"/>
  <c r="AG1081" i="6"/>
  <c r="AE1081" i="6"/>
  <c r="AF1081" i="6" s="1"/>
  <c r="Y1082" i="6"/>
  <c r="AH1081" i="6"/>
  <c r="AC1081" i="6"/>
  <c r="AA1081" i="6"/>
  <c r="Z1081" i="6" s="1"/>
  <c r="AB1081" i="6" l="1"/>
  <c r="AD1081" i="6"/>
  <c r="AH1082" i="6"/>
  <c r="Y1083" i="6"/>
  <c r="AE1082" i="6"/>
  <c r="AF1082" i="6" s="1"/>
  <c r="AA1082" i="6"/>
  <c r="Z1082" i="6" s="1"/>
  <c r="AG1082" i="6"/>
  <c r="AC1082" i="6"/>
  <c r="S37" i="8"/>
  <c r="AD1082" i="6" l="1"/>
  <c r="AB1082" i="6"/>
  <c r="AA1083" i="6"/>
  <c r="Z1083" i="6" s="1"/>
  <c r="Y1084" i="6"/>
  <c r="AH1083" i="6"/>
  <c r="AG1083" i="6"/>
  <c r="AE1083" i="6"/>
  <c r="AF1083" i="6" s="1"/>
  <c r="AC1083" i="6"/>
  <c r="AD1083" i="6" l="1"/>
  <c r="AB1083" i="6"/>
  <c r="Y1085" i="6"/>
  <c r="AH1084" i="6"/>
  <c r="AG1084" i="6"/>
  <c r="AC1084" i="6"/>
  <c r="AA1084" i="6"/>
  <c r="Z1084" i="6" s="1"/>
  <c r="AE1084" i="6"/>
  <c r="AF1084" i="6" s="1"/>
  <c r="Y1086" i="6" l="1"/>
  <c r="AE1085" i="6"/>
  <c r="AF1085" i="6" s="1"/>
  <c r="AC1085" i="6"/>
  <c r="AA1085" i="6"/>
  <c r="Z1085" i="6" s="1"/>
  <c r="AH1085" i="6"/>
  <c r="AG1085" i="6"/>
  <c r="AB1084" i="6"/>
  <c r="AD1084" i="6"/>
  <c r="AB1085" i="6" l="1"/>
  <c r="AD1085" i="6"/>
  <c r="AA1086" i="6"/>
  <c r="Z1086" i="6" s="1"/>
  <c r="AC1086" i="6"/>
  <c r="Y1087" i="6"/>
  <c r="AH1086" i="6"/>
  <c r="AE1086" i="6"/>
  <c r="AF1086" i="6" s="1"/>
  <c r="AG1086" i="6"/>
  <c r="AE1087" i="6" l="1"/>
  <c r="AF1087" i="6" s="1"/>
  <c r="Y1088" i="6"/>
  <c r="AH1087" i="6"/>
  <c r="AG1087" i="6"/>
  <c r="AC1087" i="6"/>
  <c r="AA1087" i="6"/>
  <c r="Z1087" i="6" s="1"/>
  <c r="AD1086" i="6"/>
  <c r="AB1086" i="6"/>
  <c r="AB1087" i="6" l="1"/>
  <c r="AD1087" i="6"/>
  <c r="AE1088" i="6"/>
  <c r="AF1088" i="6" s="1"/>
  <c r="AC1088" i="6"/>
  <c r="AA1088" i="6"/>
  <c r="Z1088" i="6" s="1"/>
  <c r="Y1089" i="6"/>
  <c r="AH1088" i="6"/>
  <c r="AG1088" i="6"/>
  <c r="AD1088" i="6" l="1"/>
  <c r="AB1088" i="6"/>
  <c r="AA1089" i="6"/>
  <c r="Z1089" i="6" s="1"/>
  <c r="AC1089" i="6"/>
  <c r="Y1090" i="6"/>
  <c r="AH1089" i="6"/>
  <c r="AG1089" i="6"/>
  <c r="AE1089" i="6"/>
  <c r="AF1089" i="6" s="1"/>
  <c r="AH1090" i="6" l="1"/>
  <c r="Y1091" i="6"/>
  <c r="AG1090" i="6"/>
  <c r="AE1090" i="6"/>
  <c r="AF1090" i="6" s="1"/>
  <c r="AC1090" i="6"/>
  <c r="AA1090" i="6"/>
  <c r="Z1090" i="6" s="1"/>
  <c r="AD1089" i="6"/>
  <c r="AB1089" i="6"/>
  <c r="AB1090" i="6" l="1"/>
  <c r="AD1090" i="6"/>
  <c r="AH1091" i="6"/>
  <c r="Y1092" i="6"/>
  <c r="AG1091" i="6"/>
  <c r="AE1091" i="6"/>
  <c r="AF1091" i="6" s="1"/>
  <c r="AA1091" i="6"/>
  <c r="Z1091" i="6" s="1"/>
  <c r="AC1091" i="6"/>
  <c r="AB1091" i="6" l="1"/>
  <c r="AD1091" i="6"/>
  <c r="AA1092" i="6"/>
  <c r="Z1092" i="6" s="1"/>
  <c r="AH1092" i="6"/>
  <c r="AG1092" i="6"/>
  <c r="Y1093" i="6"/>
  <c r="AE1092" i="6"/>
  <c r="AF1092" i="6" s="1"/>
  <c r="AC1092" i="6"/>
  <c r="AD1092" i="6" l="1"/>
  <c r="AB1092" i="6"/>
  <c r="AG1093" i="6"/>
  <c r="AA1093" i="6"/>
  <c r="Z1093" i="6" s="1"/>
  <c r="Y1094" i="6"/>
  <c r="AH1093" i="6"/>
  <c r="AE1093" i="6"/>
  <c r="AF1093" i="6" s="1"/>
  <c r="AC1093" i="6"/>
  <c r="AB1093" i="6" l="1"/>
  <c r="AD1093" i="6"/>
  <c r="Y1095" i="6"/>
  <c r="AG1094" i="6"/>
  <c r="AE1094" i="6"/>
  <c r="AF1094" i="6" s="1"/>
  <c r="AH1094" i="6"/>
  <c r="AC1094" i="6"/>
  <c r="AA1094" i="6"/>
  <c r="Z1094" i="6" s="1"/>
  <c r="S36" i="8"/>
  <c r="AD1094" i="6" l="1"/>
  <c r="AB1094" i="6"/>
  <c r="AE1095" i="6"/>
  <c r="AF1095" i="6" s="1"/>
  <c r="AC1095" i="6"/>
  <c r="AA1095" i="6"/>
  <c r="Z1095" i="6" s="1"/>
  <c r="Y1096" i="6"/>
  <c r="AH1095" i="6"/>
  <c r="AG1095" i="6"/>
  <c r="AH1096" i="6" l="1"/>
  <c r="AE1096" i="6"/>
  <c r="AF1096" i="6" s="1"/>
  <c r="AC1096" i="6"/>
  <c r="AA1096" i="6"/>
  <c r="Z1096" i="6" s="1"/>
  <c r="AG1096" i="6"/>
  <c r="Y1097" i="6"/>
  <c r="AB1095" i="6"/>
  <c r="AD1095" i="6"/>
  <c r="Y1098" i="6" l="1"/>
  <c r="AC1097" i="6"/>
  <c r="AA1097" i="6"/>
  <c r="Z1097" i="6" s="1"/>
  <c r="AH1097" i="6"/>
  <c r="AG1097" i="6"/>
  <c r="AE1097" i="6"/>
  <c r="AF1097" i="6" s="1"/>
  <c r="AD1096" i="6"/>
  <c r="AB1096" i="6"/>
  <c r="AD1097" i="6" l="1"/>
  <c r="AB1097" i="6"/>
  <c r="AC1098" i="6"/>
  <c r="Y1099" i="6"/>
  <c r="AH1098" i="6"/>
  <c r="AG1098" i="6"/>
  <c r="AA1098" i="6"/>
  <c r="Z1098" i="6" s="1"/>
  <c r="AE1098" i="6"/>
  <c r="AF1098" i="6" s="1"/>
  <c r="AC1099" i="6" l="1"/>
  <c r="AG1099" i="6"/>
  <c r="Y1100" i="6"/>
  <c r="AH1099" i="6"/>
  <c r="AE1099" i="6"/>
  <c r="AF1099" i="6" s="1"/>
  <c r="AA1099" i="6"/>
  <c r="Z1099" i="6" s="1"/>
  <c r="AD1098" i="6"/>
  <c r="AB1098" i="6"/>
  <c r="AE1100" i="6" l="1"/>
  <c r="AF1100" i="6" s="1"/>
  <c r="AC1100" i="6"/>
  <c r="AA1100" i="6"/>
  <c r="Z1100" i="6" s="1"/>
  <c r="Y1101" i="6"/>
  <c r="AH1100" i="6"/>
  <c r="AG1100" i="6"/>
  <c r="AB1099" i="6"/>
  <c r="AD1099" i="6"/>
  <c r="AA1101" i="6" l="1"/>
  <c r="Z1101" i="6" s="1"/>
  <c r="Y1102" i="6"/>
  <c r="AH1101" i="6"/>
  <c r="AG1101" i="6"/>
  <c r="AE1101" i="6"/>
  <c r="AF1101" i="6" s="1"/>
  <c r="AC1101" i="6"/>
  <c r="AB1100" i="6"/>
  <c r="AD1100" i="6"/>
  <c r="AD1101" i="6" l="1"/>
  <c r="AB1101" i="6"/>
  <c r="AA1102" i="6"/>
  <c r="Z1102" i="6" s="1"/>
  <c r="AH1102" i="6"/>
  <c r="Y1103" i="6"/>
  <c r="AG1102" i="6"/>
  <c r="AE1102" i="6"/>
  <c r="AF1102" i="6" s="1"/>
  <c r="AC1102" i="6"/>
  <c r="AD1102" i="6" l="1"/>
  <c r="AB1102" i="6"/>
  <c r="AH1103" i="6"/>
  <c r="AG1103" i="6"/>
  <c r="Y1104" i="6"/>
  <c r="AE1103" i="6"/>
  <c r="AF1103" i="6" s="1"/>
  <c r="AC1103" i="6"/>
  <c r="AA1103" i="6"/>
  <c r="Z1103" i="6" s="1"/>
  <c r="AD1103" i="6" l="1"/>
  <c r="AB1103" i="6"/>
  <c r="Y1105" i="6"/>
  <c r="AH1104" i="6"/>
  <c r="AE1104" i="6"/>
  <c r="AF1104" i="6" s="1"/>
  <c r="AG1104" i="6"/>
  <c r="AC1104" i="6"/>
  <c r="AA1104" i="6"/>
  <c r="Z1104" i="6" s="1"/>
  <c r="AB1104" i="6" l="1"/>
  <c r="AD1104" i="6"/>
  <c r="Y1106" i="6"/>
  <c r="AH1105" i="6"/>
  <c r="AG1105" i="6"/>
  <c r="AE1105" i="6"/>
  <c r="AF1105" i="6" s="1"/>
  <c r="AC1105" i="6"/>
  <c r="AA1105" i="6"/>
  <c r="Z1105" i="6" s="1"/>
  <c r="AB1105" i="6" l="1"/>
  <c r="AD1105" i="6"/>
  <c r="AE1106" i="6"/>
  <c r="AF1106" i="6" s="1"/>
  <c r="AC1106" i="6"/>
  <c r="AA1106" i="6"/>
  <c r="Z1106" i="6" s="1"/>
  <c r="AH1106" i="6"/>
  <c r="AG1106" i="6"/>
  <c r="Y1107" i="6"/>
  <c r="S35" i="8"/>
  <c r="AG1107" i="6" l="1"/>
  <c r="AH1107" i="6"/>
  <c r="AC1107" i="6"/>
  <c r="AE1107" i="6"/>
  <c r="AF1107" i="6" s="1"/>
  <c r="Y1108" i="6"/>
  <c r="AA1107" i="6"/>
  <c r="Z1107" i="6" s="1"/>
  <c r="AD1106" i="6"/>
  <c r="AB1106" i="6"/>
  <c r="Y1109" i="6" l="1"/>
  <c r="AH1108" i="6"/>
  <c r="AA1108" i="6"/>
  <c r="Z1108" i="6" s="1"/>
  <c r="AG1108" i="6"/>
  <c r="AE1108" i="6"/>
  <c r="AF1108" i="6" s="1"/>
  <c r="AC1108" i="6"/>
  <c r="AD1107" i="6"/>
  <c r="AB1107" i="6"/>
  <c r="AD1108" i="6" l="1"/>
  <c r="AB1108" i="6"/>
  <c r="Y1110" i="6"/>
  <c r="AG1109" i="6"/>
  <c r="AE1109" i="6"/>
  <c r="AF1109" i="6" s="1"/>
  <c r="AC1109" i="6"/>
  <c r="AH1109" i="6"/>
  <c r="AA1109" i="6"/>
  <c r="Z1109" i="6" s="1"/>
  <c r="AH1110" i="6" l="1"/>
  <c r="AE1110" i="6"/>
  <c r="AF1110" i="6" s="1"/>
  <c r="AA1110" i="6"/>
  <c r="Z1110" i="6" s="1"/>
  <c r="Y1111" i="6"/>
  <c r="AG1110" i="6"/>
  <c r="AC1110" i="6"/>
  <c r="AD1109" i="6"/>
  <c r="AB1109" i="6"/>
  <c r="AD1110" i="6" l="1"/>
  <c r="AB1110" i="6"/>
  <c r="Y1112" i="6"/>
  <c r="AH1111" i="6"/>
  <c r="AG1111" i="6"/>
  <c r="AE1111" i="6"/>
  <c r="AF1111" i="6" s="1"/>
  <c r="AC1111" i="6"/>
  <c r="AA1111" i="6"/>
  <c r="Z1111" i="6" s="1"/>
  <c r="AD1111" i="6" l="1"/>
  <c r="AB1111" i="6"/>
  <c r="AA1112" i="6"/>
  <c r="Z1112" i="6" s="1"/>
  <c r="Y1113" i="6"/>
  <c r="AH1112" i="6"/>
  <c r="AE1112" i="6"/>
  <c r="AF1112" i="6" s="1"/>
  <c r="AC1112" i="6"/>
  <c r="AG1112" i="6"/>
  <c r="AD1112" i="6" l="1"/>
  <c r="AB1112" i="6"/>
  <c r="AC1113" i="6"/>
  <c r="AH1113" i="6"/>
  <c r="Y1114" i="6"/>
  <c r="AE1113" i="6"/>
  <c r="AF1113" i="6" s="1"/>
  <c r="AA1113" i="6"/>
  <c r="Z1113" i="6" s="1"/>
  <c r="AG1113" i="6"/>
  <c r="AB1113" i="6" l="1"/>
  <c r="AD1113" i="6"/>
  <c r="AA1114" i="6"/>
  <c r="Z1114" i="6" s="1"/>
  <c r="AC1114" i="6"/>
  <c r="Y1115" i="6"/>
  <c r="AG1114" i="6"/>
  <c r="AE1114" i="6"/>
  <c r="AF1114" i="6" s="1"/>
  <c r="AH1114" i="6"/>
  <c r="AA1115" i="6" l="1"/>
  <c r="Z1115" i="6" s="1"/>
  <c r="Y1116" i="6"/>
  <c r="AG1115" i="6"/>
  <c r="AC1115" i="6"/>
  <c r="AH1115" i="6"/>
  <c r="AE1115" i="6"/>
  <c r="AF1115" i="6" s="1"/>
  <c r="AB1114" i="6"/>
  <c r="AD1114" i="6"/>
  <c r="AB1115" i="6" l="1"/>
  <c r="AD1115" i="6"/>
  <c r="AA1116" i="6"/>
  <c r="Z1116" i="6" s="1"/>
  <c r="Y1117" i="6"/>
  <c r="AH1116" i="6"/>
  <c r="AG1116" i="6"/>
  <c r="AC1116" i="6"/>
  <c r="AE1116" i="6"/>
  <c r="AF1116" i="6" s="1"/>
  <c r="AD1116" i="6" l="1"/>
  <c r="AB1116" i="6"/>
  <c r="Y1118" i="6"/>
  <c r="AH1117" i="6"/>
  <c r="AG1117" i="6"/>
  <c r="AC1117" i="6"/>
  <c r="AA1117" i="6"/>
  <c r="Z1117" i="6" s="1"/>
  <c r="AE1117" i="6"/>
  <c r="AF1117" i="6" s="1"/>
  <c r="AB1117" i="6" l="1"/>
  <c r="AD1117" i="6"/>
  <c r="Y1119" i="6"/>
  <c r="AH1118" i="6"/>
  <c r="AC1118" i="6"/>
  <c r="AA1118" i="6"/>
  <c r="Z1118" i="6" s="1"/>
  <c r="AG1118" i="6"/>
  <c r="AE1118" i="6"/>
  <c r="AF1118" i="6" s="1"/>
  <c r="S34" i="8"/>
  <c r="AB1118" i="6" l="1"/>
  <c r="AD1118" i="6"/>
  <c r="AH1119" i="6"/>
  <c r="AE1119" i="6"/>
  <c r="AF1119" i="6" s="1"/>
  <c r="AC1119" i="6"/>
  <c r="AA1119" i="6"/>
  <c r="Z1119" i="6" s="1"/>
  <c r="Y1120" i="6"/>
  <c r="AG1119" i="6"/>
  <c r="AC1120" i="6" l="1"/>
  <c r="Y1121" i="6"/>
  <c r="AH1120" i="6"/>
  <c r="AG1120" i="6"/>
  <c r="AE1120" i="6"/>
  <c r="AF1120" i="6" s="1"/>
  <c r="AA1120" i="6"/>
  <c r="Z1120" i="6" s="1"/>
  <c r="AB1119" i="6"/>
  <c r="AD1119" i="6"/>
  <c r="AG1121" i="6" l="1"/>
  <c r="AC1121" i="6"/>
  <c r="Y1122" i="6"/>
  <c r="AH1121" i="6"/>
  <c r="AE1121" i="6"/>
  <c r="AF1121" i="6" s="1"/>
  <c r="AA1121" i="6"/>
  <c r="Z1121" i="6" s="1"/>
  <c r="AD1120" i="6"/>
  <c r="AB1120" i="6"/>
  <c r="AA1122" i="6" l="1"/>
  <c r="Z1122" i="6" s="1"/>
  <c r="Y1123" i="6"/>
  <c r="AH1122" i="6"/>
  <c r="AG1122" i="6"/>
  <c r="AE1122" i="6"/>
  <c r="AF1122" i="6" s="1"/>
  <c r="AC1122" i="6"/>
  <c r="AD1121" i="6"/>
  <c r="AB1121" i="6"/>
  <c r="AD1122" i="6" l="1"/>
  <c r="AB1122" i="6"/>
  <c r="AA1123" i="6"/>
  <c r="Z1123" i="6" s="1"/>
  <c r="AH1123" i="6"/>
  <c r="AC1123" i="6"/>
  <c r="Y1124" i="6"/>
  <c r="AG1123" i="6"/>
  <c r="AE1123" i="6"/>
  <c r="AF1123" i="6" s="1"/>
  <c r="AH1124" i="6" l="1"/>
  <c r="AE1124" i="6"/>
  <c r="AF1124" i="6" s="1"/>
  <c r="AG1124" i="6"/>
  <c r="AC1124" i="6"/>
  <c r="Y1125" i="6"/>
  <c r="AA1124" i="6"/>
  <c r="Z1124" i="6" s="1"/>
  <c r="AD1123" i="6"/>
  <c r="AB1123" i="6"/>
  <c r="AG1125" i="6" l="1"/>
  <c r="AE1125" i="6"/>
  <c r="AF1125" i="6" s="1"/>
  <c r="AC1125" i="6"/>
  <c r="AA1125" i="6"/>
  <c r="Z1125" i="6" s="1"/>
  <c r="Y1126" i="6"/>
  <c r="AH1125" i="6"/>
  <c r="AD1124" i="6"/>
  <c r="AB1124" i="6"/>
  <c r="AE1126" i="6" l="1"/>
  <c r="AF1126" i="6" s="1"/>
  <c r="Y1127" i="6"/>
  <c r="AG1126" i="6"/>
  <c r="AA1126" i="6"/>
  <c r="Z1126" i="6" s="1"/>
  <c r="AC1126" i="6"/>
  <c r="AH1126" i="6"/>
  <c r="AD1125" i="6"/>
  <c r="AB1125" i="6"/>
  <c r="AB1126" i="6" l="1"/>
  <c r="AD1126" i="6"/>
  <c r="AC1127" i="6"/>
  <c r="Y1128" i="6"/>
  <c r="AH1127" i="6"/>
  <c r="AG1127" i="6"/>
  <c r="AE1127" i="6"/>
  <c r="AF1127" i="6" s="1"/>
  <c r="AA1127" i="6"/>
  <c r="Z1127" i="6" s="1"/>
  <c r="Y1129" i="6" l="1"/>
  <c r="AH1128" i="6"/>
  <c r="AG1128" i="6"/>
  <c r="AE1128" i="6"/>
  <c r="AF1128" i="6" s="1"/>
  <c r="AC1128" i="6"/>
  <c r="AA1128" i="6"/>
  <c r="Z1128" i="6" s="1"/>
  <c r="AB1127" i="6"/>
  <c r="AD1127" i="6"/>
  <c r="AD1128" i="6" l="1"/>
  <c r="AB1128" i="6"/>
  <c r="AC1129" i="6"/>
  <c r="AA1129" i="6"/>
  <c r="Z1129" i="6" s="1"/>
  <c r="Y1130" i="6"/>
  <c r="AG1129" i="6"/>
  <c r="AE1129" i="6"/>
  <c r="AF1129" i="6" s="1"/>
  <c r="AH1129" i="6"/>
  <c r="AD1129" i="6" l="1"/>
  <c r="AB1129" i="6"/>
  <c r="AA1130" i="6"/>
  <c r="Z1130" i="6" s="1"/>
  <c r="Y1131" i="6"/>
  <c r="AH1130" i="6"/>
  <c r="AE1130" i="6"/>
  <c r="AF1130" i="6" s="1"/>
  <c r="AC1130" i="6"/>
  <c r="AG1130" i="6"/>
  <c r="S33" i="8"/>
  <c r="AD1130" i="6" l="1"/>
  <c r="AB1130" i="6"/>
  <c r="Y1132" i="6"/>
  <c r="AH1131" i="6"/>
  <c r="AE1131" i="6"/>
  <c r="AF1131" i="6" s="1"/>
  <c r="AC1131" i="6"/>
  <c r="AA1131" i="6"/>
  <c r="Z1131" i="6" s="1"/>
  <c r="AG1131" i="6"/>
  <c r="AD1131" i="6" l="1"/>
  <c r="AB1131" i="6"/>
  <c r="Y1133" i="6"/>
  <c r="AH1132" i="6"/>
  <c r="AG1132" i="6"/>
  <c r="AE1132" i="6"/>
  <c r="AF1132" i="6" s="1"/>
  <c r="AC1132" i="6"/>
  <c r="AA1132" i="6"/>
  <c r="Z1132" i="6" s="1"/>
  <c r="AD1132" i="6" l="1"/>
  <c r="AB1132" i="6"/>
  <c r="Y1134" i="6"/>
  <c r="AC1133" i="6"/>
  <c r="AA1133" i="6"/>
  <c r="Z1133" i="6" s="1"/>
  <c r="AH1133" i="6"/>
  <c r="AG1133" i="6"/>
  <c r="AE1133" i="6"/>
  <c r="AF1133" i="6" s="1"/>
  <c r="AB1133" i="6" l="1"/>
  <c r="AD1133" i="6"/>
  <c r="AA1134" i="6"/>
  <c r="Z1134" i="6" s="1"/>
  <c r="Y1135" i="6"/>
  <c r="AH1134" i="6"/>
  <c r="AG1134" i="6"/>
  <c r="AE1134" i="6"/>
  <c r="AF1134" i="6" s="1"/>
  <c r="AC1134" i="6"/>
  <c r="AG1135" i="6" l="1"/>
  <c r="AE1135" i="6"/>
  <c r="AF1135" i="6" s="1"/>
  <c r="Y1136" i="6"/>
  <c r="AH1135" i="6"/>
  <c r="AC1135" i="6"/>
  <c r="AA1135" i="6"/>
  <c r="Z1135" i="6" s="1"/>
  <c r="AD1134" i="6"/>
  <c r="AB1134" i="6"/>
  <c r="AD1135" i="6" l="1"/>
  <c r="AB1135" i="6"/>
  <c r="AA1136" i="6"/>
  <c r="Z1136" i="6" s="1"/>
  <c r="Y1137" i="6"/>
  <c r="AH1136" i="6"/>
  <c r="AG1136" i="6"/>
  <c r="AE1136" i="6"/>
  <c r="AF1136" i="6" s="1"/>
  <c r="AC1136" i="6"/>
  <c r="AD1136" i="6" l="1"/>
  <c r="AB1136" i="6"/>
  <c r="AA1137" i="6"/>
  <c r="Z1137" i="6" s="1"/>
  <c r="AC1137" i="6"/>
  <c r="Y1138" i="6"/>
  <c r="AG1137" i="6"/>
  <c r="AH1137" i="6"/>
  <c r="AE1137" i="6"/>
  <c r="AF1137" i="6" s="1"/>
  <c r="AH1138" i="6" l="1"/>
  <c r="AE1138" i="6"/>
  <c r="AF1138" i="6" s="1"/>
  <c r="Y1139" i="6"/>
  <c r="AG1138" i="6"/>
  <c r="AC1138" i="6"/>
  <c r="AA1138" i="6"/>
  <c r="Z1138" i="6" s="1"/>
  <c r="AB1137" i="6"/>
  <c r="AD1137" i="6"/>
  <c r="AD1138" i="6" l="1"/>
  <c r="AB1138" i="6"/>
  <c r="Y1140" i="6"/>
  <c r="AH1139" i="6"/>
  <c r="AG1139" i="6"/>
  <c r="AE1139" i="6"/>
  <c r="AF1139" i="6" s="1"/>
  <c r="AC1139" i="6"/>
  <c r="AA1139" i="6"/>
  <c r="Z1139" i="6" s="1"/>
  <c r="AB1139" i="6" l="1"/>
  <c r="AD1139" i="6"/>
  <c r="AC1140" i="6"/>
  <c r="AA1140" i="6"/>
  <c r="Z1140" i="6" s="1"/>
  <c r="Y1141" i="6"/>
  <c r="AH1140" i="6"/>
  <c r="AG1140" i="6"/>
  <c r="AE1140" i="6"/>
  <c r="AF1140" i="6" s="1"/>
  <c r="AC1141" i="6" l="1"/>
  <c r="Y1142" i="6"/>
  <c r="AH1141" i="6"/>
  <c r="AE1141" i="6"/>
  <c r="AF1141" i="6" s="1"/>
  <c r="AG1141" i="6"/>
  <c r="AA1141" i="6"/>
  <c r="Z1141" i="6" s="1"/>
  <c r="AB1140" i="6"/>
  <c r="AD1140" i="6"/>
  <c r="AC1142" i="6" l="1"/>
  <c r="Y1143" i="6"/>
  <c r="AH1142" i="6"/>
  <c r="AG1142" i="6"/>
  <c r="AE1142" i="6"/>
  <c r="AF1142" i="6" s="1"/>
  <c r="AA1142" i="6"/>
  <c r="Z1142" i="6" s="1"/>
  <c r="AB1141" i="6"/>
  <c r="AD1141" i="6"/>
  <c r="S32" i="8"/>
  <c r="AC1143" i="6" l="1"/>
  <c r="Y1144" i="6"/>
  <c r="AH1143" i="6"/>
  <c r="AG1143" i="6"/>
  <c r="AE1143" i="6"/>
  <c r="AF1143" i="6" s="1"/>
  <c r="AA1143" i="6"/>
  <c r="Z1143" i="6" s="1"/>
  <c r="AD1142" i="6"/>
  <c r="AB1142" i="6"/>
  <c r="AA1144" i="6" l="1"/>
  <c r="Z1144" i="6" s="1"/>
  <c r="AH1144" i="6"/>
  <c r="AG1144" i="6"/>
  <c r="AE1144" i="6"/>
  <c r="AF1144" i="6" s="1"/>
  <c r="AC1144" i="6"/>
  <c r="Y1145" i="6"/>
  <c r="AD1143" i="6"/>
  <c r="AB1143" i="6"/>
  <c r="AA1145" i="6" l="1"/>
  <c r="Z1145" i="6" s="1"/>
  <c r="AH1145" i="6"/>
  <c r="AG1145" i="6"/>
  <c r="AC1145" i="6"/>
  <c r="Y1146" i="6"/>
  <c r="AE1145" i="6"/>
  <c r="AF1145" i="6" s="1"/>
  <c r="AD1144" i="6"/>
  <c r="AB1144" i="6"/>
  <c r="Y1147" i="6" l="1"/>
  <c r="AH1146" i="6"/>
  <c r="AE1146" i="6"/>
  <c r="AF1146" i="6" s="1"/>
  <c r="AC1146" i="6"/>
  <c r="AG1146" i="6"/>
  <c r="AA1146" i="6"/>
  <c r="Z1146" i="6" s="1"/>
  <c r="AD1145" i="6"/>
  <c r="AB1145" i="6"/>
  <c r="AD1146" i="6" l="1"/>
  <c r="AB1146" i="6"/>
  <c r="Y1148" i="6"/>
  <c r="AH1147" i="6"/>
  <c r="AG1147" i="6"/>
  <c r="AE1147" i="6"/>
  <c r="AF1147" i="6" s="1"/>
  <c r="AC1147" i="6"/>
  <c r="AA1147" i="6"/>
  <c r="Z1147" i="6" s="1"/>
  <c r="AB1147" i="6" l="1"/>
  <c r="AD1147" i="6"/>
  <c r="AE1148" i="6"/>
  <c r="AF1148" i="6" s="1"/>
  <c r="AC1148" i="6"/>
  <c r="AA1148" i="6"/>
  <c r="Z1148" i="6" s="1"/>
  <c r="Y1149" i="6"/>
  <c r="AH1148" i="6"/>
  <c r="AG1148" i="6"/>
  <c r="AG1149" i="6" l="1"/>
  <c r="AH1149" i="6"/>
  <c r="AE1149" i="6"/>
  <c r="AF1149" i="6" s="1"/>
  <c r="Y1150" i="6"/>
  <c r="AC1149" i="6"/>
  <c r="AA1149" i="6"/>
  <c r="Z1149" i="6" s="1"/>
  <c r="AB1148" i="6"/>
  <c r="AD1148" i="6"/>
  <c r="AD1149" i="6" l="1"/>
  <c r="AB1149" i="6"/>
  <c r="Y1151" i="6"/>
  <c r="AH1150" i="6"/>
  <c r="AG1150" i="6"/>
  <c r="AE1150" i="6"/>
  <c r="AF1150" i="6" s="1"/>
  <c r="AC1150" i="6"/>
  <c r="AA1150" i="6"/>
  <c r="Z1150" i="6" s="1"/>
  <c r="AD1150" i="6" l="1"/>
  <c r="AB1150" i="6"/>
  <c r="AC1151" i="6"/>
  <c r="Y1152" i="6"/>
  <c r="AH1151" i="6"/>
  <c r="AG1151" i="6"/>
  <c r="AE1151" i="6"/>
  <c r="AF1151" i="6" s="1"/>
  <c r="AA1151" i="6"/>
  <c r="Z1151" i="6" s="1"/>
  <c r="AD1151" i="6" l="1"/>
  <c r="AB1151" i="6"/>
  <c r="AH1152" i="6"/>
  <c r="AE1152" i="6"/>
  <c r="AF1152" i="6" s="1"/>
  <c r="Y1153" i="6"/>
  <c r="AG1152" i="6"/>
  <c r="AA1152" i="6"/>
  <c r="Z1152" i="6" s="1"/>
  <c r="AC1152" i="6"/>
  <c r="AD1152" i="6" l="1"/>
  <c r="AB1152" i="6"/>
  <c r="Y1154" i="6"/>
  <c r="AH1153" i="6"/>
  <c r="AE1153" i="6"/>
  <c r="AF1153" i="6" s="1"/>
  <c r="AG1153" i="6"/>
  <c r="AC1153" i="6"/>
  <c r="AA1153" i="6"/>
  <c r="Z1153" i="6" s="1"/>
  <c r="AD1153" i="6" l="1"/>
  <c r="AB1153" i="6"/>
  <c r="AG1154" i="6"/>
  <c r="AA1154" i="6"/>
  <c r="Z1154" i="6" s="1"/>
  <c r="Y1155" i="6"/>
  <c r="AH1154" i="6"/>
  <c r="AE1154" i="6"/>
  <c r="AF1154" i="6" s="1"/>
  <c r="AC1154" i="6"/>
  <c r="S31" i="8"/>
  <c r="AD1154" i="6" l="1"/>
  <c r="AB1154" i="6"/>
  <c r="AC1155" i="6"/>
  <c r="Y1156" i="6"/>
  <c r="AH1155" i="6"/>
  <c r="AG1155" i="6"/>
  <c r="AE1155" i="6"/>
  <c r="AF1155" i="6" s="1"/>
  <c r="AA1155" i="6"/>
  <c r="Z1155" i="6" s="1"/>
  <c r="AB1155" i="6" l="1"/>
  <c r="AD1155" i="6"/>
  <c r="AA1156" i="6"/>
  <c r="Z1156" i="6" s="1"/>
  <c r="AE1156" i="6"/>
  <c r="AF1156" i="6" s="1"/>
  <c r="AC1156" i="6"/>
  <c r="Y1157" i="6"/>
  <c r="AH1156" i="6"/>
  <c r="AG1156" i="6"/>
  <c r="AH1157" i="6" l="1"/>
  <c r="AE1157" i="6"/>
  <c r="AF1157" i="6" s="1"/>
  <c r="Y1158" i="6"/>
  <c r="AG1157" i="6"/>
  <c r="AC1157" i="6"/>
  <c r="AA1157" i="6"/>
  <c r="Z1157" i="6" s="1"/>
  <c r="AD1156" i="6"/>
  <c r="AB1156" i="6"/>
  <c r="AB1157" i="6" l="1"/>
  <c r="AD1157" i="6"/>
  <c r="AA1158" i="6"/>
  <c r="Z1158" i="6" s="1"/>
  <c r="Y1159" i="6"/>
  <c r="AH1158" i="6"/>
  <c r="AG1158" i="6"/>
  <c r="AE1158" i="6"/>
  <c r="AF1158" i="6" s="1"/>
  <c r="AC1158" i="6"/>
  <c r="AD1158" i="6" l="1"/>
  <c r="AB1158" i="6"/>
  <c r="AA1159" i="6"/>
  <c r="Z1159" i="6" s="1"/>
  <c r="Y1160" i="6"/>
  <c r="AH1159" i="6"/>
  <c r="AG1159" i="6"/>
  <c r="AE1159" i="6"/>
  <c r="AF1159" i="6" s="1"/>
  <c r="AC1159" i="6"/>
  <c r="AB1159" i="6" l="1"/>
  <c r="AD1159" i="6"/>
  <c r="Y1161" i="6"/>
  <c r="AH1160" i="6"/>
  <c r="AC1160" i="6"/>
  <c r="AA1160" i="6"/>
  <c r="Z1160" i="6" s="1"/>
  <c r="AG1160" i="6"/>
  <c r="AE1160" i="6"/>
  <c r="AF1160" i="6" s="1"/>
  <c r="AB1160" i="6" l="1"/>
  <c r="AD1160" i="6"/>
  <c r="AA1161" i="6"/>
  <c r="Z1161" i="6" s="1"/>
  <c r="Y1162" i="6"/>
  <c r="AH1161" i="6"/>
  <c r="AE1161" i="6"/>
  <c r="AF1161" i="6" s="1"/>
  <c r="AG1161" i="6"/>
  <c r="AC1161" i="6"/>
  <c r="AB1161" i="6" l="1"/>
  <c r="AD1161" i="6"/>
  <c r="AC1162" i="6"/>
  <c r="AA1162" i="6"/>
  <c r="Z1162" i="6" s="1"/>
  <c r="Y1163" i="6"/>
  <c r="AH1162" i="6"/>
  <c r="AG1162" i="6"/>
  <c r="AE1162" i="6"/>
  <c r="AF1162" i="6" s="1"/>
  <c r="AG1163" i="6" l="1"/>
  <c r="Y1164" i="6"/>
  <c r="AH1163" i="6"/>
  <c r="AE1163" i="6"/>
  <c r="AF1163" i="6" s="1"/>
  <c r="AC1163" i="6"/>
  <c r="AA1163" i="6"/>
  <c r="Z1163" i="6" s="1"/>
  <c r="AB1162" i="6"/>
  <c r="AD1162" i="6"/>
  <c r="AD1163" i="6" l="1"/>
  <c r="AB1163" i="6"/>
  <c r="AC1164" i="6"/>
  <c r="AE1164" i="6"/>
  <c r="AF1164" i="6" s="1"/>
  <c r="AA1164" i="6"/>
  <c r="Z1164" i="6" s="1"/>
  <c r="Y1165" i="6"/>
  <c r="AH1164" i="6"/>
  <c r="AG1164" i="6"/>
  <c r="AC1165" i="6" l="1"/>
  <c r="Y1166" i="6"/>
  <c r="AH1165" i="6"/>
  <c r="AG1165" i="6"/>
  <c r="AE1165" i="6"/>
  <c r="AF1165" i="6" s="1"/>
  <c r="AA1165" i="6"/>
  <c r="Z1165" i="6" s="1"/>
  <c r="AD1164" i="6"/>
  <c r="AB1164" i="6"/>
  <c r="AH1166" i="6" l="1"/>
  <c r="AE1166" i="6"/>
  <c r="AF1166" i="6" s="1"/>
  <c r="AG1166" i="6"/>
  <c r="Y1167" i="6"/>
  <c r="AC1166" i="6"/>
  <c r="AA1166" i="6"/>
  <c r="Z1166" i="6" s="1"/>
  <c r="AD1165" i="6"/>
  <c r="AB1165" i="6"/>
  <c r="S30" i="8"/>
  <c r="AD1166" i="6" l="1"/>
  <c r="AB1166" i="6"/>
  <c r="AA1167" i="6"/>
  <c r="Z1167" i="6" s="1"/>
  <c r="Y1168" i="6"/>
  <c r="AH1167" i="6"/>
  <c r="AG1167" i="6"/>
  <c r="AE1167" i="6"/>
  <c r="AF1167" i="6" s="1"/>
  <c r="AC1167" i="6"/>
  <c r="AD1167" i="6" l="1"/>
  <c r="AB1167" i="6"/>
  <c r="AE1168" i="6"/>
  <c r="AF1168" i="6" s="1"/>
  <c r="AC1168" i="6"/>
  <c r="AA1168" i="6"/>
  <c r="Z1168" i="6" s="1"/>
  <c r="Y1169" i="6"/>
  <c r="AG1168" i="6"/>
  <c r="AH1168" i="6"/>
  <c r="AC1169" i="6" l="1"/>
  <c r="Y1170" i="6"/>
  <c r="AH1169" i="6"/>
  <c r="AG1169" i="6"/>
  <c r="AE1169" i="6"/>
  <c r="AF1169" i="6" s="1"/>
  <c r="AA1169" i="6"/>
  <c r="Z1169" i="6" s="1"/>
  <c r="AD1168" i="6"/>
  <c r="AB1168" i="6"/>
  <c r="AE1170" i="6" l="1"/>
  <c r="AF1170" i="6" s="1"/>
  <c r="Y1171" i="6"/>
  <c r="AH1170" i="6"/>
  <c r="AG1170" i="6"/>
  <c r="AC1170" i="6"/>
  <c r="AA1170" i="6"/>
  <c r="Z1170" i="6" s="1"/>
  <c r="AB1169" i="6"/>
  <c r="AD1169" i="6"/>
  <c r="AB1170" i="6" l="1"/>
  <c r="AD1170" i="6"/>
  <c r="Y1172" i="6"/>
  <c r="AE1171" i="6"/>
  <c r="AF1171" i="6" s="1"/>
  <c r="AH1171" i="6"/>
  <c r="AG1171" i="6"/>
  <c r="AC1171" i="6"/>
  <c r="AA1171" i="6"/>
  <c r="Z1171" i="6" s="1"/>
  <c r="AD1171" i="6" l="1"/>
  <c r="AB1171" i="6"/>
  <c r="AA1172" i="6"/>
  <c r="Z1172" i="6" s="1"/>
  <c r="AE1172" i="6"/>
  <c r="AF1172" i="6" s="1"/>
  <c r="AG1172" i="6"/>
  <c r="AC1172" i="6"/>
  <c r="Y1173" i="6"/>
  <c r="AH1172" i="6"/>
  <c r="AC1173" i="6" l="1"/>
  <c r="Y1174" i="6"/>
  <c r="AH1173" i="6"/>
  <c r="AG1173" i="6"/>
  <c r="AE1173" i="6"/>
  <c r="AF1173" i="6" s="1"/>
  <c r="AA1173" i="6"/>
  <c r="Z1173" i="6" s="1"/>
  <c r="AD1172" i="6"/>
  <c r="AB1172" i="6"/>
  <c r="Y1175" i="6" l="1"/>
  <c r="AH1174" i="6"/>
  <c r="AG1174" i="6"/>
  <c r="AE1174" i="6"/>
  <c r="AF1174" i="6" s="1"/>
  <c r="AC1174" i="6"/>
  <c r="AA1174" i="6"/>
  <c r="Z1174" i="6" s="1"/>
  <c r="AB1173" i="6"/>
  <c r="AD1173" i="6"/>
  <c r="AD1174" i="6" l="1"/>
  <c r="AB1174" i="6"/>
  <c r="AE1175" i="6"/>
  <c r="AF1175" i="6" s="1"/>
  <c r="AC1175" i="6"/>
  <c r="Y1176" i="6"/>
  <c r="AH1175" i="6"/>
  <c r="AG1175" i="6"/>
  <c r="AA1175" i="6"/>
  <c r="Z1175" i="6" s="1"/>
  <c r="AG1176" i="6" l="1"/>
  <c r="AA1176" i="6"/>
  <c r="Z1176" i="6" s="1"/>
  <c r="Y1177" i="6"/>
  <c r="AH1176" i="6"/>
  <c r="AE1176" i="6"/>
  <c r="AF1176" i="6" s="1"/>
  <c r="AC1176" i="6"/>
  <c r="AB1175" i="6"/>
  <c r="AD1175" i="6"/>
  <c r="AD1176" i="6" l="1"/>
  <c r="AB1176" i="6"/>
  <c r="AG1177" i="6"/>
  <c r="Y1178" i="6"/>
  <c r="AH1177" i="6"/>
  <c r="AE1177" i="6"/>
  <c r="AF1177" i="6" s="1"/>
  <c r="AC1177" i="6"/>
  <c r="AA1177" i="6"/>
  <c r="Z1177" i="6" s="1"/>
  <c r="AD1177" i="6" l="1"/>
  <c r="AB1177" i="6"/>
  <c r="AG1178" i="6"/>
  <c r="AA1178" i="6"/>
  <c r="Z1178" i="6" s="1"/>
  <c r="Y1179" i="6"/>
  <c r="AH1178" i="6"/>
  <c r="AE1178" i="6"/>
  <c r="AF1178" i="6" s="1"/>
  <c r="AC1178" i="6"/>
  <c r="S29" i="8"/>
  <c r="AD1178" i="6" l="1"/>
  <c r="AB1178" i="6"/>
  <c r="AH1179" i="6"/>
  <c r="AE1179" i="6"/>
  <c r="AF1179" i="6" s="1"/>
  <c r="Y1180" i="6"/>
  <c r="AG1179" i="6"/>
  <c r="AC1179" i="6"/>
  <c r="AA1179" i="6"/>
  <c r="Z1179" i="6" s="1"/>
  <c r="AB1179" i="6" l="1"/>
  <c r="AD1179" i="6"/>
  <c r="AH1180" i="6"/>
  <c r="AE1180" i="6"/>
  <c r="AF1180" i="6" s="1"/>
  <c r="Y1181" i="6"/>
  <c r="AG1180" i="6"/>
  <c r="AC1180" i="6"/>
  <c r="AA1180" i="6"/>
  <c r="Z1180" i="6" s="1"/>
  <c r="AD1180" i="6" l="1"/>
  <c r="AB1180" i="6"/>
  <c r="AH1181" i="6"/>
  <c r="AG1181" i="6"/>
  <c r="AE1181" i="6"/>
  <c r="AF1181" i="6" s="1"/>
  <c r="AA1181" i="6"/>
  <c r="Z1181" i="6" s="1"/>
  <c r="Y1182" i="6"/>
  <c r="AC1181" i="6"/>
  <c r="AB1181" i="6" l="1"/>
  <c r="AD1181" i="6"/>
  <c r="Y1183" i="6"/>
  <c r="AC1182" i="6"/>
  <c r="AH1182" i="6"/>
  <c r="AG1182" i="6"/>
  <c r="AE1182" i="6"/>
  <c r="AF1182" i="6" s="1"/>
  <c r="AA1182" i="6"/>
  <c r="Z1182" i="6" s="1"/>
  <c r="AD1182" i="6" l="1"/>
  <c r="AB1182" i="6"/>
  <c r="AC1183" i="6"/>
  <c r="Y1184" i="6"/>
  <c r="AH1183" i="6"/>
  <c r="AG1183" i="6"/>
  <c r="AE1183" i="6"/>
  <c r="AF1183" i="6" s="1"/>
  <c r="AA1183" i="6"/>
  <c r="Z1183" i="6" s="1"/>
  <c r="AB1183" i="6" l="1"/>
  <c r="AD1183" i="6"/>
  <c r="Y1185" i="6"/>
  <c r="AH1184" i="6"/>
  <c r="AC1184" i="6"/>
  <c r="AA1184" i="6"/>
  <c r="Z1184" i="6" s="1"/>
  <c r="AG1184" i="6"/>
  <c r="AE1184" i="6"/>
  <c r="AF1184" i="6" s="1"/>
  <c r="AG1185" i="6" l="1"/>
  <c r="Y1186" i="6"/>
  <c r="AH1185" i="6"/>
  <c r="AE1185" i="6"/>
  <c r="AF1185" i="6" s="1"/>
  <c r="AC1185" i="6"/>
  <c r="AA1185" i="6"/>
  <c r="Z1185" i="6" s="1"/>
  <c r="AB1184" i="6"/>
  <c r="AD1184" i="6"/>
  <c r="AD1185" i="6" l="1"/>
  <c r="AB1185" i="6"/>
  <c r="AA1186" i="6"/>
  <c r="Z1186" i="6" s="1"/>
  <c r="AE1186" i="6"/>
  <c r="AF1186" i="6" s="1"/>
  <c r="AC1186" i="6"/>
  <c r="Y1187" i="6"/>
  <c r="AH1186" i="6"/>
  <c r="AG1186" i="6"/>
  <c r="Y1188" i="6" l="1"/>
  <c r="AG1187" i="6"/>
  <c r="AC1187" i="6"/>
  <c r="AH1187" i="6"/>
  <c r="AE1187" i="6"/>
  <c r="AF1187" i="6" s="1"/>
  <c r="AA1187" i="6"/>
  <c r="Z1187" i="6" s="1"/>
  <c r="AD1186" i="6"/>
  <c r="AB1186" i="6"/>
  <c r="AD1187" i="6" l="1"/>
  <c r="AB1187" i="6"/>
  <c r="Y1189" i="6"/>
  <c r="AH1188" i="6"/>
  <c r="AE1188" i="6"/>
  <c r="AF1188" i="6" s="1"/>
  <c r="AG1188" i="6"/>
  <c r="AC1188" i="6"/>
  <c r="AA1188" i="6"/>
  <c r="Z1188" i="6" s="1"/>
  <c r="AD1188" i="6" l="1"/>
  <c r="AB1188" i="6"/>
  <c r="Y1190" i="6"/>
  <c r="AH1189" i="6"/>
  <c r="AG1189" i="6"/>
  <c r="AE1189" i="6"/>
  <c r="AF1189" i="6" s="1"/>
  <c r="AC1189" i="6"/>
  <c r="AA1189" i="6"/>
  <c r="Z1189" i="6" s="1"/>
  <c r="AB1189" i="6" l="1"/>
  <c r="AD1189" i="6"/>
  <c r="AH1190" i="6"/>
  <c r="AE1190" i="6"/>
  <c r="AF1190" i="6" s="1"/>
  <c r="AC1190" i="6"/>
  <c r="Y1191" i="6"/>
  <c r="AG1190" i="6"/>
  <c r="AA1190" i="6"/>
  <c r="Z1190" i="6" s="1"/>
  <c r="AG1191" i="6" l="1"/>
  <c r="AA1191" i="6"/>
  <c r="Z1191" i="6" s="1"/>
  <c r="AH1191" i="6"/>
  <c r="AE1191" i="6"/>
  <c r="AF1191" i="6" s="1"/>
  <c r="Y1192" i="6"/>
  <c r="AC1191" i="6"/>
  <c r="AD1190" i="6"/>
  <c r="AB1190" i="6"/>
  <c r="AD1191" i="6" l="1"/>
  <c r="AB1191" i="6"/>
  <c r="AE1192" i="6"/>
  <c r="AF1192" i="6" s="1"/>
  <c r="AA1192" i="6"/>
  <c r="Z1192" i="6" s="1"/>
  <c r="Y1193" i="6"/>
  <c r="AH1192" i="6"/>
  <c r="AG1192" i="6"/>
  <c r="AC1192" i="6"/>
  <c r="S28" i="8"/>
  <c r="AB1192" i="6" l="1"/>
  <c r="AD1192" i="6"/>
  <c r="Y1194" i="6"/>
  <c r="AE1193" i="6"/>
  <c r="AF1193" i="6" s="1"/>
  <c r="AH1193" i="6"/>
  <c r="AG1193" i="6"/>
  <c r="AC1193" i="6"/>
  <c r="AA1193" i="6"/>
  <c r="Z1193" i="6" s="1"/>
  <c r="AD1193" i="6" l="1"/>
  <c r="AB1193" i="6"/>
  <c r="AH1194" i="6"/>
  <c r="AE1194" i="6"/>
  <c r="AF1194" i="6" s="1"/>
  <c r="AC1194" i="6"/>
  <c r="AA1194" i="6"/>
  <c r="Z1194" i="6" s="1"/>
  <c r="Y1195" i="6"/>
  <c r="AG1194" i="6"/>
  <c r="AC1195" i="6" l="1"/>
  <c r="Y1196" i="6"/>
  <c r="AH1195" i="6"/>
  <c r="AG1195" i="6"/>
  <c r="AE1195" i="6"/>
  <c r="AF1195" i="6" s="1"/>
  <c r="AA1195" i="6"/>
  <c r="Z1195" i="6" s="1"/>
  <c r="AD1194" i="6"/>
  <c r="AB1194" i="6"/>
  <c r="AG1196" i="6" l="1"/>
  <c r="AE1196" i="6"/>
  <c r="AF1196" i="6" s="1"/>
  <c r="Y1197" i="6"/>
  <c r="AH1196" i="6"/>
  <c r="AC1196" i="6"/>
  <c r="AA1196" i="6"/>
  <c r="Z1196" i="6" s="1"/>
  <c r="AB1195" i="6"/>
  <c r="AD1195" i="6"/>
  <c r="AD1196" i="6" l="1"/>
  <c r="AB1196" i="6"/>
  <c r="AC1197" i="6"/>
  <c r="AG1197" i="6"/>
  <c r="AE1197" i="6"/>
  <c r="AF1197" i="6" s="1"/>
  <c r="Y1198" i="6"/>
  <c r="AH1197" i="6"/>
  <c r="AA1197" i="6"/>
  <c r="Z1197" i="6" s="1"/>
  <c r="AG1198" i="6" l="1"/>
  <c r="AC1198" i="6"/>
  <c r="AA1198" i="6"/>
  <c r="Z1198" i="6" s="1"/>
  <c r="Y1199" i="6"/>
  <c r="AH1198" i="6"/>
  <c r="AE1198" i="6"/>
  <c r="AF1198" i="6" s="1"/>
  <c r="AB1197" i="6"/>
  <c r="AD1197" i="6"/>
  <c r="AH1199" i="6" l="1"/>
  <c r="AG1199" i="6"/>
  <c r="Y1200" i="6"/>
  <c r="AE1199" i="6"/>
  <c r="AF1199" i="6" s="1"/>
  <c r="AC1199" i="6"/>
  <c r="AA1199" i="6"/>
  <c r="Z1199" i="6" s="1"/>
  <c r="AD1198" i="6"/>
  <c r="AB1198" i="6"/>
  <c r="AD1199" i="6" l="1"/>
  <c r="AB1199" i="6"/>
  <c r="AA1200" i="6"/>
  <c r="Z1200" i="6" s="1"/>
  <c r="AH1200" i="6"/>
  <c r="AG1200" i="6"/>
  <c r="AC1200" i="6"/>
  <c r="Y1201" i="6"/>
  <c r="AE1200" i="6"/>
  <c r="AF1200" i="6" s="1"/>
  <c r="AH1201" i="6" l="1"/>
  <c r="AE1201" i="6"/>
  <c r="AF1201" i="6" s="1"/>
  <c r="AC1201" i="6"/>
  <c r="AA1201" i="6"/>
  <c r="Z1201" i="6" s="1"/>
  <c r="AG1201" i="6"/>
  <c r="Y1202" i="6"/>
  <c r="AD1200" i="6"/>
  <c r="AB1200" i="6"/>
  <c r="Y1203" i="6" l="1"/>
  <c r="AH1202" i="6"/>
  <c r="AG1202" i="6"/>
  <c r="AE1202" i="6"/>
  <c r="AF1202" i="6" s="1"/>
  <c r="AC1202" i="6"/>
  <c r="AA1202" i="6"/>
  <c r="Z1202" i="6" s="1"/>
  <c r="AD1201" i="6"/>
  <c r="AB1201" i="6"/>
  <c r="AD1202" i="6" l="1"/>
  <c r="AB1202" i="6"/>
  <c r="Y1204" i="6"/>
  <c r="AH1203" i="6"/>
  <c r="AG1203" i="6"/>
  <c r="AE1203" i="6"/>
  <c r="AF1203" i="6" s="1"/>
  <c r="AA1203" i="6"/>
  <c r="Z1203" i="6" s="1"/>
  <c r="AC1203" i="6"/>
  <c r="AB1203" i="6" l="1"/>
  <c r="AD1203" i="6"/>
  <c r="Y1205" i="6"/>
  <c r="AE1204" i="6"/>
  <c r="AF1204" i="6" s="1"/>
  <c r="AC1204" i="6"/>
  <c r="AH1204" i="6"/>
  <c r="AG1204" i="6"/>
  <c r="AA1204" i="6"/>
  <c r="Z1204" i="6" s="1"/>
  <c r="AD1204" i="6" l="1"/>
  <c r="AB1204" i="6"/>
  <c r="AG1205" i="6"/>
  <c r="AC1205" i="6"/>
  <c r="AA1205" i="6"/>
  <c r="Z1205" i="6" s="1"/>
  <c r="Y1206" i="6"/>
  <c r="AH1205" i="6"/>
  <c r="AE1205" i="6"/>
  <c r="AF1205" i="6" s="1"/>
  <c r="Y1207" i="6" l="1"/>
  <c r="AH1206" i="6"/>
  <c r="AC1206" i="6"/>
  <c r="AA1206" i="6"/>
  <c r="Z1206" i="6" s="1"/>
  <c r="AG1206" i="6"/>
  <c r="AE1206" i="6"/>
  <c r="AF1206" i="6" s="1"/>
  <c r="AD1205" i="6"/>
  <c r="AB1205" i="6"/>
  <c r="S27" i="8"/>
  <c r="AB1206" i="6" l="1"/>
  <c r="AD1206" i="6"/>
  <c r="AG1207" i="6"/>
  <c r="Y1208" i="6"/>
  <c r="AE1207" i="6"/>
  <c r="AF1207" i="6" s="1"/>
  <c r="AH1207" i="6"/>
  <c r="AC1207" i="6"/>
  <c r="AA1207" i="6"/>
  <c r="Z1207" i="6" s="1"/>
  <c r="AD1207" i="6" l="1"/>
  <c r="AB1207" i="6"/>
  <c r="AH1208" i="6"/>
  <c r="AE1208" i="6"/>
  <c r="AF1208" i="6" s="1"/>
  <c r="Y1209" i="6"/>
  <c r="AG1208" i="6"/>
  <c r="AC1208" i="6"/>
  <c r="AA1208" i="6"/>
  <c r="Z1208" i="6" s="1"/>
  <c r="AD1208" i="6" l="1"/>
  <c r="AB1208" i="6"/>
  <c r="Y1210" i="6"/>
  <c r="AH1209" i="6"/>
  <c r="AG1209" i="6"/>
  <c r="AC1209" i="6"/>
  <c r="AE1209" i="6"/>
  <c r="AF1209" i="6" s="1"/>
  <c r="AA1209" i="6"/>
  <c r="Z1209" i="6" s="1"/>
  <c r="AD1209" i="6" l="1"/>
  <c r="AB1209" i="6"/>
  <c r="AG1210" i="6"/>
  <c r="AA1210" i="6"/>
  <c r="Z1210" i="6" s="1"/>
  <c r="Y1211" i="6"/>
  <c r="AH1210" i="6"/>
  <c r="AE1210" i="6"/>
  <c r="AF1210" i="6" s="1"/>
  <c r="AC1210" i="6"/>
  <c r="AD1210" i="6" l="1"/>
  <c r="AB1210" i="6"/>
  <c r="AG1211" i="6"/>
  <c r="AC1211" i="6"/>
  <c r="Y1212" i="6"/>
  <c r="AH1211" i="6"/>
  <c r="AE1211" i="6"/>
  <c r="AF1211" i="6" s="1"/>
  <c r="AA1211" i="6"/>
  <c r="Z1211" i="6" s="1"/>
  <c r="Y1213" i="6" l="1"/>
  <c r="AE1212" i="6"/>
  <c r="AF1212" i="6" s="1"/>
  <c r="AC1212" i="6"/>
  <c r="AH1212" i="6"/>
  <c r="AG1212" i="6"/>
  <c r="AA1212" i="6"/>
  <c r="Z1212" i="6" s="1"/>
  <c r="AD1211" i="6"/>
  <c r="AB1211" i="6"/>
  <c r="AD1212" i="6" l="1"/>
  <c r="AB1212" i="6"/>
  <c r="AE1213" i="6"/>
  <c r="AF1213" i="6" s="1"/>
  <c r="AC1213" i="6"/>
  <c r="AA1213" i="6"/>
  <c r="Z1213" i="6" s="1"/>
  <c r="AH1213" i="6"/>
  <c r="Y1214" i="6"/>
  <c r="AG1213" i="6"/>
  <c r="AC1214" i="6" l="1"/>
  <c r="Y1215" i="6"/>
  <c r="AG1214" i="6"/>
  <c r="AA1214" i="6"/>
  <c r="Z1214" i="6" s="1"/>
  <c r="AH1214" i="6"/>
  <c r="AE1214" i="6"/>
  <c r="AF1214" i="6" s="1"/>
  <c r="AB1213" i="6"/>
  <c r="AD1213" i="6"/>
  <c r="AH1215" i="6" l="1"/>
  <c r="AG1215" i="6"/>
  <c r="AE1215" i="6"/>
  <c r="AF1215" i="6" s="1"/>
  <c r="AA1215" i="6"/>
  <c r="Z1215" i="6" s="1"/>
  <c r="Y1216" i="6"/>
  <c r="AC1215" i="6"/>
  <c r="AB1214" i="6"/>
  <c r="AD1214" i="6"/>
  <c r="AD1215" i="6" l="1"/>
  <c r="AB1215" i="6"/>
  <c r="AC1216" i="6"/>
  <c r="AE1216" i="6"/>
  <c r="AF1216" i="6" s="1"/>
  <c r="AA1216" i="6"/>
  <c r="Z1216" i="6" s="1"/>
  <c r="Y1217" i="6"/>
  <c r="AH1216" i="6"/>
  <c r="AG1216" i="6"/>
  <c r="AD1216" i="6" l="1"/>
  <c r="AB1216" i="6"/>
  <c r="AE1217" i="6"/>
  <c r="AF1217" i="6" s="1"/>
  <c r="AA1217" i="6"/>
  <c r="Z1217" i="6" s="1"/>
  <c r="Y1218" i="6"/>
  <c r="AH1217" i="6"/>
  <c r="AG1217" i="6"/>
  <c r="AC1217" i="6"/>
  <c r="AB1217" i="6" l="1"/>
  <c r="AD1217" i="6"/>
  <c r="Y1219" i="6"/>
  <c r="AH1218" i="6"/>
  <c r="AG1218" i="6"/>
  <c r="AE1218" i="6"/>
  <c r="AF1218" i="6" s="1"/>
  <c r="AC1218" i="6"/>
  <c r="AA1218" i="6"/>
  <c r="Z1218" i="6" s="1"/>
  <c r="AD1218" i="6" l="1"/>
  <c r="AB1218" i="6"/>
  <c r="AA1219" i="6"/>
  <c r="Z1219" i="6" s="1"/>
  <c r="AH1219" i="6"/>
  <c r="AG1219" i="6"/>
  <c r="AE1219" i="6"/>
  <c r="AF1219" i="6" s="1"/>
  <c r="Y1220" i="6"/>
  <c r="AC1219" i="6"/>
  <c r="AD1219" i="6" l="1"/>
  <c r="AB1219" i="6"/>
  <c r="AA1220" i="6"/>
  <c r="Z1220" i="6" s="1"/>
  <c r="AH1220" i="6"/>
  <c r="AG1220" i="6"/>
  <c r="AE1220" i="6"/>
  <c r="AF1220" i="6" s="1"/>
  <c r="AC1220" i="6"/>
  <c r="Y1221" i="6"/>
  <c r="S26" i="8"/>
  <c r="Y1222" i="6" l="1"/>
  <c r="AG1221" i="6"/>
  <c r="AE1221" i="6"/>
  <c r="AF1221" i="6" s="1"/>
  <c r="AC1221" i="6"/>
  <c r="AA1221" i="6"/>
  <c r="Z1221" i="6" s="1"/>
  <c r="AH1221" i="6"/>
  <c r="AD1220" i="6"/>
  <c r="AB1220" i="6"/>
  <c r="AD1221" i="6" l="1"/>
  <c r="AB1221" i="6"/>
  <c r="Y1223" i="6"/>
  <c r="AH1222" i="6"/>
  <c r="AG1222" i="6"/>
  <c r="AE1222" i="6"/>
  <c r="AF1222" i="6" s="1"/>
  <c r="AC1222" i="6"/>
  <c r="AA1222" i="6"/>
  <c r="Z1222" i="6" s="1"/>
  <c r="AB1222" i="6" l="1"/>
  <c r="AD1222" i="6"/>
  <c r="AC1223" i="6"/>
  <c r="AA1223" i="6"/>
  <c r="Z1223" i="6" s="1"/>
  <c r="Y1224" i="6"/>
  <c r="AG1223" i="6"/>
  <c r="AH1223" i="6"/>
  <c r="AE1223" i="6"/>
  <c r="AF1223" i="6" s="1"/>
  <c r="AG1224" i="6" l="1"/>
  <c r="AH1224" i="6"/>
  <c r="AE1224" i="6"/>
  <c r="AF1224" i="6" s="1"/>
  <c r="AC1224" i="6"/>
  <c r="Y1225" i="6"/>
  <c r="AA1224" i="6"/>
  <c r="Z1224" i="6" s="1"/>
  <c r="AB1223" i="6"/>
  <c r="AD1223" i="6"/>
  <c r="Y1226" i="6" l="1"/>
  <c r="AH1225" i="6"/>
  <c r="AG1225" i="6"/>
  <c r="AE1225" i="6"/>
  <c r="AF1225" i="6" s="1"/>
  <c r="AC1225" i="6"/>
  <c r="AA1225" i="6"/>
  <c r="Z1225" i="6" s="1"/>
  <c r="AD1224" i="6"/>
  <c r="AB1224" i="6"/>
  <c r="AD1225" i="6" l="1"/>
  <c r="AB1225" i="6"/>
  <c r="AE1226" i="6"/>
  <c r="AF1226" i="6" s="1"/>
  <c r="AC1226" i="6"/>
  <c r="AA1226" i="6"/>
  <c r="Z1226" i="6" s="1"/>
  <c r="Y1227" i="6"/>
  <c r="AH1226" i="6"/>
  <c r="AG1226" i="6"/>
  <c r="AE1227" i="6" l="1"/>
  <c r="AF1227" i="6" s="1"/>
  <c r="AH1227" i="6"/>
  <c r="AG1227" i="6"/>
  <c r="AA1227" i="6"/>
  <c r="Z1227" i="6" s="1"/>
  <c r="Y1228" i="6"/>
  <c r="AC1227" i="6"/>
  <c r="AB1226" i="6"/>
  <c r="AD1226" i="6"/>
  <c r="AB1227" i="6" l="1"/>
  <c r="AD1227" i="6"/>
  <c r="AH1228" i="6"/>
  <c r="AG1228" i="6"/>
  <c r="Y1229" i="6"/>
  <c r="AE1228" i="6"/>
  <c r="AF1228" i="6" s="1"/>
  <c r="AC1228" i="6"/>
  <c r="AA1228" i="6"/>
  <c r="Z1228" i="6" s="1"/>
  <c r="AD1228" i="6" l="1"/>
  <c r="AB1228" i="6"/>
  <c r="AA1229" i="6"/>
  <c r="Z1229" i="6" s="1"/>
  <c r="AG1229" i="6"/>
  <c r="AE1229" i="6"/>
  <c r="AF1229" i="6" s="1"/>
  <c r="AC1229" i="6"/>
  <c r="Y1230" i="6"/>
  <c r="AH1229" i="6"/>
  <c r="AC1230" i="6" l="1"/>
  <c r="Y1231" i="6"/>
  <c r="AH1230" i="6"/>
  <c r="AE1230" i="6"/>
  <c r="AF1230" i="6" s="1"/>
  <c r="AA1230" i="6"/>
  <c r="Z1230" i="6" s="1"/>
  <c r="AG1230" i="6"/>
  <c r="AD1229" i="6"/>
  <c r="AB1229" i="6"/>
  <c r="AG1231" i="6" l="1"/>
  <c r="Y1232" i="6"/>
  <c r="AH1231" i="6"/>
  <c r="AE1231" i="6"/>
  <c r="AF1231" i="6" s="1"/>
  <c r="AC1231" i="6"/>
  <c r="AA1231" i="6"/>
  <c r="Z1231" i="6" s="1"/>
  <c r="AD1230" i="6"/>
  <c r="AB1230" i="6"/>
  <c r="AD1231" i="6" l="1"/>
  <c r="AB1231" i="6"/>
  <c r="AC1232" i="6"/>
  <c r="Y1233" i="6"/>
  <c r="AH1232" i="6"/>
  <c r="AG1232" i="6"/>
  <c r="AE1232" i="6"/>
  <c r="AF1232" i="6" s="1"/>
  <c r="AA1232" i="6"/>
  <c r="Z1232" i="6" s="1"/>
  <c r="AB1232" i="6" l="1"/>
  <c r="AD1232" i="6"/>
  <c r="AA1233" i="6"/>
  <c r="Z1233" i="6" s="1"/>
  <c r="AH1233" i="6"/>
  <c r="AG1233" i="6"/>
  <c r="AE1233" i="6"/>
  <c r="AF1233" i="6" s="1"/>
  <c r="Y1234" i="6"/>
  <c r="AC1233" i="6"/>
  <c r="AD1233" i="6" l="1"/>
  <c r="AB1233" i="6"/>
  <c r="Y1235" i="6"/>
  <c r="AE1234" i="6"/>
  <c r="AF1234" i="6" s="1"/>
  <c r="AG1234" i="6"/>
  <c r="AC1234" i="6"/>
  <c r="AA1234" i="6"/>
  <c r="Z1234" i="6" s="1"/>
  <c r="AH1234" i="6"/>
  <c r="S25" i="8"/>
  <c r="AB1234" i="6" l="1"/>
  <c r="AD1234" i="6"/>
  <c r="Y1236" i="6"/>
  <c r="AH1235" i="6"/>
  <c r="AG1235" i="6"/>
  <c r="AE1235" i="6"/>
  <c r="AF1235" i="6" s="1"/>
  <c r="AC1235" i="6"/>
  <c r="AA1235" i="6"/>
  <c r="Z1235" i="6" s="1"/>
  <c r="AB1235" i="6" l="1"/>
  <c r="AD1235" i="6"/>
  <c r="AH1236" i="6"/>
  <c r="AG1236" i="6"/>
  <c r="AC1236" i="6"/>
  <c r="AA1236" i="6"/>
  <c r="Z1236" i="6" s="1"/>
  <c r="Y1237" i="6"/>
  <c r="AE1236" i="6"/>
  <c r="AF1236" i="6" s="1"/>
  <c r="AH1237" i="6" l="1"/>
  <c r="AE1237" i="6"/>
  <c r="AF1237" i="6" s="1"/>
  <c r="Y1238" i="6"/>
  <c r="AC1237" i="6"/>
  <c r="AG1237" i="6"/>
  <c r="AA1237" i="6"/>
  <c r="Z1237" i="6" s="1"/>
  <c r="AD1236" i="6"/>
  <c r="AB1236" i="6"/>
  <c r="AD1237" i="6" l="1"/>
  <c r="AB1237" i="6"/>
  <c r="AG1238" i="6"/>
  <c r="AA1238" i="6"/>
  <c r="Z1238" i="6" s="1"/>
  <c r="Y1239" i="6"/>
  <c r="AH1238" i="6"/>
  <c r="AC1238" i="6"/>
  <c r="AE1238" i="6"/>
  <c r="AF1238" i="6" s="1"/>
  <c r="AD1238" i="6" l="1"/>
  <c r="AB1238" i="6"/>
  <c r="AG1239" i="6"/>
  <c r="Y1240" i="6"/>
  <c r="AH1239" i="6"/>
  <c r="AE1239" i="6"/>
  <c r="AF1239" i="6" s="1"/>
  <c r="AC1239" i="6"/>
  <c r="AA1239" i="6"/>
  <c r="Z1239" i="6" s="1"/>
  <c r="AD1239" i="6" l="1"/>
  <c r="AB1239" i="6"/>
  <c r="AG1240" i="6"/>
  <c r="AC1240" i="6"/>
  <c r="AA1240" i="6"/>
  <c r="Z1240" i="6" s="1"/>
  <c r="AH1240" i="6"/>
  <c r="Y1241" i="6"/>
  <c r="AE1240" i="6"/>
  <c r="AF1240" i="6" s="1"/>
  <c r="AE1241" i="6" l="1"/>
  <c r="AF1241" i="6" s="1"/>
  <c r="Y1242" i="6"/>
  <c r="AH1241" i="6"/>
  <c r="AG1241" i="6"/>
  <c r="AA1241" i="6"/>
  <c r="Z1241" i="6" s="1"/>
  <c r="AC1241" i="6"/>
  <c r="AD1240" i="6"/>
  <c r="AB1240" i="6"/>
  <c r="AB1241" i="6" l="1"/>
  <c r="AD1241" i="6"/>
  <c r="AE1242" i="6"/>
  <c r="AF1242" i="6" s="1"/>
  <c r="Y1243" i="6"/>
  <c r="AH1242" i="6"/>
  <c r="AG1242" i="6"/>
  <c r="AC1242" i="6"/>
  <c r="AA1242" i="6"/>
  <c r="Z1242" i="6" s="1"/>
  <c r="AD1242" i="6" l="1"/>
  <c r="AB1242" i="6"/>
  <c r="Y1244" i="6"/>
  <c r="AC1243" i="6"/>
  <c r="AH1243" i="6"/>
  <c r="AG1243" i="6"/>
  <c r="AE1243" i="6"/>
  <c r="AF1243" i="6" s="1"/>
  <c r="AA1243" i="6"/>
  <c r="Z1243" i="6" s="1"/>
  <c r="AB1243" i="6" l="1"/>
  <c r="AD1243" i="6"/>
  <c r="AC1244" i="6"/>
  <c r="AH1244" i="6"/>
  <c r="AG1244" i="6"/>
  <c r="AE1244" i="6"/>
  <c r="AF1244" i="6" s="1"/>
  <c r="Y1245" i="6"/>
  <c r="AA1244" i="6"/>
  <c r="Z1244" i="6" s="1"/>
  <c r="AE1245" i="6" l="1"/>
  <c r="AF1245" i="6" s="1"/>
  <c r="Y1246" i="6"/>
  <c r="AH1245" i="6"/>
  <c r="AG1245" i="6"/>
  <c r="AC1245" i="6"/>
  <c r="AA1245" i="6"/>
  <c r="Z1245" i="6" s="1"/>
  <c r="AD1244" i="6"/>
  <c r="AB1244" i="6"/>
  <c r="AD1245" i="6" l="1"/>
  <c r="AB1245" i="6"/>
  <c r="AH1246" i="6"/>
  <c r="AE1246" i="6"/>
  <c r="AF1246" i="6" s="1"/>
  <c r="AA1246" i="6"/>
  <c r="Z1246" i="6" s="1"/>
  <c r="Y1247" i="6"/>
  <c r="AG1246" i="6"/>
  <c r="AC1246" i="6"/>
  <c r="AB1246" i="6" l="1"/>
  <c r="AD1246" i="6"/>
  <c r="AA1247" i="6"/>
  <c r="Z1247" i="6" s="1"/>
  <c r="AE1247" i="6"/>
  <c r="AF1247" i="6" s="1"/>
  <c r="AC1247" i="6"/>
  <c r="Y1248" i="6"/>
  <c r="AH1247" i="6"/>
  <c r="AG1247" i="6"/>
  <c r="AC1248" i="6" l="1"/>
  <c r="Y1249" i="6"/>
  <c r="AH1248" i="6"/>
  <c r="AG1248" i="6"/>
  <c r="AE1248" i="6"/>
  <c r="AF1248" i="6" s="1"/>
  <c r="AA1248" i="6"/>
  <c r="Z1248" i="6" s="1"/>
  <c r="AD1247" i="6"/>
  <c r="AB1247" i="6"/>
  <c r="S24" i="8"/>
  <c r="Y1250" i="6" l="1"/>
  <c r="AG1249" i="6"/>
  <c r="AA1249" i="6"/>
  <c r="Z1249" i="6" s="1"/>
  <c r="AH1249" i="6"/>
  <c r="AE1249" i="6"/>
  <c r="AF1249" i="6" s="1"/>
  <c r="AC1249" i="6"/>
  <c r="AD1248" i="6"/>
  <c r="AB1248" i="6"/>
  <c r="AD1249" i="6" l="1"/>
  <c r="AB1249" i="6"/>
  <c r="Y1251" i="6"/>
  <c r="AH1250" i="6"/>
  <c r="AG1250" i="6"/>
  <c r="AE1250" i="6"/>
  <c r="AF1250" i="6" s="1"/>
  <c r="AC1250" i="6"/>
  <c r="AA1250" i="6"/>
  <c r="Z1250" i="6" s="1"/>
  <c r="AD1250" i="6" l="1"/>
  <c r="AB1250" i="6"/>
  <c r="Y1252" i="6"/>
  <c r="AC1251" i="6"/>
  <c r="AA1251" i="6"/>
  <c r="Z1251" i="6" s="1"/>
  <c r="AH1251" i="6"/>
  <c r="AG1251" i="6"/>
  <c r="AE1251" i="6"/>
  <c r="AF1251" i="6" s="1"/>
  <c r="AB1251" i="6" l="1"/>
  <c r="AD1251" i="6"/>
  <c r="AG1252" i="6"/>
  <c r="AC1252" i="6"/>
  <c r="Y1253" i="6"/>
  <c r="AH1252" i="6"/>
  <c r="AE1252" i="6"/>
  <c r="AF1252" i="6" s="1"/>
  <c r="AA1252" i="6"/>
  <c r="Z1252" i="6" s="1"/>
  <c r="Y1254" i="6" l="1"/>
  <c r="AH1253" i="6"/>
  <c r="AG1253" i="6"/>
  <c r="AE1253" i="6"/>
  <c r="AF1253" i="6" s="1"/>
  <c r="AC1253" i="6"/>
  <c r="AA1253" i="6"/>
  <c r="Z1253" i="6" s="1"/>
  <c r="AB1252" i="6"/>
  <c r="AD1252" i="6"/>
  <c r="AD1253" i="6" l="1"/>
  <c r="AB1253" i="6"/>
  <c r="Y1255" i="6"/>
  <c r="AH1254" i="6"/>
  <c r="AA1254" i="6"/>
  <c r="Z1254" i="6" s="1"/>
  <c r="AG1254" i="6"/>
  <c r="AE1254" i="6"/>
  <c r="AF1254" i="6" s="1"/>
  <c r="AC1254" i="6"/>
  <c r="AB1254" i="6" l="1"/>
  <c r="AD1254" i="6"/>
  <c r="AE1255" i="6"/>
  <c r="AF1255" i="6" s="1"/>
  <c r="Y1256" i="6"/>
  <c r="AH1255" i="6"/>
  <c r="AG1255" i="6"/>
  <c r="AC1255" i="6"/>
  <c r="AA1255" i="6"/>
  <c r="Z1255" i="6" s="1"/>
  <c r="AB1255" i="6" l="1"/>
  <c r="AD1255" i="6"/>
  <c r="Y1257" i="6"/>
  <c r="AH1256" i="6"/>
  <c r="AG1256" i="6"/>
  <c r="AE1256" i="6"/>
  <c r="AF1256" i="6" s="1"/>
  <c r="AC1256" i="6"/>
  <c r="AA1256" i="6"/>
  <c r="Z1256" i="6" s="1"/>
  <c r="AD1256" i="6" l="1"/>
  <c r="AB1256" i="6"/>
  <c r="AH1257" i="6"/>
  <c r="AG1257" i="6"/>
  <c r="AA1257" i="6"/>
  <c r="Z1257" i="6" s="1"/>
  <c r="Y1258" i="6"/>
  <c r="AE1257" i="6"/>
  <c r="AF1257" i="6" s="1"/>
  <c r="AC1257" i="6"/>
  <c r="AD1257" i="6" l="1"/>
  <c r="AB1257" i="6"/>
  <c r="AC1258" i="6"/>
  <c r="AE1258" i="6"/>
  <c r="AF1258" i="6" s="1"/>
  <c r="AA1258" i="6"/>
  <c r="Z1258" i="6" s="1"/>
  <c r="AH1258" i="6"/>
  <c r="AG1258" i="6"/>
  <c r="Y1259" i="6"/>
  <c r="Y1260" i="6" l="1"/>
  <c r="AH1259" i="6"/>
  <c r="AG1259" i="6"/>
  <c r="AE1259" i="6"/>
  <c r="AF1259" i="6" s="1"/>
  <c r="AC1259" i="6"/>
  <c r="AA1259" i="6"/>
  <c r="Z1259" i="6" s="1"/>
  <c r="AD1258" i="6"/>
  <c r="AB1258" i="6"/>
  <c r="AD1259" i="6" l="1"/>
  <c r="AB1259" i="6"/>
  <c r="AH1260" i="6"/>
  <c r="AG1260" i="6"/>
  <c r="Y1261" i="6"/>
  <c r="AE1260" i="6"/>
  <c r="AF1260" i="6" s="1"/>
  <c r="AC1260" i="6"/>
  <c r="AA1260" i="6"/>
  <c r="Z1260" i="6" s="1"/>
  <c r="AD1260" i="6" l="1"/>
  <c r="AB1260" i="6"/>
  <c r="AA1261" i="6"/>
  <c r="Z1261" i="6" s="1"/>
  <c r="Y1262" i="6"/>
  <c r="AH1261" i="6"/>
  <c r="AG1261" i="6"/>
  <c r="AE1261" i="6"/>
  <c r="AF1261" i="6" s="1"/>
  <c r="AC1261" i="6"/>
  <c r="AD1261" i="6" l="1"/>
  <c r="AB1261" i="6"/>
  <c r="Y1263" i="6"/>
  <c r="AH1262" i="6"/>
  <c r="AC1262" i="6"/>
  <c r="AA1262" i="6"/>
  <c r="Z1262" i="6" s="1"/>
  <c r="AG1262" i="6"/>
  <c r="AE1262" i="6"/>
  <c r="AF1262" i="6" s="1"/>
  <c r="S23" i="8"/>
  <c r="AD1262" i="6" l="1"/>
  <c r="AB1262" i="6"/>
  <c r="Y1264" i="6"/>
  <c r="AG1263" i="6"/>
  <c r="AE1263" i="6"/>
  <c r="AF1263" i="6" s="1"/>
  <c r="AH1263" i="6"/>
  <c r="AC1263" i="6"/>
  <c r="AA1263" i="6"/>
  <c r="Z1263" i="6" s="1"/>
  <c r="AB1263" i="6" l="1"/>
  <c r="AD1263" i="6"/>
  <c r="AC1264" i="6"/>
  <c r="Y1265" i="6"/>
  <c r="AH1264" i="6"/>
  <c r="AG1264" i="6"/>
  <c r="AE1264" i="6"/>
  <c r="AF1264" i="6" s="1"/>
  <c r="AA1264" i="6"/>
  <c r="Z1264" i="6" s="1"/>
  <c r="AD1264" i="6" l="1"/>
  <c r="AB1264" i="6"/>
  <c r="AH1265" i="6"/>
  <c r="AG1265" i="6"/>
  <c r="Y1266" i="6"/>
  <c r="AE1265" i="6"/>
  <c r="AF1265" i="6" s="1"/>
  <c r="AC1265" i="6"/>
  <c r="AA1265" i="6"/>
  <c r="Z1265" i="6" s="1"/>
  <c r="AD1265" i="6" l="1"/>
  <c r="AB1265" i="6"/>
  <c r="AG1266" i="6"/>
  <c r="Y1267" i="6"/>
  <c r="AE1266" i="6"/>
  <c r="AF1266" i="6" s="1"/>
  <c r="AA1266" i="6"/>
  <c r="Z1266" i="6" s="1"/>
  <c r="AH1266" i="6"/>
  <c r="AC1266" i="6"/>
  <c r="AD1266" i="6" l="1"/>
  <c r="AB1266" i="6"/>
  <c r="Y1268" i="6"/>
  <c r="AH1267" i="6"/>
  <c r="AG1267" i="6"/>
  <c r="AE1267" i="6"/>
  <c r="AF1267" i="6" s="1"/>
  <c r="AC1267" i="6"/>
  <c r="AA1267" i="6"/>
  <c r="Z1267" i="6" s="1"/>
  <c r="AB1267" i="6" l="1"/>
  <c r="AD1267" i="6"/>
  <c r="AG1268" i="6"/>
  <c r="Y1269" i="6"/>
  <c r="AH1268" i="6"/>
  <c r="AE1268" i="6"/>
  <c r="AF1268" i="6" s="1"/>
  <c r="AC1268" i="6"/>
  <c r="AA1268" i="6"/>
  <c r="Z1268" i="6" s="1"/>
  <c r="AD1268" i="6" l="1"/>
  <c r="AB1268" i="6"/>
  <c r="AE1269" i="6"/>
  <c r="AF1269" i="6" s="1"/>
  <c r="AH1269" i="6"/>
  <c r="AC1269" i="6"/>
  <c r="Y1270" i="6"/>
  <c r="AG1269" i="6"/>
  <c r="AA1269" i="6"/>
  <c r="Z1269" i="6" s="1"/>
  <c r="AA1270" i="6" l="1"/>
  <c r="Z1270" i="6" s="1"/>
  <c r="AC1270" i="6"/>
  <c r="Y1271" i="6"/>
  <c r="AH1270" i="6"/>
  <c r="AG1270" i="6"/>
  <c r="AE1270" i="6"/>
  <c r="AF1270" i="6" s="1"/>
  <c r="AD1269" i="6"/>
  <c r="AB1269" i="6"/>
  <c r="AE1271" i="6" l="1"/>
  <c r="AF1271" i="6" s="1"/>
  <c r="Y1272" i="6"/>
  <c r="AH1271" i="6"/>
  <c r="AG1271" i="6"/>
  <c r="AC1271" i="6"/>
  <c r="AA1271" i="6"/>
  <c r="Z1271" i="6" s="1"/>
  <c r="AD1270" i="6"/>
  <c r="AB1270" i="6"/>
  <c r="AD1271" i="6" l="1"/>
  <c r="AB1271" i="6"/>
  <c r="AC1272" i="6"/>
  <c r="AG1272" i="6"/>
  <c r="AE1272" i="6"/>
  <c r="AF1272" i="6" s="1"/>
  <c r="Y1273" i="6"/>
  <c r="AH1272" i="6"/>
  <c r="AA1272" i="6"/>
  <c r="Z1272" i="6" s="1"/>
  <c r="Y1274" i="6" l="1"/>
  <c r="AH1273" i="6"/>
  <c r="AG1273" i="6"/>
  <c r="AE1273" i="6"/>
  <c r="AF1273" i="6" s="1"/>
  <c r="AC1273" i="6"/>
  <c r="AA1273" i="6"/>
  <c r="Z1273" i="6" s="1"/>
  <c r="AD1272" i="6"/>
  <c r="AB1272" i="6"/>
  <c r="AD1273" i="6" l="1"/>
  <c r="AB1273" i="6"/>
  <c r="AE1274" i="6"/>
  <c r="AF1274" i="6" s="1"/>
  <c r="Y1275" i="6"/>
  <c r="AH1274" i="6"/>
  <c r="AG1274" i="6"/>
  <c r="AC1274" i="6"/>
  <c r="AA1274" i="6"/>
  <c r="Z1274" i="6" s="1"/>
  <c r="AD1274" i="6" l="1"/>
  <c r="AB1274" i="6"/>
  <c r="AA1275" i="6"/>
  <c r="Z1275" i="6" s="1"/>
  <c r="Y1276" i="6"/>
  <c r="AG1275" i="6"/>
  <c r="AC1275" i="6"/>
  <c r="AH1275" i="6"/>
  <c r="AE1275" i="6"/>
  <c r="AF1275" i="6" s="1"/>
  <c r="AD1275" i="6" l="1"/>
  <c r="AB1275" i="6"/>
  <c r="Y1277" i="6"/>
  <c r="AH1276" i="6"/>
  <c r="AG1276" i="6"/>
  <c r="AE1276" i="6"/>
  <c r="AF1276" i="6" s="1"/>
  <c r="AC1276" i="6"/>
  <c r="AA1276" i="6"/>
  <c r="Z1276" i="6" s="1"/>
  <c r="S22" i="8"/>
  <c r="AD1276" i="6" l="1"/>
  <c r="AB1276" i="6"/>
  <c r="Y1278" i="6"/>
  <c r="AC1277" i="6"/>
  <c r="AH1277" i="6"/>
  <c r="AG1277" i="6"/>
  <c r="AE1277" i="6"/>
  <c r="AF1277" i="6" s="1"/>
  <c r="AA1277" i="6"/>
  <c r="Z1277" i="6" s="1"/>
  <c r="Y1279" i="6" l="1"/>
  <c r="AG1278" i="6"/>
  <c r="AC1278" i="6"/>
  <c r="AA1278" i="6"/>
  <c r="Z1278" i="6" s="1"/>
  <c r="AH1278" i="6"/>
  <c r="AE1278" i="6"/>
  <c r="AF1278" i="6" s="1"/>
  <c r="AD1277" i="6"/>
  <c r="AB1277" i="6"/>
  <c r="AD1278" i="6" l="1"/>
  <c r="AB1278" i="6"/>
  <c r="Y1280" i="6"/>
  <c r="AH1279" i="6"/>
  <c r="AG1279" i="6"/>
  <c r="AC1279" i="6"/>
  <c r="AA1279" i="6"/>
  <c r="Z1279" i="6" s="1"/>
  <c r="AE1279" i="6"/>
  <c r="AF1279" i="6" s="1"/>
  <c r="AD1279" i="6" l="1"/>
  <c r="AB1279" i="6"/>
  <c r="AG1280" i="6"/>
  <c r="AE1280" i="6"/>
  <c r="AF1280" i="6" s="1"/>
  <c r="AC1280" i="6"/>
  <c r="Y1281" i="6"/>
  <c r="AH1280" i="6"/>
  <c r="AA1280" i="6"/>
  <c r="Z1280" i="6" s="1"/>
  <c r="Y1282" i="6" l="1"/>
  <c r="AG1281" i="6"/>
  <c r="AC1281" i="6"/>
  <c r="AH1281" i="6"/>
  <c r="AE1281" i="6"/>
  <c r="AF1281" i="6" s="1"/>
  <c r="AA1281" i="6"/>
  <c r="Z1281" i="6" s="1"/>
  <c r="AD1280" i="6"/>
  <c r="AB1280" i="6"/>
  <c r="AD1281" i="6" l="1"/>
  <c r="AB1281" i="6"/>
  <c r="AE1282" i="6"/>
  <c r="AF1282" i="6" s="1"/>
  <c r="AC1282" i="6"/>
  <c r="AA1282" i="6"/>
  <c r="Z1282" i="6" s="1"/>
  <c r="Y1283" i="6"/>
  <c r="AH1282" i="6"/>
  <c r="AG1282" i="6"/>
  <c r="AE1283" i="6" l="1"/>
  <c r="AF1283" i="6" s="1"/>
  <c r="Y1284" i="6"/>
  <c r="AH1283" i="6"/>
  <c r="AC1283" i="6"/>
  <c r="AA1283" i="6"/>
  <c r="Z1283" i="6" s="1"/>
  <c r="AG1283" i="6"/>
  <c r="AD1282" i="6"/>
  <c r="AB1282" i="6"/>
  <c r="AB1283" i="6" l="1"/>
  <c r="AD1283" i="6"/>
  <c r="Y1285" i="6"/>
  <c r="AG1284" i="6"/>
  <c r="AC1284" i="6"/>
  <c r="AH1284" i="6"/>
  <c r="AE1284" i="6"/>
  <c r="AF1284" i="6" s="1"/>
  <c r="AA1284" i="6"/>
  <c r="Z1284" i="6" s="1"/>
  <c r="AD1284" i="6" l="1"/>
  <c r="AB1284" i="6"/>
  <c r="Y1286" i="6"/>
  <c r="AH1285" i="6"/>
  <c r="AG1285" i="6"/>
  <c r="AE1285" i="6"/>
  <c r="AF1285" i="6" s="1"/>
  <c r="AC1285" i="6"/>
  <c r="AA1285" i="6"/>
  <c r="Z1285" i="6" s="1"/>
  <c r="AD1285" i="6" l="1"/>
  <c r="AB1285" i="6"/>
  <c r="AC1286" i="6"/>
  <c r="AE1286" i="6"/>
  <c r="AF1286" i="6" s="1"/>
  <c r="AG1286" i="6"/>
  <c r="AA1286" i="6"/>
  <c r="Z1286" i="6" s="1"/>
  <c r="Y1287" i="6"/>
  <c r="AH1286" i="6"/>
  <c r="Y1288" i="6" l="1"/>
  <c r="AH1287" i="6"/>
  <c r="AG1287" i="6"/>
  <c r="AC1287" i="6"/>
  <c r="AE1287" i="6"/>
  <c r="AF1287" i="6" s="1"/>
  <c r="AA1287" i="6"/>
  <c r="Z1287" i="6" s="1"/>
  <c r="AD1286" i="6"/>
  <c r="AB1286" i="6"/>
  <c r="AD1287" i="6" l="1"/>
  <c r="AB1287" i="6"/>
  <c r="AH1288" i="6"/>
  <c r="Y1289" i="6"/>
  <c r="AG1288" i="6"/>
  <c r="AE1288" i="6"/>
  <c r="AF1288" i="6" s="1"/>
  <c r="AC1288" i="6"/>
  <c r="AA1288" i="6"/>
  <c r="Z1288" i="6" s="1"/>
  <c r="AD1288" i="6" l="1"/>
  <c r="AB1288" i="6"/>
  <c r="AA1289" i="6"/>
  <c r="Z1289" i="6" s="1"/>
  <c r="AE1289" i="6"/>
  <c r="AF1289" i="6" s="1"/>
  <c r="Y1290" i="6"/>
  <c r="AH1289" i="6"/>
  <c r="AG1289" i="6"/>
  <c r="AC1289" i="6"/>
  <c r="AD1289" i="6" l="1"/>
  <c r="AB1289" i="6"/>
  <c r="Y1291" i="6"/>
  <c r="AH1290" i="6"/>
  <c r="AG1290" i="6"/>
  <c r="AC1290" i="6"/>
  <c r="AE1290" i="6"/>
  <c r="AF1290" i="6" s="1"/>
  <c r="AA1290" i="6"/>
  <c r="Z1290" i="6" s="1"/>
  <c r="S21" i="8"/>
  <c r="AD1290" i="6" l="1"/>
  <c r="AB1290" i="6"/>
  <c r="Y1292" i="6"/>
  <c r="AC1291" i="6"/>
  <c r="AA1291" i="6"/>
  <c r="Z1291" i="6" s="1"/>
  <c r="AH1291" i="6"/>
  <c r="AG1291" i="6"/>
  <c r="AE1291" i="6"/>
  <c r="AF1291" i="6" s="1"/>
  <c r="AE1292" i="6" l="1"/>
  <c r="AF1292" i="6" s="1"/>
  <c r="Y1293" i="6"/>
  <c r="AH1292" i="6"/>
  <c r="AG1292" i="6"/>
  <c r="AA1292" i="6"/>
  <c r="Z1292" i="6" s="1"/>
  <c r="AC1292" i="6"/>
  <c r="AB1291" i="6"/>
  <c r="AD1291" i="6"/>
  <c r="AD1292" i="6" l="1"/>
  <c r="AB1292" i="6"/>
  <c r="Y1294" i="6"/>
  <c r="AH1293" i="6"/>
  <c r="AG1293" i="6"/>
  <c r="AC1293" i="6"/>
  <c r="AE1293" i="6"/>
  <c r="AF1293" i="6" s="1"/>
  <c r="AA1293" i="6"/>
  <c r="Z1293" i="6" s="1"/>
  <c r="AD1293" i="6" l="1"/>
  <c r="AB1293" i="6"/>
  <c r="AG1294" i="6"/>
  <c r="Y1295" i="6"/>
  <c r="AH1294" i="6"/>
  <c r="AE1294" i="6"/>
  <c r="AF1294" i="6" s="1"/>
  <c r="AC1294" i="6"/>
  <c r="AA1294" i="6"/>
  <c r="Z1294" i="6" s="1"/>
  <c r="AD1294" i="6" l="1"/>
  <c r="AB1294" i="6"/>
  <c r="AE1295" i="6"/>
  <c r="AF1295" i="6" s="1"/>
  <c r="AC1295" i="6"/>
  <c r="AA1295" i="6"/>
  <c r="Z1295" i="6" s="1"/>
  <c r="AH1295" i="6"/>
  <c r="AG1295" i="6"/>
  <c r="Y1296" i="6"/>
  <c r="Y1297" i="6" l="1"/>
  <c r="AH1296" i="6"/>
  <c r="AG1296" i="6"/>
  <c r="AC1296" i="6"/>
  <c r="AE1296" i="6"/>
  <c r="AF1296" i="6" s="1"/>
  <c r="AA1296" i="6"/>
  <c r="Z1296" i="6" s="1"/>
  <c r="AD1295" i="6"/>
  <c r="AB1295" i="6"/>
  <c r="AD1296" i="6" l="1"/>
  <c r="AB1296" i="6"/>
  <c r="AE1297" i="6"/>
  <c r="AF1297" i="6" s="1"/>
  <c r="Y1298" i="6"/>
  <c r="AH1297" i="6"/>
  <c r="AG1297" i="6"/>
  <c r="AC1297" i="6"/>
  <c r="AA1297" i="6"/>
  <c r="Z1297" i="6" s="1"/>
  <c r="AB1297" i="6" l="1"/>
  <c r="AD1297" i="6"/>
  <c r="AE1298" i="6"/>
  <c r="AF1298" i="6" s="1"/>
  <c r="Y1299" i="6"/>
  <c r="AH1298" i="6"/>
  <c r="AG1298" i="6"/>
  <c r="AC1298" i="6"/>
  <c r="AA1298" i="6"/>
  <c r="Z1298" i="6" s="1"/>
  <c r="AD1298" i="6" l="1"/>
  <c r="AB1298" i="6"/>
  <c r="Y1300" i="6"/>
  <c r="AH1299" i="6"/>
  <c r="AG1299" i="6"/>
  <c r="AC1299" i="6"/>
  <c r="AE1299" i="6"/>
  <c r="AF1299" i="6" s="1"/>
  <c r="AA1299" i="6"/>
  <c r="Z1299" i="6" s="1"/>
  <c r="AD1299" i="6" l="1"/>
  <c r="AB1299" i="6"/>
  <c r="AC1300" i="6"/>
  <c r="AA1300" i="6"/>
  <c r="Z1300" i="6" s="1"/>
  <c r="Y1301" i="6"/>
  <c r="AH1300" i="6"/>
  <c r="AG1300" i="6"/>
  <c r="AE1300" i="6"/>
  <c r="AF1300" i="6" s="1"/>
  <c r="AE1301" i="6" l="1"/>
  <c r="AF1301" i="6" s="1"/>
  <c r="Y1302" i="6"/>
  <c r="AH1301" i="6"/>
  <c r="AG1301" i="6"/>
  <c r="AC1301" i="6"/>
  <c r="AA1301" i="6"/>
  <c r="Z1301" i="6" s="1"/>
  <c r="AD1300" i="6"/>
  <c r="AB1300" i="6"/>
  <c r="AD1301" i="6" l="1"/>
  <c r="AB1301" i="6"/>
  <c r="AH1302" i="6"/>
  <c r="Y1303" i="6"/>
  <c r="AG1302" i="6"/>
  <c r="AC1302" i="6"/>
  <c r="AE1302" i="6"/>
  <c r="AF1302" i="6" s="1"/>
  <c r="AA1302" i="6"/>
  <c r="Z1302" i="6" s="1"/>
  <c r="AD1302" i="6" l="1"/>
  <c r="AB1302" i="6"/>
  <c r="AA1303" i="6"/>
  <c r="Z1303" i="6" s="1"/>
  <c r="Y1304" i="6"/>
  <c r="AH1303" i="6"/>
  <c r="AG1303" i="6"/>
  <c r="AE1303" i="6"/>
  <c r="AF1303" i="6" s="1"/>
  <c r="AC1303" i="6"/>
  <c r="AD1303" i="6" l="1"/>
  <c r="AB1303" i="6"/>
  <c r="AE1304" i="6"/>
  <c r="AF1304" i="6" s="1"/>
  <c r="AC1304" i="6"/>
  <c r="AA1304" i="6"/>
  <c r="Z1304" i="6" s="1"/>
  <c r="Y1305" i="6"/>
  <c r="AH1304" i="6"/>
  <c r="AG1304" i="6"/>
  <c r="S20" i="8"/>
  <c r="AG1305" i="6" l="1"/>
  <c r="Y1306" i="6"/>
  <c r="AH1305" i="6"/>
  <c r="AE1305" i="6"/>
  <c r="AF1305" i="6" s="1"/>
  <c r="AC1305" i="6"/>
  <c r="AA1305" i="6"/>
  <c r="Z1305" i="6" s="1"/>
  <c r="AB1304" i="6"/>
  <c r="AD1304" i="6"/>
  <c r="AD1305" i="6" l="1"/>
  <c r="AB1305" i="6"/>
  <c r="AA1306" i="6"/>
  <c r="Z1306" i="6" s="1"/>
  <c r="Y1307" i="6"/>
  <c r="AH1306" i="6"/>
  <c r="AG1306" i="6"/>
  <c r="AE1306" i="6"/>
  <c r="AF1306" i="6" s="1"/>
  <c r="AC1306" i="6"/>
  <c r="AB1306" i="6" l="1"/>
  <c r="AD1306" i="6"/>
  <c r="AH1307" i="6"/>
  <c r="AG1307" i="6"/>
  <c r="Y1308" i="6"/>
  <c r="AE1307" i="6"/>
  <c r="AF1307" i="6" s="1"/>
  <c r="AC1307" i="6"/>
  <c r="AA1307" i="6"/>
  <c r="Z1307" i="6" s="1"/>
  <c r="AD1307" i="6" l="1"/>
  <c r="AB1307" i="6"/>
  <c r="Y1309" i="6"/>
  <c r="AG1308" i="6"/>
  <c r="AE1308" i="6"/>
  <c r="AF1308" i="6" s="1"/>
  <c r="AH1308" i="6"/>
  <c r="AC1308" i="6"/>
  <c r="AA1308" i="6"/>
  <c r="Z1308" i="6" s="1"/>
  <c r="AD1308" i="6" l="1"/>
  <c r="AB1308" i="6"/>
  <c r="AC1309" i="6"/>
  <c r="AA1309" i="6"/>
  <c r="Z1309" i="6" s="1"/>
  <c r="AE1309" i="6"/>
  <c r="AF1309" i="6" s="1"/>
  <c r="Y1310" i="6"/>
  <c r="AH1309" i="6"/>
  <c r="AG1309" i="6"/>
  <c r="Y1311" i="6" l="1"/>
  <c r="AH1310" i="6"/>
  <c r="AG1310" i="6"/>
  <c r="AE1310" i="6"/>
  <c r="AF1310" i="6" s="1"/>
  <c r="AA1310" i="6"/>
  <c r="Z1310" i="6" s="1"/>
  <c r="AC1310" i="6"/>
  <c r="AB1309" i="6"/>
  <c r="AD1309" i="6"/>
  <c r="AD1310" i="6" l="1"/>
  <c r="AB1310" i="6"/>
  <c r="AH1311" i="6"/>
  <c r="AG1311" i="6"/>
  <c r="AE1311" i="6"/>
  <c r="AF1311" i="6" s="1"/>
  <c r="Y1312" i="6"/>
  <c r="AC1311" i="6"/>
  <c r="AA1311" i="6"/>
  <c r="Z1311" i="6" s="1"/>
  <c r="AD1311" i="6" l="1"/>
  <c r="AB1311" i="6"/>
  <c r="AE1312" i="6"/>
  <c r="AF1312" i="6" s="1"/>
  <c r="AC1312" i="6"/>
  <c r="AA1312" i="6"/>
  <c r="Z1312" i="6" s="1"/>
  <c r="Y1313" i="6"/>
  <c r="AH1312" i="6"/>
  <c r="AG1312" i="6"/>
  <c r="AH1313" i="6" l="1"/>
  <c r="AG1313" i="6"/>
  <c r="AE1313" i="6"/>
  <c r="AF1313" i="6" s="1"/>
  <c r="AC1313" i="6"/>
  <c r="AA1313" i="6"/>
  <c r="Z1313" i="6" s="1"/>
  <c r="Y1314" i="6"/>
  <c r="AD1312" i="6"/>
  <c r="AB1312" i="6"/>
  <c r="AG1314" i="6" l="1"/>
  <c r="AA1314" i="6"/>
  <c r="Z1314" i="6" s="1"/>
  <c r="Y1315" i="6"/>
  <c r="AH1314" i="6"/>
  <c r="AE1314" i="6"/>
  <c r="AF1314" i="6" s="1"/>
  <c r="AC1314" i="6"/>
  <c r="AD1313" i="6"/>
  <c r="AB1313" i="6"/>
  <c r="AD1314" i="6" l="1"/>
  <c r="AB1314" i="6"/>
  <c r="AG1315" i="6"/>
  <c r="AE1315" i="6"/>
  <c r="AF1315" i="6" s="1"/>
  <c r="AC1315" i="6"/>
  <c r="AA1315" i="6"/>
  <c r="Z1315" i="6" s="1"/>
  <c r="AH1315" i="6"/>
  <c r="Y1316" i="6"/>
  <c r="Y1317" i="6" l="1"/>
  <c r="AH1316" i="6"/>
  <c r="AG1316" i="6"/>
  <c r="AE1316" i="6"/>
  <c r="AF1316" i="6" s="1"/>
  <c r="AC1316" i="6"/>
  <c r="AA1316" i="6"/>
  <c r="Z1316" i="6" s="1"/>
  <c r="AD1315" i="6"/>
  <c r="AB1315" i="6"/>
  <c r="AB1316" i="6" l="1"/>
  <c r="AD1316" i="6"/>
  <c r="AE1317" i="6"/>
  <c r="AF1317" i="6" s="1"/>
  <c r="AC1317" i="6"/>
  <c r="AH1317" i="6"/>
  <c r="Y1318" i="6"/>
  <c r="AG1317" i="6"/>
  <c r="AA1317" i="6"/>
  <c r="Z1317" i="6" s="1"/>
  <c r="Y1319" i="6" l="1"/>
  <c r="AH1318" i="6"/>
  <c r="AG1318" i="6"/>
  <c r="AE1318" i="6"/>
  <c r="AF1318" i="6" s="1"/>
  <c r="AC1318" i="6"/>
  <c r="AA1318" i="6"/>
  <c r="Z1318" i="6" s="1"/>
  <c r="AD1317" i="6"/>
  <c r="AB1317" i="6"/>
  <c r="S19" i="8"/>
  <c r="AD1318" i="6" l="1"/>
  <c r="AB1318" i="6"/>
  <c r="AE1319" i="6"/>
  <c r="AF1319" i="6" s="1"/>
  <c r="AC1319" i="6"/>
  <c r="AA1319" i="6"/>
  <c r="Z1319" i="6" s="1"/>
  <c r="Y1320" i="6"/>
  <c r="AH1319" i="6"/>
  <c r="AG1319" i="6"/>
  <c r="AE1320" i="6" l="1"/>
  <c r="AF1320" i="6" s="1"/>
  <c r="AH1320" i="6"/>
  <c r="AG1320" i="6"/>
  <c r="AC1320" i="6"/>
  <c r="AA1320" i="6"/>
  <c r="Z1320" i="6" s="1"/>
  <c r="Y1321" i="6"/>
  <c r="AD1319" i="6"/>
  <c r="AB1319" i="6"/>
  <c r="AH1321" i="6" l="1"/>
  <c r="Y1322" i="6"/>
  <c r="AG1321" i="6"/>
  <c r="AE1321" i="6"/>
  <c r="AF1321" i="6" s="1"/>
  <c r="AC1321" i="6"/>
  <c r="AA1321" i="6"/>
  <c r="Z1321" i="6" s="1"/>
  <c r="AD1320" i="6"/>
  <c r="AB1320" i="6"/>
  <c r="AD1321" i="6" l="1"/>
  <c r="AB1321" i="6"/>
  <c r="AA1322" i="6"/>
  <c r="Z1322" i="6" s="1"/>
  <c r="Y1323" i="6"/>
  <c r="AH1322" i="6"/>
  <c r="AG1322" i="6"/>
  <c r="AE1322" i="6"/>
  <c r="AF1322" i="6" s="1"/>
  <c r="AC1322" i="6"/>
  <c r="AB1322" i="6" l="1"/>
  <c r="AD1322" i="6"/>
  <c r="AC1323" i="6"/>
  <c r="AA1323" i="6"/>
  <c r="Z1323" i="6" s="1"/>
  <c r="Y1324" i="6"/>
  <c r="AH1323" i="6"/>
  <c r="AG1323" i="6"/>
  <c r="AE1323" i="6"/>
  <c r="AF1323" i="6" s="1"/>
  <c r="Y1325" i="6" l="1"/>
  <c r="AH1324" i="6"/>
  <c r="AG1324" i="6"/>
  <c r="AE1324" i="6"/>
  <c r="AF1324" i="6" s="1"/>
  <c r="AC1324" i="6"/>
  <c r="AA1324" i="6"/>
  <c r="Z1324" i="6" s="1"/>
  <c r="AD1323" i="6"/>
  <c r="AB1323" i="6"/>
  <c r="AB1324" i="6" l="1"/>
  <c r="AD1324" i="6"/>
  <c r="AC1325" i="6"/>
  <c r="AA1325" i="6"/>
  <c r="Z1325" i="6" s="1"/>
  <c r="AE1325" i="6"/>
  <c r="AF1325" i="6" s="1"/>
  <c r="Y1326" i="6"/>
  <c r="AH1325" i="6"/>
  <c r="AG1325" i="6"/>
  <c r="AC1326" i="6" l="1"/>
  <c r="Y1327" i="6"/>
  <c r="AG1326" i="6"/>
  <c r="AE1326" i="6"/>
  <c r="AF1326" i="6" s="1"/>
  <c r="AA1326" i="6"/>
  <c r="Z1326" i="6" s="1"/>
  <c r="AH1326" i="6"/>
  <c r="AD1325" i="6"/>
  <c r="AB1325" i="6"/>
  <c r="Y1328" i="6" l="1"/>
  <c r="AH1327" i="6"/>
  <c r="AG1327" i="6"/>
  <c r="AE1327" i="6"/>
  <c r="AF1327" i="6" s="1"/>
  <c r="AC1327" i="6"/>
  <c r="AA1327" i="6"/>
  <c r="Z1327" i="6" s="1"/>
  <c r="AB1326" i="6"/>
  <c r="AD1326" i="6"/>
  <c r="AD1327" i="6" l="1"/>
  <c r="AB1327" i="6"/>
  <c r="Y1329" i="6"/>
  <c r="AE1328" i="6"/>
  <c r="AF1328" i="6" s="1"/>
  <c r="AC1328" i="6"/>
  <c r="AA1328" i="6"/>
  <c r="Z1328" i="6" s="1"/>
  <c r="AH1328" i="6"/>
  <c r="AG1328" i="6"/>
  <c r="AA1329" i="6" l="1"/>
  <c r="Z1329" i="6" s="1"/>
  <c r="Y1330" i="6"/>
  <c r="AH1329" i="6"/>
  <c r="AG1329" i="6"/>
  <c r="AE1329" i="6"/>
  <c r="AF1329" i="6" s="1"/>
  <c r="AC1329" i="6"/>
  <c r="AD1328" i="6"/>
  <c r="AB1328" i="6"/>
  <c r="AB1329" i="6" l="1"/>
  <c r="AD1329" i="6"/>
  <c r="Y1331" i="6"/>
  <c r="AG1330" i="6"/>
  <c r="AE1330" i="6"/>
  <c r="AF1330" i="6" s="1"/>
  <c r="AH1330" i="6"/>
  <c r="AC1330" i="6"/>
  <c r="AA1330" i="6"/>
  <c r="Z1330" i="6" s="1"/>
  <c r="AB1330" i="6" l="1"/>
  <c r="AD1330" i="6"/>
  <c r="AH1331" i="6"/>
  <c r="Y1332" i="6"/>
  <c r="AG1331" i="6"/>
  <c r="AE1331" i="6"/>
  <c r="AF1331" i="6" s="1"/>
  <c r="AC1331" i="6"/>
  <c r="AA1331" i="6"/>
  <c r="Z1331" i="6" s="1"/>
  <c r="AD1331" i="6" l="1"/>
  <c r="AB1331" i="6"/>
  <c r="AA1332" i="6"/>
  <c r="Z1332" i="6" s="1"/>
  <c r="AH1332" i="6"/>
  <c r="AE1332" i="6"/>
  <c r="AF1332" i="6" s="1"/>
  <c r="AC1332" i="6"/>
  <c r="AG1332" i="6"/>
  <c r="Y1333" i="6"/>
  <c r="S18" i="8"/>
  <c r="Y1334" i="6" l="1"/>
  <c r="AH1333" i="6"/>
  <c r="AG1333" i="6"/>
  <c r="AC1333" i="6"/>
  <c r="AA1333" i="6"/>
  <c r="Z1333" i="6" s="1"/>
  <c r="AE1333" i="6"/>
  <c r="AF1333" i="6" s="1"/>
  <c r="AD1332" i="6"/>
  <c r="AB1332" i="6"/>
  <c r="AD1333" i="6" l="1"/>
  <c r="AB1333" i="6"/>
  <c r="Y1335" i="6"/>
  <c r="AG1334" i="6"/>
  <c r="AC1334" i="6"/>
  <c r="AH1334" i="6"/>
  <c r="AE1334" i="6"/>
  <c r="AF1334" i="6" s="1"/>
  <c r="AA1334" i="6"/>
  <c r="Z1334" i="6" s="1"/>
  <c r="AD1334" i="6" l="1"/>
  <c r="AB1334" i="6"/>
  <c r="AH1335" i="6"/>
  <c r="AC1335" i="6"/>
  <c r="AA1335" i="6"/>
  <c r="Z1335" i="6" s="1"/>
  <c r="Y1336" i="6"/>
  <c r="AG1335" i="6"/>
  <c r="AE1335" i="6"/>
  <c r="AF1335" i="6" s="1"/>
  <c r="AD1335" i="6" l="1"/>
  <c r="AB1335" i="6"/>
  <c r="Y1337" i="6"/>
  <c r="AH1336" i="6"/>
  <c r="AG1336" i="6"/>
  <c r="AE1336" i="6"/>
  <c r="AF1336" i="6" s="1"/>
  <c r="AC1336" i="6"/>
  <c r="AA1336" i="6"/>
  <c r="Z1336" i="6" s="1"/>
  <c r="AB1336" i="6" l="1"/>
  <c r="AD1336" i="6"/>
  <c r="Y1338" i="6"/>
  <c r="AH1337" i="6"/>
  <c r="AG1337" i="6"/>
  <c r="AE1337" i="6"/>
  <c r="AF1337" i="6" s="1"/>
  <c r="AC1337" i="6"/>
  <c r="AA1337" i="6"/>
  <c r="Z1337" i="6" s="1"/>
  <c r="AB1337" i="6" l="1"/>
  <c r="AD1337" i="6"/>
  <c r="AH1338" i="6"/>
  <c r="AG1338" i="6"/>
  <c r="AE1338" i="6"/>
  <c r="AF1338" i="6" s="1"/>
  <c r="AC1338" i="6"/>
  <c r="AA1338" i="6"/>
  <c r="Z1338" i="6" s="1"/>
  <c r="Y1339" i="6"/>
  <c r="AE1339" i="6" l="1"/>
  <c r="AF1339" i="6" s="1"/>
  <c r="AC1339" i="6"/>
  <c r="AA1339" i="6"/>
  <c r="Z1339" i="6" s="1"/>
  <c r="Y1340" i="6"/>
  <c r="AG1339" i="6"/>
  <c r="AH1339" i="6"/>
  <c r="AD1338" i="6"/>
  <c r="AB1338" i="6"/>
  <c r="AH1340" i="6" l="1"/>
  <c r="AG1340" i="6"/>
  <c r="AE1340" i="6"/>
  <c r="AF1340" i="6" s="1"/>
  <c r="AA1340" i="6"/>
  <c r="Z1340" i="6" s="1"/>
  <c r="Y1341" i="6"/>
  <c r="AC1340" i="6"/>
  <c r="AD1339" i="6"/>
  <c r="AB1339" i="6"/>
  <c r="AD1340" i="6" l="1"/>
  <c r="AB1340" i="6"/>
  <c r="Y1342" i="6"/>
  <c r="AH1341" i="6"/>
  <c r="AG1341" i="6"/>
  <c r="AE1341" i="6"/>
  <c r="AF1341" i="6" s="1"/>
  <c r="AC1341" i="6"/>
  <c r="AA1341" i="6"/>
  <c r="Z1341" i="6" s="1"/>
  <c r="AD1341" i="6" l="1"/>
  <c r="AB1341" i="6"/>
  <c r="AA1342" i="6"/>
  <c r="Z1342" i="6" s="1"/>
  <c r="AH1342" i="6"/>
  <c r="Y1343" i="6"/>
  <c r="AG1342" i="6"/>
  <c r="AE1342" i="6"/>
  <c r="AF1342" i="6" s="1"/>
  <c r="AC1342" i="6"/>
  <c r="AD1342" i="6" l="1"/>
  <c r="AB1342" i="6"/>
  <c r="AG1343" i="6"/>
  <c r="Y1344" i="6"/>
  <c r="AH1343" i="6"/>
  <c r="AE1343" i="6"/>
  <c r="AF1343" i="6" s="1"/>
  <c r="AC1343" i="6"/>
  <c r="AA1343" i="6"/>
  <c r="Z1343" i="6" s="1"/>
  <c r="AD1343" i="6" l="1"/>
  <c r="AB1343" i="6"/>
  <c r="Y1345" i="6"/>
  <c r="AH1344" i="6"/>
  <c r="AG1344" i="6"/>
  <c r="AE1344" i="6"/>
  <c r="AF1344" i="6" s="1"/>
  <c r="AC1344" i="6"/>
  <c r="AA1344" i="6"/>
  <c r="Z1344" i="6" s="1"/>
  <c r="AB1344" i="6" l="1"/>
  <c r="AD1344" i="6"/>
  <c r="Y1346" i="6"/>
  <c r="AC1345" i="6"/>
  <c r="AA1345" i="6"/>
  <c r="Z1345" i="6" s="1"/>
  <c r="AH1345" i="6"/>
  <c r="AG1345" i="6"/>
  <c r="AE1345" i="6"/>
  <c r="AF1345" i="6" s="1"/>
  <c r="AD1345" i="6" l="1"/>
  <c r="AB1345" i="6"/>
  <c r="AE1346" i="6"/>
  <c r="AF1346" i="6" s="1"/>
  <c r="AC1346" i="6"/>
  <c r="AG1346" i="6"/>
  <c r="AA1346" i="6"/>
  <c r="Z1346" i="6" s="1"/>
  <c r="Y1347" i="6"/>
  <c r="AH1346" i="6"/>
  <c r="S17" i="8"/>
  <c r="Y1348" i="6" l="1"/>
  <c r="AH1347" i="6"/>
  <c r="AG1347" i="6"/>
  <c r="AE1347" i="6"/>
  <c r="AF1347" i="6" s="1"/>
  <c r="AC1347" i="6"/>
  <c r="AA1347" i="6"/>
  <c r="Z1347" i="6" s="1"/>
  <c r="AB1346" i="6"/>
  <c r="AD1346" i="6"/>
  <c r="AD1347" i="6" l="1"/>
  <c r="AB1347" i="6"/>
  <c r="Y1349" i="6"/>
  <c r="AH1348" i="6"/>
  <c r="AG1348" i="6"/>
  <c r="AE1348" i="6"/>
  <c r="AF1348" i="6" s="1"/>
  <c r="AC1348" i="6"/>
  <c r="AA1348" i="6"/>
  <c r="Z1348" i="6" s="1"/>
  <c r="AD1348" i="6" l="1"/>
  <c r="AB1348" i="6"/>
  <c r="Y1350" i="6"/>
  <c r="AE1349" i="6"/>
  <c r="AF1349" i="6" s="1"/>
  <c r="AC1349" i="6"/>
  <c r="AH1349" i="6"/>
  <c r="AG1349" i="6"/>
  <c r="AA1349" i="6"/>
  <c r="Z1349" i="6" s="1"/>
  <c r="Y1351" i="6" l="1"/>
  <c r="AH1350" i="6"/>
  <c r="AG1350" i="6"/>
  <c r="AE1350" i="6"/>
  <c r="AF1350" i="6" s="1"/>
  <c r="AC1350" i="6"/>
  <c r="AA1350" i="6"/>
  <c r="Z1350" i="6" s="1"/>
  <c r="AB1349" i="6"/>
  <c r="AD1349" i="6"/>
  <c r="AD1350" i="6" l="1"/>
  <c r="AB1350" i="6"/>
  <c r="Y1352" i="6"/>
  <c r="AH1351" i="6"/>
  <c r="AG1351" i="6"/>
  <c r="AE1351" i="6"/>
  <c r="AF1351" i="6" s="1"/>
  <c r="AC1351" i="6"/>
  <c r="AA1351" i="6"/>
  <c r="Z1351" i="6" s="1"/>
  <c r="AD1351" i="6" l="1"/>
  <c r="AB1351" i="6"/>
  <c r="AH1352" i="6"/>
  <c r="AE1352" i="6"/>
  <c r="AF1352" i="6" s="1"/>
  <c r="AC1352" i="6"/>
  <c r="AA1352" i="6"/>
  <c r="Z1352" i="6" s="1"/>
  <c r="Y1353" i="6"/>
  <c r="AG1352" i="6"/>
  <c r="Y1354" i="6" l="1"/>
  <c r="AH1353" i="6"/>
  <c r="AG1353" i="6"/>
  <c r="AE1353" i="6"/>
  <c r="AF1353" i="6" s="1"/>
  <c r="AC1353" i="6"/>
  <c r="AA1353" i="6"/>
  <c r="Z1353" i="6" s="1"/>
  <c r="AD1352" i="6"/>
  <c r="AB1352" i="6"/>
  <c r="AD1353" i="6" l="1"/>
  <c r="AB1353" i="6"/>
  <c r="Y1355" i="6"/>
  <c r="AH1354" i="6"/>
  <c r="AG1354" i="6"/>
  <c r="AE1354" i="6"/>
  <c r="AF1354" i="6" s="1"/>
  <c r="AC1354" i="6"/>
  <c r="AA1354" i="6"/>
  <c r="Z1354" i="6" s="1"/>
  <c r="AG1355" i="6" l="1"/>
  <c r="AE1355" i="6"/>
  <c r="AF1355" i="6" s="1"/>
  <c r="AC1355" i="6"/>
  <c r="Y1356" i="6"/>
  <c r="AH1355" i="6"/>
  <c r="AA1355" i="6"/>
  <c r="Z1355" i="6" s="1"/>
  <c r="AB1354" i="6"/>
  <c r="AD1354" i="6"/>
  <c r="AA1356" i="6" l="1"/>
  <c r="Z1356" i="6" s="1"/>
  <c r="AH1356" i="6"/>
  <c r="Y1357" i="6"/>
  <c r="AG1356" i="6"/>
  <c r="AE1356" i="6"/>
  <c r="AF1356" i="6" s="1"/>
  <c r="AC1356" i="6"/>
  <c r="AD1355" i="6"/>
  <c r="AB1355" i="6"/>
  <c r="AD1356" i="6" l="1"/>
  <c r="AB1356" i="6"/>
  <c r="Y1358" i="6"/>
  <c r="AH1357" i="6"/>
  <c r="AG1357" i="6"/>
  <c r="AE1357" i="6"/>
  <c r="AF1357" i="6" s="1"/>
  <c r="AC1357" i="6"/>
  <c r="AA1357" i="6"/>
  <c r="Z1357" i="6" s="1"/>
  <c r="AD1357" i="6" l="1"/>
  <c r="AB1357" i="6"/>
  <c r="AG1358" i="6"/>
  <c r="AE1358" i="6"/>
  <c r="AF1358" i="6" s="1"/>
  <c r="AC1358" i="6"/>
  <c r="Y1359" i="6"/>
  <c r="AH1358" i="6"/>
  <c r="AA1358" i="6"/>
  <c r="Z1358" i="6" s="1"/>
  <c r="AH1359" i="6" l="1"/>
  <c r="AE1359" i="6"/>
  <c r="AF1359" i="6" s="1"/>
  <c r="AC1359" i="6"/>
  <c r="AA1359" i="6"/>
  <c r="Z1359" i="6" s="1"/>
  <c r="Y1360" i="6"/>
  <c r="AG1359" i="6"/>
  <c r="AD1358" i="6"/>
  <c r="AB1358" i="6"/>
  <c r="Y1361" i="6" l="1"/>
  <c r="AC1360" i="6"/>
  <c r="AH1360" i="6"/>
  <c r="AG1360" i="6"/>
  <c r="AE1360" i="6"/>
  <c r="AF1360" i="6" s="1"/>
  <c r="AA1360" i="6"/>
  <c r="Z1360" i="6" s="1"/>
  <c r="AD1359" i="6"/>
  <c r="AB1359" i="6"/>
  <c r="S16" i="8"/>
  <c r="AD1360" i="6" l="1"/>
  <c r="AB1360" i="6"/>
  <c r="AE1361" i="6"/>
  <c r="AF1361" i="6" s="1"/>
  <c r="AG1361" i="6"/>
  <c r="AC1361" i="6"/>
  <c r="Y1362" i="6"/>
  <c r="AH1361" i="6"/>
  <c r="AA1361" i="6"/>
  <c r="Z1361" i="6" s="1"/>
  <c r="Y1363" i="6" l="1"/>
  <c r="AH1362" i="6"/>
  <c r="AG1362" i="6"/>
  <c r="AE1362" i="6"/>
  <c r="AF1362" i="6" s="1"/>
  <c r="AC1362" i="6"/>
  <c r="AA1362" i="6"/>
  <c r="Z1362" i="6" s="1"/>
  <c r="AD1361" i="6"/>
  <c r="AB1361" i="6"/>
  <c r="AD1362" i="6" l="1"/>
  <c r="AB1362" i="6"/>
  <c r="Y1364" i="6"/>
  <c r="AG1363" i="6"/>
  <c r="AC1363" i="6"/>
  <c r="AA1363" i="6"/>
  <c r="Z1363" i="6" s="1"/>
  <c r="AH1363" i="6"/>
  <c r="AE1363" i="6"/>
  <c r="AF1363" i="6" s="1"/>
  <c r="AC1364" i="6" l="1"/>
  <c r="AH1364" i="6"/>
  <c r="AG1364" i="6"/>
  <c r="AE1364" i="6"/>
  <c r="AF1364" i="6" s="1"/>
  <c r="AA1364" i="6"/>
  <c r="Z1364" i="6" s="1"/>
  <c r="Y1365" i="6"/>
  <c r="AD1363" i="6"/>
  <c r="AB1363" i="6"/>
  <c r="Y1366" i="6" l="1"/>
  <c r="AH1365" i="6"/>
  <c r="AG1365" i="6"/>
  <c r="AE1365" i="6"/>
  <c r="AF1365" i="6" s="1"/>
  <c r="AC1365" i="6"/>
  <c r="AA1365" i="6"/>
  <c r="Z1365" i="6" s="1"/>
  <c r="AD1364" i="6"/>
  <c r="AB1364" i="6"/>
  <c r="AD1365" i="6" l="1"/>
  <c r="AB1365" i="6"/>
  <c r="AE1366" i="6"/>
  <c r="AF1366" i="6" s="1"/>
  <c r="AC1366" i="6"/>
  <c r="AA1366" i="6"/>
  <c r="Z1366" i="6" s="1"/>
  <c r="Y1367" i="6"/>
  <c r="AH1366" i="6"/>
  <c r="AG1366" i="6"/>
  <c r="AC1367" i="6" l="1"/>
  <c r="Y1368" i="6"/>
  <c r="AH1367" i="6"/>
  <c r="AE1367" i="6"/>
  <c r="AF1367" i="6" s="1"/>
  <c r="AG1367" i="6"/>
  <c r="AA1367" i="6"/>
  <c r="Z1367" i="6" s="1"/>
  <c r="AD1366" i="6"/>
  <c r="AB1366" i="6"/>
  <c r="AE1368" i="6" l="1"/>
  <c r="AF1368" i="6" s="1"/>
  <c r="Y1369" i="6"/>
  <c r="AH1368" i="6"/>
  <c r="AG1368" i="6"/>
  <c r="AC1368" i="6"/>
  <c r="AA1368" i="6"/>
  <c r="Z1368" i="6" s="1"/>
  <c r="AB1367" i="6"/>
  <c r="AD1367" i="6"/>
  <c r="AB1368" i="6" l="1"/>
  <c r="AD1368" i="6"/>
  <c r="Y1370" i="6"/>
  <c r="AH1369" i="6"/>
  <c r="AG1369" i="6"/>
  <c r="AE1369" i="6"/>
  <c r="AF1369" i="6" s="1"/>
  <c r="AC1369" i="6"/>
  <c r="AA1369" i="6"/>
  <c r="Z1369" i="6" s="1"/>
  <c r="AD1369" i="6" l="1"/>
  <c r="AB1369" i="6"/>
  <c r="AA1370" i="6"/>
  <c r="Z1370" i="6" s="1"/>
  <c r="Y1371" i="6"/>
  <c r="AG1370" i="6"/>
  <c r="AC1370" i="6"/>
  <c r="AH1370" i="6"/>
  <c r="AE1370" i="6"/>
  <c r="AF1370" i="6" s="1"/>
  <c r="AA1371" i="6" l="1"/>
  <c r="Z1371" i="6" s="1"/>
  <c r="AE1371" i="6"/>
  <c r="AF1371" i="6" s="1"/>
  <c r="AH1371" i="6"/>
  <c r="AG1371" i="6"/>
  <c r="AC1371" i="6"/>
  <c r="Y1372" i="6"/>
  <c r="AB1370" i="6"/>
  <c r="AD1370" i="6"/>
  <c r="Y1373" i="6" l="1"/>
  <c r="AH1372" i="6"/>
  <c r="AG1372" i="6"/>
  <c r="AE1372" i="6"/>
  <c r="AF1372" i="6" s="1"/>
  <c r="AC1372" i="6"/>
  <c r="AA1372" i="6"/>
  <c r="Z1372" i="6" s="1"/>
  <c r="AD1371" i="6"/>
  <c r="AB1371" i="6"/>
  <c r="AD1372" i="6" l="1"/>
  <c r="AB1372" i="6"/>
  <c r="AH1373" i="6"/>
  <c r="AA1373" i="6"/>
  <c r="Z1373" i="6" s="1"/>
  <c r="Y1374" i="6"/>
  <c r="AG1373" i="6"/>
  <c r="AE1373" i="6"/>
  <c r="AF1373" i="6" s="1"/>
  <c r="AC1373" i="6"/>
  <c r="AD1373" i="6" l="1"/>
  <c r="AB1373" i="6"/>
  <c r="AG1374" i="6"/>
  <c r="AA1374" i="6"/>
  <c r="Z1374" i="6" s="1"/>
  <c r="AC1374" i="6"/>
  <c r="Y1375" i="6"/>
  <c r="AH1374" i="6"/>
  <c r="AE1374" i="6"/>
  <c r="AF1374" i="6" s="1"/>
  <c r="S15" i="8"/>
  <c r="Y1376" i="6" l="1"/>
  <c r="AH1375" i="6"/>
  <c r="AG1375" i="6"/>
  <c r="AE1375" i="6"/>
  <c r="AF1375" i="6" s="1"/>
  <c r="AC1375" i="6"/>
  <c r="AA1375" i="6"/>
  <c r="Z1375" i="6" s="1"/>
  <c r="AB1374" i="6"/>
  <c r="AD1374" i="6"/>
  <c r="AB1375" i="6" l="1"/>
  <c r="AD1375" i="6"/>
  <c r="AE1376" i="6"/>
  <c r="AF1376" i="6" s="1"/>
  <c r="Y1377" i="6"/>
  <c r="AH1376" i="6"/>
  <c r="AG1376" i="6"/>
  <c r="AC1376" i="6"/>
  <c r="AA1376" i="6"/>
  <c r="Z1376" i="6" s="1"/>
  <c r="AD1376" i="6" l="1"/>
  <c r="AB1376" i="6"/>
  <c r="AH1377" i="6"/>
  <c r="AC1377" i="6"/>
  <c r="Y1378" i="6"/>
  <c r="AG1377" i="6"/>
  <c r="AE1377" i="6"/>
  <c r="AF1377" i="6" s="1"/>
  <c r="AA1377" i="6"/>
  <c r="Z1377" i="6" s="1"/>
  <c r="AB1377" i="6" l="1"/>
  <c r="AD1377" i="6"/>
  <c r="Y1379" i="6"/>
  <c r="AH1378" i="6"/>
  <c r="AG1378" i="6"/>
  <c r="AA1378" i="6"/>
  <c r="Z1378" i="6" s="1"/>
  <c r="AE1378" i="6"/>
  <c r="AF1378" i="6" s="1"/>
  <c r="AC1378" i="6"/>
  <c r="AD1378" i="6" l="1"/>
  <c r="AB1378" i="6"/>
  <c r="AH1379" i="6"/>
  <c r="AA1379" i="6"/>
  <c r="Z1379" i="6" s="1"/>
  <c r="Y1380" i="6"/>
  <c r="AG1379" i="6"/>
  <c r="AE1379" i="6"/>
  <c r="AF1379" i="6" s="1"/>
  <c r="AC1379" i="6"/>
  <c r="AD1379" i="6" l="1"/>
  <c r="AB1379" i="6"/>
  <c r="AE1380" i="6"/>
  <c r="AF1380" i="6" s="1"/>
  <c r="Y1381" i="6"/>
  <c r="AH1380" i="6"/>
  <c r="AG1380" i="6"/>
  <c r="AC1380" i="6"/>
  <c r="AA1380" i="6"/>
  <c r="Z1380" i="6" s="1"/>
  <c r="AD1380" i="6" l="1"/>
  <c r="AB1380" i="6"/>
  <c r="AH1381" i="6"/>
  <c r="AG1381" i="6"/>
  <c r="Y1382" i="6"/>
  <c r="AE1381" i="6"/>
  <c r="AF1381" i="6" s="1"/>
  <c r="AC1381" i="6"/>
  <c r="AA1381" i="6"/>
  <c r="Z1381" i="6" s="1"/>
  <c r="AD1381" i="6" l="1"/>
  <c r="AB1381" i="6"/>
  <c r="AC1382" i="6"/>
  <c r="AA1382" i="6"/>
  <c r="Z1382" i="6" s="1"/>
  <c r="Y1383" i="6"/>
  <c r="AH1382" i="6"/>
  <c r="AG1382" i="6"/>
  <c r="AE1382" i="6"/>
  <c r="AF1382" i="6" s="1"/>
  <c r="AB1382" i="6" l="1"/>
  <c r="AD1382" i="6"/>
  <c r="AG1383" i="6"/>
  <c r="Y1384" i="6"/>
  <c r="AH1383" i="6"/>
  <c r="AE1383" i="6"/>
  <c r="AF1383" i="6" s="1"/>
  <c r="AC1383" i="6"/>
  <c r="AA1383" i="6"/>
  <c r="Z1383" i="6" s="1"/>
  <c r="AG1384" i="6" l="1"/>
  <c r="AE1384" i="6"/>
  <c r="AF1384" i="6" s="1"/>
  <c r="Y1385" i="6"/>
  <c r="AH1384" i="6"/>
  <c r="AC1384" i="6"/>
  <c r="AA1384" i="6"/>
  <c r="Z1384" i="6" s="1"/>
  <c r="AD1383" i="6"/>
  <c r="AB1383" i="6"/>
  <c r="AB1384" i="6" l="1"/>
  <c r="AD1384" i="6"/>
  <c r="Y1386" i="6"/>
  <c r="AH1385" i="6"/>
  <c r="AG1385" i="6"/>
  <c r="AE1385" i="6"/>
  <c r="AF1385" i="6" s="1"/>
  <c r="AC1385" i="6"/>
  <c r="AA1385" i="6"/>
  <c r="Z1385" i="6" s="1"/>
  <c r="AD1385" i="6" l="1"/>
  <c r="AB1385" i="6"/>
  <c r="Y1387" i="6"/>
  <c r="AH1386" i="6"/>
  <c r="AC1386" i="6"/>
  <c r="AA1386" i="6"/>
  <c r="Z1386" i="6" s="1"/>
  <c r="AE1386" i="6"/>
  <c r="AF1386" i="6" s="1"/>
  <c r="AG1386" i="6"/>
  <c r="AB1386" i="6" l="1"/>
  <c r="AD1386" i="6"/>
  <c r="AH1387" i="6"/>
  <c r="AE1387" i="6"/>
  <c r="AF1387" i="6" s="1"/>
  <c r="AG1387" i="6"/>
  <c r="AC1387" i="6"/>
  <c r="Y1388" i="6"/>
  <c r="AA1387" i="6"/>
  <c r="Z1387" i="6" s="1"/>
  <c r="AH1388" i="6" l="1"/>
  <c r="Y1389" i="6"/>
  <c r="AG1388" i="6"/>
  <c r="AE1388" i="6"/>
  <c r="AF1388" i="6" s="1"/>
  <c r="AC1388" i="6"/>
  <c r="AA1388" i="6"/>
  <c r="Z1388" i="6" s="1"/>
  <c r="AD1387" i="6"/>
  <c r="AB1387" i="6"/>
  <c r="S14" i="8"/>
  <c r="AD1388" i="6" l="1"/>
  <c r="AB1388" i="6"/>
  <c r="AH1389" i="6"/>
  <c r="Y1390" i="6"/>
  <c r="AG1389" i="6"/>
  <c r="AE1389" i="6"/>
  <c r="AF1389" i="6" s="1"/>
  <c r="AC1389" i="6"/>
  <c r="AA1389" i="6"/>
  <c r="Z1389" i="6" s="1"/>
  <c r="AD1389" i="6" l="1"/>
  <c r="AB1389" i="6"/>
  <c r="AE1390" i="6"/>
  <c r="AF1390" i="6" s="1"/>
  <c r="AC1390" i="6"/>
  <c r="AA1390" i="6"/>
  <c r="Z1390" i="6" s="1"/>
  <c r="AH1390" i="6"/>
  <c r="AG1390" i="6"/>
  <c r="Y1391" i="6"/>
  <c r="Y1392" i="6" l="1"/>
  <c r="AH1391" i="6"/>
  <c r="AG1391" i="6"/>
  <c r="AE1391" i="6"/>
  <c r="AF1391" i="6" s="1"/>
  <c r="AC1391" i="6"/>
  <c r="AA1391" i="6"/>
  <c r="Z1391" i="6" s="1"/>
  <c r="AD1390" i="6"/>
  <c r="AB1390" i="6"/>
  <c r="AD1391" i="6" l="1"/>
  <c r="AB1391" i="6"/>
  <c r="Y1393" i="6"/>
  <c r="AH1392" i="6"/>
  <c r="AG1392" i="6"/>
  <c r="AE1392" i="6"/>
  <c r="AF1392" i="6" s="1"/>
  <c r="AC1392" i="6"/>
  <c r="AA1392" i="6"/>
  <c r="Z1392" i="6" s="1"/>
  <c r="AD1392" i="6" l="1"/>
  <c r="AB1392" i="6"/>
  <c r="AE1393" i="6"/>
  <c r="AF1393" i="6" s="1"/>
  <c r="AC1393" i="6"/>
  <c r="AG1393" i="6"/>
  <c r="Y1394" i="6"/>
  <c r="AH1393" i="6"/>
  <c r="AA1393" i="6"/>
  <c r="Z1393" i="6" s="1"/>
  <c r="AC1394" i="6" l="1"/>
  <c r="AH1394" i="6"/>
  <c r="AG1394" i="6"/>
  <c r="AE1394" i="6"/>
  <c r="AF1394" i="6" s="1"/>
  <c r="AA1394" i="6"/>
  <c r="Z1394" i="6" s="1"/>
  <c r="Y1395" i="6"/>
  <c r="AD1393" i="6"/>
  <c r="AB1393" i="6"/>
  <c r="AH1395" i="6" l="1"/>
  <c r="AC1395" i="6"/>
  <c r="AA1395" i="6"/>
  <c r="Z1395" i="6" s="1"/>
  <c r="Y1396" i="6"/>
  <c r="AE1395" i="6"/>
  <c r="AF1395" i="6" s="1"/>
  <c r="AG1395" i="6"/>
  <c r="AB1394" i="6"/>
  <c r="AD1394" i="6"/>
  <c r="AC1396" i="6" l="1"/>
  <c r="AA1396" i="6"/>
  <c r="Z1396" i="6" s="1"/>
  <c r="Y1397" i="6"/>
  <c r="AH1396" i="6"/>
  <c r="AG1396" i="6"/>
  <c r="AE1396" i="6"/>
  <c r="AF1396" i="6" s="1"/>
  <c r="AB1395" i="6"/>
  <c r="AD1395" i="6"/>
  <c r="AG1397" i="6" l="1"/>
  <c r="AE1397" i="6"/>
  <c r="AF1397" i="6" s="1"/>
  <c r="Y1398" i="6"/>
  <c r="AH1397" i="6"/>
  <c r="AC1397" i="6"/>
  <c r="AA1397" i="6"/>
  <c r="Z1397" i="6" s="1"/>
  <c r="AB1396" i="6"/>
  <c r="AD1396" i="6"/>
  <c r="AD1397" i="6" l="1"/>
  <c r="AB1397" i="6"/>
  <c r="AE1398" i="6"/>
  <c r="AF1398" i="6" s="1"/>
  <c r="Y1399" i="6"/>
  <c r="AH1398" i="6"/>
  <c r="AG1398" i="6"/>
  <c r="AC1398" i="6"/>
  <c r="AA1398" i="6"/>
  <c r="Z1398" i="6" s="1"/>
  <c r="AD1398" i="6" l="1"/>
  <c r="AB1398" i="6"/>
  <c r="AC1399" i="6"/>
  <c r="AA1399" i="6"/>
  <c r="Z1399" i="6" s="1"/>
  <c r="Y1400" i="6"/>
  <c r="AE1399" i="6"/>
  <c r="AF1399" i="6" s="1"/>
  <c r="AH1399" i="6"/>
  <c r="AG1399" i="6"/>
  <c r="Y1401" i="6" l="1"/>
  <c r="AH1400" i="6"/>
  <c r="AA1400" i="6"/>
  <c r="Z1400" i="6" s="1"/>
  <c r="AG1400" i="6"/>
  <c r="AE1400" i="6"/>
  <c r="AF1400" i="6" s="1"/>
  <c r="AC1400" i="6"/>
  <c r="AB1399" i="6"/>
  <c r="AD1399" i="6"/>
  <c r="AB1400" i="6" l="1"/>
  <c r="AD1400" i="6"/>
  <c r="AH1401" i="6"/>
  <c r="Y1402" i="6"/>
  <c r="AG1401" i="6"/>
  <c r="AE1401" i="6"/>
  <c r="AF1401" i="6" s="1"/>
  <c r="AC1401" i="6"/>
  <c r="AA1401" i="6"/>
  <c r="Z1401" i="6" s="1"/>
  <c r="AD1401" i="6" l="1"/>
  <c r="AB1401" i="6"/>
  <c r="AA1402" i="6"/>
  <c r="Z1402" i="6" s="1"/>
  <c r="AH1402" i="6"/>
  <c r="Y1403" i="6"/>
  <c r="AG1402" i="6"/>
  <c r="AE1402" i="6"/>
  <c r="AF1402" i="6" s="1"/>
  <c r="AC1402" i="6"/>
  <c r="S13" i="8"/>
  <c r="AB1402" i="6" l="1"/>
  <c r="AD1402" i="6"/>
  <c r="AE1403" i="6"/>
  <c r="AF1403" i="6" s="1"/>
  <c r="AH1403" i="6"/>
  <c r="AG1403" i="6"/>
  <c r="AC1403" i="6"/>
  <c r="AA1403" i="6"/>
  <c r="Z1403" i="6" s="1"/>
  <c r="Y1404" i="6"/>
  <c r="Y1405" i="6" l="1"/>
  <c r="AA1404" i="6"/>
  <c r="Z1404" i="6" s="1"/>
  <c r="AH1404" i="6"/>
  <c r="AG1404" i="6"/>
  <c r="AE1404" i="6"/>
  <c r="AF1404" i="6" s="1"/>
  <c r="AC1404" i="6"/>
  <c r="AD1403" i="6"/>
  <c r="AB1403" i="6"/>
  <c r="AB1404" i="6" l="1"/>
  <c r="AD1404" i="6"/>
  <c r="AA1405" i="6"/>
  <c r="Z1405" i="6" s="1"/>
  <c r="AE1405" i="6"/>
  <c r="AF1405" i="6" s="1"/>
  <c r="Y1406" i="6"/>
  <c r="AH1405" i="6"/>
  <c r="AG1405" i="6"/>
  <c r="AC1405" i="6"/>
  <c r="AD1405" i="6" l="1"/>
  <c r="AB1405" i="6"/>
  <c r="Y1407" i="6"/>
  <c r="AH1406" i="6"/>
  <c r="AA1406" i="6"/>
  <c r="Z1406" i="6" s="1"/>
  <c r="AG1406" i="6"/>
  <c r="AE1406" i="6"/>
  <c r="AF1406" i="6" s="1"/>
  <c r="AC1406" i="6"/>
  <c r="AD1406" i="6" l="1"/>
  <c r="AB1406" i="6"/>
  <c r="Y1408" i="6"/>
  <c r="AH1407" i="6"/>
  <c r="AE1407" i="6"/>
  <c r="AF1407" i="6" s="1"/>
  <c r="AG1407" i="6"/>
  <c r="AC1407" i="6"/>
  <c r="AA1407" i="6"/>
  <c r="Z1407" i="6" s="1"/>
  <c r="AD1407" i="6" l="1"/>
  <c r="AB1407" i="6"/>
  <c r="AH1408" i="6"/>
  <c r="AG1408" i="6"/>
  <c r="AC1408" i="6"/>
  <c r="AA1408" i="6"/>
  <c r="Z1408" i="6" s="1"/>
  <c r="Y1409" i="6"/>
  <c r="AE1408" i="6"/>
  <c r="AF1408" i="6" s="1"/>
  <c r="AC1409" i="6" l="1"/>
  <c r="Y1410" i="6"/>
  <c r="AE1409" i="6"/>
  <c r="AF1409" i="6" s="1"/>
  <c r="AA1409" i="6"/>
  <c r="Z1409" i="6" s="1"/>
  <c r="AH1409" i="6"/>
  <c r="AG1409" i="6"/>
  <c r="AD1408" i="6"/>
  <c r="AB1408" i="6"/>
  <c r="Y1411" i="6" l="1"/>
  <c r="AH1410" i="6"/>
  <c r="AG1410" i="6"/>
  <c r="AC1410" i="6"/>
  <c r="AA1410" i="6"/>
  <c r="Z1410" i="6" s="1"/>
  <c r="AE1410" i="6"/>
  <c r="AF1410" i="6" s="1"/>
  <c r="AD1409" i="6"/>
  <c r="AB1409" i="6"/>
  <c r="AB1410" i="6" l="1"/>
  <c r="AD1410" i="6"/>
  <c r="AA1411" i="6"/>
  <c r="Z1411" i="6" s="1"/>
  <c r="Y1412" i="6"/>
  <c r="AH1411" i="6"/>
  <c r="AG1411" i="6"/>
  <c r="AE1411" i="6"/>
  <c r="AF1411" i="6" s="1"/>
  <c r="AC1411" i="6"/>
  <c r="AB1411" i="6" l="1"/>
  <c r="AD1411" i="6"/>
  <c r="AH1412" i="6"/>
  <c r="AA1412" i="6"/>
  <c r="Z1412" i="6" s="1"/>
  <c r="Y1413" i="6"/>
  <c r="AG1412" i="6"/>
  <c r="AE1412" i="6"/>
  <c r="AF1412" i="6" s="1"/>
  <c r="AC1412" i="6"/>
  <c r="AB1412" i="6" l="1"/>
  <c r="AD1412" i="6"/>
  <c r="AH1413" i="6"/>
  <c r="AG1413" i="6"/>
  <c r="Y1414" i="6"/>
  <c r="AE1413" i="6"/>
  <c r="AF1413" i="6" s="1"/>
  <c r="AC1413" i="6"/>
  <c r="AA1413" i="6"/>
  <c r="Z1413" i="6" s="1"/>
  <c r="AD1413" i="6" l="1"/>
  <c r="AB1413" i="6"/>
  <c r="AE1414" i="6"/>
  <c r="AF1414" i="6" s="1"/>
  <c r="Y1415" i="6"/>
  <c r="AC1414" i="6"/>
  <c r="AH1414" i="6"/>
  <c r="AG1414" i="6"/>
  <c r="AA1414" i="6"/>
  <c r="Z1414" i="6" s="1"/>
  <c r="AD1414" i="6" l="1"/>
  <c r="AB1414" i="6"/>
  <c r="AH1415" i="6"/>
  <c r="AA1415" i="6"/>
  <c r="Z1415" i="6" s="1"/>
  <c r="AE1415" i="6"/>
  <c r="AF1415" i="6" s="1"/>
  <c r="Y1416" i="6"/>
  <c r="AG1415" i="6"/>
  <c r="AC1415" i="6"/>
  <c r="AD1415" i="6" l="1"/>
  <c r="AB1415" i="6"/>
  <c r="AG1416" i="6"/>
  <c r="AE1416" i="6"/>
  <c r="AF1416" i="6" s="1"/>
  <c r="Y1417" i="6"/>
  <c r="AH1416" i="6"/>
  <c r="AC1416" i="6"/>
  <c r="AA1416" i="6"/>
  <c r="Z1416" i="6" s="1"/>
  <c r="S12" i="8"/>
  <c r="AB1416" i="6" l="1"/>
  <c r="AD1416" i="6"/>
  <c r="AH1417" i="6"/>
  <c r="AG1417" i="6"/>
  <c r="AA1417" i="6"/>
  <c r="Z1417" i="6" s="1"/>
  <c r="Y1418" i="6"/>
  <c r="AE1417" i="6"/>
  <c r="AF1417" i="6" s="1"/>
  <c r="AC1417" i="6"/>
  <c r="AB1417" i="6" l="1"/>
  <c r="AD1417" i="6"/>
  <c r="Y1419" i="6"/>
  <c r="AH1418" i="6"/>
  <c r="AG1418" i="6"/>
  <c r="AE1418" i="6"/>
  <c r="AF1418" i="6" s="1"/>
  <c r="AC1418" i="6"/>
  <c r="AA1418" i="6"/>
  <c r="Z1418" i="6" s="1"/>
  <c r="AD1418" i="6" l="1"/>
  <c r="AB1418" i="6"/>
  <c r="AE1419" i="6"/>
  <c r="AF1419" i="6" s="1"/>
  <c r="AH1419" i="6"/>
  <c r="Y1420" i="6"/>
  <c r="AG1419" i="6"/>
  <c r="AA1419" i="6"/>
  <c r="Z1419" i="6" s="1"/>
  <c r="AC1419" i="6"/>
  <c r="AD1419" i="6" l="1"/>
  <c r="AB1419" i="6"/>
  <c r="Y1421" i="6"/>
  <c r="AE1420" i="6"/>
  <c r="AF1420" i="6" s="1"/>
  <c r="AH1420" i="6"/>
  <c r="AG1420" i="6"/>
  <c r="AC1420" i="6"/>
  <c r="AA1420" i="6"/>
  <c r="Z1420" i="6" s="1"/>
  <c r="AD1420" i="6" l="1"/>
  <c r="AB1420" i="6"/>
  <c r="AA1421" i="6"/>
  <c r="Z1421" i="6" s="1"/>
  <c r="Y1422" i="6"/>
  <c r="AH1421" i="6"/>
  <c r="AG1421" i="6"/>
  <c r="AE1421" i="6"/>
  <c r="AF1421" i="6" s="1"/>
  <c r="AC1421" i="6"/>
  <c r="AD1421" i="6" l="1"/>
  <c r="AB1421" i="6"/>
  <c r="AE1422" i="6"/>
  <c r="AF1422" i="6" s="1"/>
  <c r="AC1422" i="6"/>
  <c r="AA1422" i="6"/>
  <c r="Z1422" i="6" s="1"/>
  <c r="AG1422" i="6"/>
  <c r="Y1423" i="6"/>
  <c r="AH1422" i="6"/>
  <c r="AH1423" i="6" l="1"/>
  <c r="Y1424" i="6"/>
  <c r="AG1423" i="6"/>
  <c r="AE1423" i="6"/>
  <c r="AF1423" i="6" s="1"/>
  <c r="AA1423" i="6"/>
  <c r="Z1423" i="6" s="1"/>
  <c r="AC1423" i="6"/>
  <c r="AD1422" i="6"/>
  <c r="AB1422" i="6"/>
  <c r="AD1423" i="6" l="1"/>
  <c r="AB1423" i="6"/>
  <c r="AE1424" i="6"/>
  <c r="AF1424" i="6" s="1"/>
  <c r="Y1425" i="6"/>
  <c r="AH1424" i="6"/>
  <c r="AG1424" i="6"/>
  <c r="AC1424" i="6"/>
  <c r="AA1424" i="6"/>
  <c r="Z1424" i="6" s="1"/>
  <c r="AB1424" i="6" l="1"/>
  <c r="AD1424" i="6"/>
  <c r="AC1425" i="6"/>
  <c r="AH1425" i="6"/>
  <c r="AG1425" i="6"/>
  <c r="Y1426" i="6"/>
  <c r="AE1425" i="6"/>
  <c r="AF1425" i="6" s="1"/>
  <c r="AA1425" i="6"/>
  <c r="Z1425" i="6" s="1"/>
  <c r="AG1426" i="6" l="1"/>
  <c r="Y1427" i="6"/>
  <c r="AH1426" i="6"/>
  <c r="AE1426" i="6"/>
  <c r="AF1426" i="6" s="1"/>
  <c r="AC1426" i="6"/>
  <c r="AA1426" i="6"/>
  <c r="Z1426" i="6" s="1"/>
  <c r="AD1425" i="6"/>
  <c r="AB1425" i="6"/>
  <c r="AD1426" i="6" l="1"/>
  <c r="AB1426" i="6"/>
  <c r="Y1428" i="6"/>
  <c r="AH1427" i="6"/>
  <c r="AG1427" i="6"/>
  <c r="AC1427" i="6"/>
  <c r="AA1427" i="6"/>
  <c r="Z1427" i="6" s="1"/>
  <c r="AE1427" i="6"/>
  <c r="AF1427" i="6" s="1"/>
  <c r="AB1427" i="6" l="1"/>
  <c r="AD1427" i="6"/>
  <c r="AC1428" i="6"/>
  <c r="AA1428" i="6"/>
  <c r="Z1428" i="6" s="1"/>
  <c r="AH1428" i="6"/>
  <c r="Y1429" i="6"/>
  <c r="AG1428" i="6"/>
  <c r="AE1428" i="6"/>
  <c r="AF1428" i="6" s="1"/>
  <c r="AH1429" i="6" l="1"/>
  <c r="Y1430" i="6"/>
  <c r="AA1429" i="6"/>
  <c r="Z1429" i="6" s="1"/>
  <c r="AG1429" i="6"/>
  <c r="AE1429" i="6"/>
  <c r="AF1429" i="6" s="1"/>
  <c r="AC1429" i="6"/>
  <c r="AB1428" i="6"/>
  <c r="AD1428" i="6"/>
  <c r="AD1429" i="6" l="1"/>
  <c r="AB1429" i="6"/>
  <c r="AE1430" i="6"/>
  <c r="AF1430" i="6" s="1"/>
  <c r="AC1430" i="6"/>
  <c r="Y1431" i="6"/>
  <c r="AH1430" i="6"/>
  <c r="AG1430" i="6"/>
  <c r="AA1430" i="6"/>
  <c r="Z1430" i="6" s="1"/>
  <c r="S11" i="8"/>
  <c r="AA1431" i="6" l="1"/>
  <c r="Z1431" i="6" s="1"/>
  <c r="AE1431" i="6"/>
  <c r="AF1431" i="6" s="1"/>
  <c r="AC1431" i="6"/>
  <c r="Y1432" i="6"/>
  <c r="AH1431" i="6"/>
  <c r="AG1431" i="6"/>
  <c r="AD1430" i="6"/>
  <c r="AB1430" i="6"/>
  <c r="AE1432" i="6" l="1"/>
  <c r="AF1432" i="6" s="1"/>
  <c r="AC1432" i="6"/>
  <c r="AA1432" i="6"/>
  <c r="Z1432" i="6" s="1"/>
  <c r="Y1433" i="6"/>
  <c r="AH1432" i="6"/>
  <c r="AG1432" i="6"/>
  <c r="AB1431" i="6"/>
  <c r="AD1431" i="6"/>
  <c r="Y1434" i="6" l="1"/>
  <c r="AH1433" i="6"/>
  <c r="AG1433" i="6"/>
  <c r="AE1433" i="6"/>
  <c r="AF1433" i="6" s="1"/>
  <c r="AC1433" i="6"/>
  <c r="AA1433" i="6"/>
  <c r="Z1433" i="6" s="1"/>
  <c r="AD1432" i="6"/>
  <c r="AB1432" i="6"/>
  <c r="AB1433" i="6" l="1"/>
  <c r="AD1433" i="6"/>
  <c r="AA1434" i="6"/>
  <c r="Z1434" i="6" s="1"/>
  <c r="AH1434" i="6"/>
  <c r="AG1434" i="6"/>
  <c r="Y1435" i="6"/>
  <c r="AE1434" i="6"/>
  <c r="AF1434" i="6" s="1"/>
  <c r="AC1434" i="6"/>
  <c r="AB1434" i="6" l="1"/>
  <c r="AD1434" i="6"/>
  <c r="AE1435" i="6"/>
  <c r="AF1435" i="6" s="1"/>
  <c r="Y1436" i="6"/>
  <c r="AH1435" i="6"/>
  <c r="AG1435" i="6"/>
  <c r="AC1435" i="6"/>
  <c r="AA1435" i="6"/>
  <c r="Z1435" i="6" s="1"/>
  <c r="AD1435" i="6" l="1"/>
  <c r="AB1435" i="6"/>
  <c r="Y1437" i="6"/>
  <c r="AH1436" i="6"/>
  <c r="AE1436" i="6"/>
  <c r="AF1436" i="6" s="1"/>
  <c r="AG1436" i="6"/>
  <c r="AC1436" i="6"/>
  <c r="AA1436" i="6"/>
  <c r="Z1436" i="6" s="1"/>
  <c r="AD1436" i="6" l="1"/>
  <c r="AB1436" i="6"/>
  <c r="Y1438" i="6"/>
  <c r="AE1437" i="6"/>
  <c r="AF1437" i="6" s="1"/>
  <c r="AH1437" i="6"/>
  <c r="AG1437" i="6"/>
  <c r="AC1437" i="6"/>
  <c r="AA1437" i="6"/>
  <c r="Z1437" i="6" s="1"/>
  <c r="AD1437" i="6" l="1"/>
  <c r="AB1437" i="6"/>
  <c r="AA1438" i="6"/>
  <c r="Z1438" i="6" s="1"/>
  <c r="Y1439" i="6"/>
  <c r="AG1438" i="6"/>
  <c r="AE1438" i="6"/>
  <c r="AF1438" i="6" s="1"/>
  <c r="AC1438" i="6"/>
  <c r="AH1438" i="6"/>
  <c r="AB1438" i="6" l="1"/>
  <c r="AD1438" i="6"/>
  <c r="Y1440" i="6"/>
  <c r="AH1439" i="6"/>
  <c r="AG1439" i="6"/>
  <c r="AA1439" i="6"/>
  <c r="Z1439" i="6" s="1"/>
  <c r="AE1439" i="6"/>
  <c r="AF1439" i="6" s="1"/>
  <c r="AC1439" i="6"/>
  <c r="AB1439" i="6" l="1"/>
  <c r="AD1439" i="6"/>
  <c r="AH1440" i="6"/>
  <c r="AG1440" i="6"/>
  <c r="AE1440" i="6"/>
  <c r="AF1440" i="6" s="1"/>
  <c r="AA1440" i="6"/>
  <c r="Z1440" i="6" s="1"/>
  <c r="Y1441" i="6"/>
  <c r="AC1440" i="6"/>
  <c r="AD1440" i="6" l="1"/>
  <c r="AB1440" i="6"/>
  <c r="AC1441" i="6"/>
  <c r="AE1441" i="6"/>
  <c r="AF1441" i="6" s="1"/>
  <c r="Y1442" i="6"/>
  <c r="AH1441" i="6"/>
  <c r="AG1441" i="6"/>
  <c r="AA1441" i="6"/>
  <c r="Z1441" i="6" s="1"/>
  <c r="AH1442" i="6" l="1"/>
  <c r="AG1442" i="6"/>
  <c r="AE1442" i="6"/>
  <c r="AF1442" i="6" s="1"/>
  <c r="Y1443" i="6"/>
  <c r="AC1442" i="6"/>
  <c r="AA1442" i="6"/>
  <c r="Z1442" i="6" s="1"/>
  <c r="AD1441" i="6"/>
  <c r="AB1441" i="6"/>
  <c r="AD1442" i="6" l="1"/>
  <c r="AB1442" i="6"/>
  <c r="AH1443" i="6"/>
  <c r="Y1444" i="6"/>
  <c r="AG1443" i="6"/>
  <c r="AE1443" i="6"/>
  <c r="AF1443" i="6" s="1"/>
  <c r="AC1443" i="6"/>
  <c r="AA1443" i="6"/>
  <c r="Z1443" i="6" s="1"/>
  <c r="AD1443" i="6" l="1"/>
  <c r="AB1443" i="6"/>
  <c r="Y1445" i="6"/>
  <c r="AH1444" i="6"/>
  <c r="AG1444" i="6"/>
  <c r="AC1444" i="6"/>
  <c r="AA1444" i="6"/>
  <c r="Z1444" i="6" s="1"/>
  <c r="AE1444" i="6"/>
  <c r="AF1444" i="6" s="1"/>
  <c r="S10" i="8"/>
  <c r="AB1444" i="6" l="1"/>
  <c r="AD1444" i="6"/>
  <c r="AG1445" i="6"/>
  <c r="AE1445" i="6"/>
  <c r="AF1445" i="6" s="1"/>
  <c r="AH1445" i="6"/>
  <c r="AC1445" i="6"/>
  <c r="Y1446" i="6"/>
  <c r="AA1445" i="6"/>
  <c r="Z1445" i="6" s="1"/>
  <c r="AH1446" i="6" l="1"/>
  <c r="AA1446" i="6"/>
  <c r="Z1446" i="6" s="1"/>
  <c r="Y1447" i="6"/>
  <c r="AG1446" i="6"/>
  <c r="AE1446" i="6"/>
  <c r="AF1446" i="6" s="1"/>
  <c r="AC1446" i="6"/>
  <c r="AD1445" i="6"/>
  <c r="AB1445" i="6"/>
  <c r="AD1446" i="6" l="1"/>
  <c r="AB1446" i="6"/>
  <c r="AA1447" i="6"/>
  <c r="Z1447" i="6" s="1"/>
  <c r="AE1447" i="6"/>
  <c r="AF1447" i="6" s="1"/>
  <c r="AC1447" i="6"/>
  <c r="Y1448" i="6"/>
  <c r="AH1447" i="6"/>
  <c r="AG1447" i="6"/>
  <c r="AE1448" i="6" l="1"/>
  <c r="AF1448" i="6" s="1"/>
  <c r="AA1448" i="6"/>
  <c r="Z1448" i="6" s="1"/>
  <c r="Y1449" i="6"/>
  <c r="AH1448" i="6"/>
  <c r="AG1448" i="6"/>
  <c r="AC1448" i="6"/>
  <c r="AD1447" i="6"/>
  <c r="AB1447" i="6"/>
  <c r="AD1448" i="6" l="1"/>
  <c r="AB1448" i="6"/>
  <c r="AE1449" i="6"/>
  <c r="AF1449" i="6" s="1"/>
  <c r="Y1450" i="6"/>
  <c r="AH1449" i="6"/>
  <c r="AG1449" i="6"/>
  <c r="AC1449" i="6"/>
  <c r="AA1449" i="6"/>
  <c r="Z1449" i="6" s="1"/>
  <c r="AD1449" i="6" l="1"/>
  <c r="AB1449" i="6"/>
  <c r="Y1451" i="6"/>
  <c r="AH1450" i="6"/>
  <c r="AG1450" i="6"/>
  <c r="AC1450" i="6"/>
  <c r="AE1450" i="6"/>
  <c r="AF1450" i="6" s="1"/>
  <c r="AA1450" i="6"/>
  <c r="Z1450" i="6" s="1"/>
  <c r="AD1450" i="6" l="1"/>
  <c r="AB1450" i="6"/>
  <c r="Y1452" i="6"/>
  <c r="AE1451" i="6"/>
  <c r="AF1451" i="6" s="1"/>
  <c r="AC1451" i="6"/>
  <c r="AH1451" i="6"/>
  <c r="AG1451" i="6"/>
  <c r="AA1451" i="6"/>
  <c r="Z1451" i="6" s="1"/>
  <c r="Y1453" i="6" l="1"/>
  <c r="AG1452" i="6"/>
  <c r="AE1452" i="6"/>
  <c r="AF1452" i="6" s="1"/>
  <c r="AH1452" i="6"/>
  <c r="AC1452" i="6"/>
  <c r="AA1452" i="6"/>
  <c r="Z1452" i="6" s="1"/>
  <c r="AD1451" i="6"/>
  <c r="AB1451" i="6"/>
  <c r="AB1452" i="6" l="1"/>
  <c r="AD1452" i="6"/>
  <c r="AG1453" i="6"/>
  <c r="AA1453" i="6"/>
  <c r="Z1453" i="6" s="1"/>
  <c r="Y1454" i="6"/>
  <c r="AH1453" i="6"/>
  <c r="AE1453" i="6"/>
  <c r="AF1453" i="6" s="1"/>
  <c r="AC1453" i="6"/>
  <c r="AD1453" i="6" l="1"/>
  <c r="AB1453" i="6"/>
  <c r="AH1454" i="6"/>
  <c r="AC1454" i="6"/>
  <c r="Y1455" i="6"/>
  <c r="AG1454" i="6"/>
  <c r="AE1454" i="6"/>
  <c r="AF1454" i="6" s="1"/>
  <c r="AA1454" i="6"/>
  <c r="Z1454" i="6" s="1"/>
  <c r="AD1454" i="6" l="1"/>
  <c r="AB1454" i="6"/>
  <c r="Y1456" i="6"/>
  <c r="AE1455" i="6"/>
  <c r="AF1455" i="6" s="1"/>
  <c r="AC1455" i="6"/>
  <c r="AA1455" i="6"/>
  <c r="Z1455" i="6" s="1"/>
  <c r="AH1455" i="6"/>
  <c r="AG1455" i="6"/>
  <c r="AE1456" i="6" l="1"/>
  <c r="AF1456" i="6" s="1"/>
  <c r="AC1456" i="6"/>
  <c r="AA1456" i="6"/>
  <c r="Z1456" i="6" s="1"/>
  <c r="AH1456" i="6"/>
  <c r="AG1456" i="6"/>
  <c r="Y1457" i="6"/>
  <c r="AD1455" i="6"/>
  <c r="AB1455" i="6"/>
  <c r="AH1457" i="6" l="1"/>
  <c r="Y1458" i="6"/>
  <c r="AC1457" i="6"/>
  <c r="AE1457" i="6"/>
  <c r="AF1457" i="6" s="1"/>
  <c r="AG1457" i="6"/>
  <c r="AA1457" i="6"/>
  <c r="Z1457" i="6" s="1"/>
  <c r="AD1456" i="6"/>
  <c r="AB1456" i="6"/>
  <c r="AD1457" i="6" l="1"/>
  <c r="AB1457" i="6"/>
  <c r="Y1459" i="6"/>
  <c r="AG1458" i="6"/>
  <c r="AE1458" i="6"/>
  <c r="AF1458" i="6" s="1"/>
  <c r="AC1458" i="6"/>
  <c r="AA1458" i="6"/>
  <c r="Z1458" i="6" s="1"/>
  <c r="AH1458" i="6"/>
  <c r="S9" i="8"/>
  <c r="AD1458" i="6" l="1"/>
  <c r="AB1458" i="6"/>
  <c r="AA1459" i="6"/>
  <c r="Z1459" i="6" s="1"/>
  <c r="AH1459" i="6"/>
  <c r="Y1460" i="6"/>
  <c r="AG1459" i="6"/>
  <c r="AE1459" i="6"/>
  <c r="AF1459" i="6" s="1"/>
  <c r="AC1459" i="6"/>
  <c r="AB1459" i="6" l="1"/>
  <c r="AD1459" i="6"/>
  <c r="Y1461" i="6"/>
  <c r="AC1460" i="6"/>
  <c r="AA1460" i="6"/>
  <c r="Z1460" i="6" s="1"/>
  <c r="AH1460" i="6"/>
  <c r="AG1460" i="6"/>
  <c r="AE1460" i="6"/>
  <c r="AF1460" i="6" s="1"/>
  <c r="AD1460" i="6" l="1"/>
  <c r="AB1460" i="6"/>
  <c r="Y1462" i="6"/>
  <c r="AH1461" i="6"/>
  <c r="AG1461" i="6"/>
  <c r="AE1461" i="6"/>
  <c r="AF1461" i="6" s="1"/>
  <c r="AC1461" i="6"/>
  <c r="AA1461" i="6"/>
  <c r="Z1461" i="6" s="1"/>
  <c r="AB1461" i="6" l="1"/>
  <c r="AD1461" i="6"/>
  <c r="AG1462" i="6"/>
  <c r="AE1462" i="6"/>
  <c r="AF1462" i="6" s="1"/>
  <c r="AC1462" i="6"/>
  <c r="AA1462" i="6"/>
  <c r="Z1462" i="6" s="1"/>
  <c r="Y1463" i="6"/>
  <c r="AH1462" i="6"/>
  <c r="Y1464" i="6" l="1"/>
  <c r="AE1463" i="6"/>
  <c r="AF1463" i="6" s="1"/>
  <c r="AC1463" i="6"/>
  <c r="AG1463" i="6"/>
  <c r="AA1463" i="6"/>
  <c r="Z1463" i="6" s="1"/>
  <c r="AH1463" i="6"/>
  <c r="AB1462" i="6"/>
  <c r="AD1462" i="6"/>
  <c r="AD1463" i="6" l="1"/>
  <c r="AB1463" i="6"/>
  <c r="Y1465" i="6"/>
  <c r="AH1464" i="6"/>
  <c r="AG1464" i="6"/>
  <c r="AA1464" i="6"/>
  <c r="Z1464" i="6" s="1"/>
  <c r="AE1464" i="6"/>
  <c r="AF1464" i="6" s="1"/>
  <c r="AC1464" i="6"/>
  <c r="AB1464" i="6" l="1"/>
  <c r="AD1464" i="6"/>
  <c r="AH1465" i="6"/>
  <c r="AG1465" i="6"/>
  <c r="AE1465" i="6"/>
  <c r="AF1465" i="6" s="1"/>
  <c r="AC1465" i="6"/>
  <c r="AA1465" i="6"/>
  <c r="Z1465" i="6" s="1"/>
  <c r="Y1466" i="6"/>
  <c r="AH1466" i="6" l="1"/>
  <c r="AE1466" i="6"/>
  <c r="AF1466" i="6" s="1"/>
  <c r="AC1466" i="6"/>
  <c r="AA1466" i="6"/>
  <c r="Z1466" i="6" s="1"/>
  <c r="Y1467" i="6"/>
  <c r="AG1466" i="6"/>
  <c r="AD1465" i="6"/>
  <c r="AB1465" i="6"/>
  <c r="Y1468" i="6" l="1"/>
  <c r="AG1467" i="6"/>
  <c r="AH1467" i="6"/>
  <c r="AE1467" i="6"/>
  <c r="AF1467" i="6" s="1"/>
  <c r="AA1467" i="6"/>
  <c r="Z1467" i="6" s="1"/>
  <c r="AC1467" i="6"/>
  <c r="AB1466" i="6"/>
  <c r="AD1466" i="6"/>
  <c r="AD1467" i="6" l="1"/>
  <c r="AB1467" i="6"/>
  <c r="Y1469" i="6"/>
  <c r="AH1468" i="6"/>
  <c r="AE1468" i="6"/>
  <c r="AF1468" i="6" s="1"/>
  <c r="AC1468" i="6"/>
  <c r="AG1468" i="6"/>
  <c r="AA1468" i="6"/>
  <c r="Z1468" i="6" s="1"/>
  <c r="AD1468" i="6" l="1"/>
  <c r="AB1468" i="6"/>
  <c r="AE1469" i="6"/>
  <c r="AF1469" i="6" s="1"/>
  <c r="AC1469" i="6"/>
  <c r="AH1469" i="6"/>
  <c r="AG1469" i="6"/>
  <c r="AA1469" i="6"/>
  <c r="Z1469" i="6" s="1"/>
  <c r="Y1470" i="6"/>
  <c r="Y1471" i="6" l="1"/>
  <c r="AC1470" i="6"/>
  <c r="AA1470" i="6"/>
  <c r="Z1470" i="6" s="1"/>
  <c r="AG1470" i="6"/>
  <c r="AH1470" i="6"/>
  <c r="AE1470" i="6"/>
  <c r="AF1470" i="6" s="1"/>
  <c r="AD1469" i="6"/>
  <c r="AB1469" i="6"/>
  <c r="AB1470" i="6" l="1"/>
  <c r="AD1470" i="6"/>
  <c r="AH1471" i="6"/>
  <c r="Y1472" i="6"/>
  <c r="AG1471" i="6"/>
  <c r="AE1471" i="6"/>
  <c r="AF1471" i="6" s="1"/>
  <c r="AC1471" i="6"/>
  <c r="AA1471" i="6"/>
  <c r="Z1471" i="6" s="1"/>
  <c r="AB1471" i="6" l="1"/>
  <c r="AD1471" i="6"/>
  <c r="AE1472" i="6"/>
  <c r="AF1472" i="6" s="1"/>
  <c r="AC1472" i="6"/>
  <c r="Y1473" i="6"/>
  <c r="AH1472" i="6"/>
  <c r="AG1472" i="6"/>
  <c r="AA1472" i="6"/>
  <c r="Z1472" i="6" s="1"/>
  <c r="S8" i="8"/>
  <c r="Y1474" i="6" l="1"/>
  <c r="AH1473" i="6"/>
  <c r="AG1473" i="6"/>
  <c r="AE1473" i="6"/>
  <c r="AF1473" i="6" s="1"/>
  <c r="AC1473" i="6"/>
  <c r="AA1473" i="6"/>
  <c r="Z1473" i="6" s="1"/>
  <c r="AD1472" i="6"/>
  <c r="AB1472" i="6"/>
  <c r="AD1473" i="6" l="1"/>
  <c r="AB1473" i="6"/>
  <c r="Y1475" i="6"/>
  <c r="AH1474" i="6"/>
  <c r="AE1474" i="6"/>
  <c r="AF1474" i="6" s="1"/>
  <c r="AC1474" i="6"/>
  <c r="AG1474" i="6"/>
  <c r="AA1474" i="6"/>
  <c r="Z1474" i="6" s="1"/>
  <c r="AD1474" i="6" l="1"/>
  <c r="AB1474" i="6"/>
  <c r="AE1475" i="6"/>
  <c r="AF1475" i="6" s="1"/>
  <c r="Y1476" i="6"/>
  <c r="AH1475" i="6"/>
  <c r="AG1475" i="6"/>
  <c r="AA1475" i="6"/>
  <c r="Z1475" i="6" s="1"/>
  <c r="AC1475" i="6"/>
  <c r="AB1475" i="6" l="1"/>
  <c r="AD1475" i="6"/>
  <c r="Y1477" i="6"/>
  <c r="AH1476" i="6"/>
  <c r="AG1476" i="6"/>
  <c r="AE1476" i="6"/>
  <c r="AF1476" i="6" s="1"/>
  <c r="AC1476" i="6"/>
  <c r="AA1476" i="6"/>
  <c r="Z1476" i="6" s="1"/>
  <c r="AD1476" i="6" l="1"/>
  <c r="AB1476" i="6"/>
  <c r="AE1477" i="6"/>
  <c r="AF1477" i="6" s="1"/>
  <c r="AC1477" i="6"/>
  <c r="AA1477" i="6"/>
  <c r="Z1477" i="6" s="1"/>
  <c r="Y1478" i="6"/>
  <c r="AH1477" i="6"/>
  <c r="AG1477" i="6"/>
  <c r="AD1477" i="6" l="1"/>
  <c r="AB1477" i="6"/>
  <c r="AE1478" i="6"/>
  <c r="AF1478" i="6" s="1"/>
  <c r="AH1478" i="6"/>
  <c r="AG1478" i="6"/>
  <c r="AA1478" i="6"/>
  <c r="Z1478" i="6" s="1"/>
  <c r="Y1479" i="6"/>
  <c r="AC1478" i="6"/>
  <c r="AD1478" i="6" l="1"/>
  <c r="AB1478" i="6"/>
  <c r="Y1480" i="6"/>
  <c r="AH1479" i="6"/>
  <c r="AG1479" i="6"/>
  <c r="AE1479" i="6"/>
  <c r="AF1479" i="6" s="1"/>
  <c r="AC1479" i="6"/>
  <c r="AA1479" i="6"/>
  <c r="Z1479" i="6" s="1"/>
  <c r="AD1479" i="6" l="1"/>
  <c r="AB1479" i="6"/>
  <c r="AH1480" i="6"/>
  <c r="Y1481" i="6"/>
  <c r="AG1480" i="6"/>
  <c r="AE1480" i="6"/>
  <c r="AF1480" i="6" s="1"/>
  <c r="AC1480" i="6"/>
  <c r="AA1480" i="6"/>
  <c r="Z1480" i="6" s="1"/>
  <c r="AE1481" i="6" l="1"/>
  <c r="AF1481" i="6" s="1"/>
  <c r="AA1481" i="6"/>
  <c r="Z1481" i="6" s="1"/>
  <c r="AH1481" i="6"/>
  <c r="Y1482" i="6"/>
  <c r="AG1481" i="6"/>
  <c r="AC1481" i="6"/>
  <c r="AB1480" i="6"/>
  <c r="AD1480" i="6"/>
  <c r="AD1481" i="6" l="1"/>
  <c r="AB1481" i="6"/>
  <c r="AH1482" i="6"/>
  <c r="Y1483" i="6"/>
  <c r="AG1482" i="6"/>
  <c r="AC1482" i="6"/>
  <c r="AA1482" i="6"/>
  <c r="Z1482" i="6" s="1"/>
  <c r="AE1482" i="6"/>
  <c r="AF1482" i="6" s="1"/>
  <c r="AD1482" i="6" l="1"/>
  <c r="AB1482" i="6"/>
  <c r="AA1483" i="6"/>
  <c r="Z1483" i="6" s="1"/>
  <c r="Y1484" i="6"/>
  <c r="AH1483" i="6"/>
  <c r="AG1483" i="6"/>
  <c r="AE1483" i="6"/>
  <c r="AF1483" i="6" s="1"/>
  <c r="AC1483" i="6"/>
  <c r="AD1483" i="6" l="1"/>
  <c r="AB1483" i="6"/>
  <c r="AG1484" i="6"/>
  <c r="AE1484" i="6"/>
  <c r="AF1484" i="6" s="1"/>
  <c r="Y1485" i="6"/>
  <c r="AH1484" i="6"/>
  <c r="AC1484" i="6"/>
  <c r="AA1484" i="6"/>
  <c r="Z1484" i="6" s="1"/>
  <c r="AD1484" i="6" l="1"/>
  <c r="AB1484" i="6"/>
  <c r="AH1485" i="6"/>
  <c r="AA1485" i="6"/>
  <c r="Z1485" i="6" s="1"/>
  <c r="Y1486" i="6"/>
  <c r="AE1485" i="6"/>
  <c r="AF1485" i="6" s="1"/>
  <c r="AG1485" i="6"/>
  <c r="AC1485" i="6"/>
  <c r="AD1485" i="6" l="1"/>
  <c r="AB1485" i="6"/>
  <c r="Y1487" i="6"/>
  <c r="AH1486" i="6"/>
  <c r="AG1486" i="6"/>
  <c r="AC1486" i="6"/>
  <c r="AA1486" i="6"/>
  <c r="Z1486" i="6" s="1"/>
  <c r="AE1486" i="6"/>
  <c r="AF1486" i="6" s="1"/>
  <c r="S7" i="8"/>
  <c r="AD1486" i="6" l="1"/>
  <c r="AB1486" i="6"/>
  <c r="AH1487" i="6"/>
  <c r="AG1487" i="6"/>
  <c r="Y1488" i="6"/>
  <c r="AE1487" i="6"/>
  <c r="AF1487" i="6" s="1"/>
  <c r="AC1487" i="6"/>
  <c r="AA1487" i="6"/>
  <c r="Z1487" i="6" s="1"/>
  <c r="AD1487" i="6" l="1"/>
  <c r="AB1487" i="6"/>
  <c r="Y1489" i="6"/>
  <c r="AH1488" i="6"/>
  <c r="AG1488" i="6"/>
  <c r="AE1488" i="6"/>
  <c r="AF1488" i="6" s="1"/>
  <c r="AC1488" i="6"/>
  <c r="AA1488" i="6"/>
  <c r="Z1488" i="6" s="1"/>
  <c r="AD1488" i="6" l="1"/>
  <c r="AB1488" i="6"/>
  <c r="Y1490" i="6"/>
  <c r="AG1489" i="6"/>
  <c r="AE1489" i="6"/>
  <c r="AF1489" i="6" s="1"/>
  <c r="AH1489" i="6"/>
  <c r="AC1489" i="6"/>
  <c r="AA1489" i="6"/>
  <c r="Z1489" i="6" s="1"/>
  <c r="AB1489" i="6" l="1"/>
  <c r="AD1489" i="6"/>
  <c r="Y1491" i="6"/>
  <c r="AH1490" i="6"/>
  <c r="AG1490" i="6"/>
  <c r="AE1490" i="6"/>
  <c r="AF1490" i="6" s="1"/>
  <c r="AC1490" i="6"/>
  <c r="AA1490" i="6"/>
  <c r="Z1490" i="6" s="1"/>
  <c r="AD1490" i="6" l="1"/>
  <c r="AB1490" i="6"/>
  <c r="AE1491" i="6"/>
  <c r="AF1491" i="6" s="1"/>
  <c r="Y1492" i="6"/>
  <c r="AH1491" i="6"/>
  <c r="AG1491" i="6"/>
  <c r="AC1491" i="6"/>
  <c r="AA1491" i="6"/>
  <c r="Z1491" i="6" s="1"/>
  <c r="AD1491" i="6" l="1"/>
  <c r="AB1491" i="6"/>
  <c r="AE1492" i="6"/>
  <c r="AF1492" i="6" s="1"/>
  <c r="AA1492" i="6"/>
  <c r="Z1492" i="6" s="1"/>
  <c r="Y1493" i="6"/>
  <c r="AH1492" i="6"/>
  <c r="AG1492" i="6"/>
  <c r="AC1492" i="6"/>
  <c r="AD1492" i="6" l="1"/>
  <c r="AB1492" i="6"/>
  <c r="Y1494" i="6"/>
  <c r="AH1493" i="6"/>
  <c r="AE1493" i="6"/>
  <c r="AF1493" i="6" s="1"/>
  <c r="AC1493" i="6"/>
  <c r="AG1493" i="6"/>
  <c r="AA1493" i="6"/>
  <c r="Z1493" i="6" s="1"/>
  <c r="AH1494" i="6" l="1"/>
  <c r="AG1494" i="6"/>
  <c r="AA1494" i="6"/>
  <c r="Z1494" i="6" s="1"/>
  <c r="Y1495" i="6"/>
  <c r="AE1494" i="6"/>
  <c r="AF1494" i="6" s="1"/>
  <c r="AC1494" i="6"/>
  <c r="AD1493" i="6"/>
  <c r="AB1493" i="6"/>
  <c r="AB1494" i="6" l="1"/>
  <c r="AD1494" i="6"/>
  <c r="Y1496" i="6"/>
  <c r="AH1495" i="6"/>
  <c r="AG1495" i="6"/>
  <c r="AE1495" i="6"/>
  <c r="AF1495" i="6" s="1"/>
  <c r="AC1495" i="6"/>
  <c r="AA1495" i="6"/>
  <c r="Z1495" i="6" s="1"/>
  <c r="AB1495" i="6" l="1"/>
  <c r="AD1495" i="6"/>
  <c r="AH1496" i="6"/>
  <c r="Y1497" i="6"/>
  <c r="AG1496" i="6"/>
  <c r="AE1496" i="6"/>
  <c r="AF1496" i="6" s="1"/>
  <c r="AC1496" i="6"/>
  <c r="AA1496" i="6"/>
  <c r="Z1496" i="6" s="1"/>
  <c r="AD1496" i="6" l="1"/>
  <c r="AB1496" i="6"/>
  <c r="Y1498" i="6"/>
  <c r="AH1497" i="6"/>
  <c r="AC1497" i="6"/>
  <c r="AA1497" i="6"/>
  <c r="Z1497" i="6" s="1"/>
  <c r="AG1497" i="6"/>
  <c r="AE1497" i="6"/>
  <c r="AF1497" i="6" s="1"/>
  <c r="AB1497" i="6" l="1"/>
  <c r="AD1497" i="6"/>
  <c r="AH1498" i="6"/>
  <c r="AG1498" i="6"/>
  <c r="AC1498" i="6"/>
  <c r="Y1499" i="6"/>
  <c r="AA1498" i="6"/>
  <c r="Z1498" i="6" s="1"/>
  <c r="AE1498" i="6"/>
  <c r="AF1498" i="6" s="1"/>
  <c r="AD1498" i="6" l="1"/>
  <c r="AB1498" i="6"/>
  <c r="AH1499" i="6"/>
  <c r="Y1500" i="6"/>
  <c r="AG1499" i="6"/>
  <c r="AE1499" i="6"/>
  <c r="AF1499" i="6" s="1"/>
  <c r="AC1499" i="6"/>
  <c r="AA1499" i="6"/>
  <c r="Z1499" i="6" s="1"/>
  <c r="AD1499" i="6" l="1"/>
  <c r="AB1499" i="6"/>
  <c r="Y1501" i="6"/>
  <c r="AE1500" i="6"/>
  <c r="AF1500" i="6" s="1"/>
  <c r="AC1500" i="6"/>
  <c r="AH1500" i="6"/>
  <c r="AG1500" i="6"/>
  <c r="AA1500" i="6"/>
  <c r="Z1500" i="6" s="1"/>
  <c r="S6" i="8"/>
  <c r="R6" i="8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AD1500" i="6" l="1"/>
  <c r="AB1500" i="6"/>
  <c r="Y1502" i="6"/>
  <c r="AH1501" i="6"/>
  <c r="AG1501" i="6"/>
  <c r="AE1501" i="6"/>
  <c r="AF1501" i="6" s="1"/>
  <c r="AC1501" i="6"/>
  <c r="AA1501" i="6"/>
  <c r="Z1501" i="6" s="1"/>
  <c r="AD1501" i="6" l="1"/>
  <c r="AB1501" i="6"/>
  <c r="AG1502" i="6"/>
  <c r="Y1503" i="6"/>
  <c r="AE1502" i="6"/>
  <c r="AF1502" i="6" s="1"/>
  <c r="AH1502" i="6"/>
  <c r="AC1502" i="6"/>
  <c r="AA1502" i="6"/>
  <c r="Z1502" i="6" s="1"/>
  <c r="AD1502" i="6" l="1"/>
  <c r="AB1502" i="6"/>
  <c r="AG1503" i="6"/>
  <c r="AE1503" i="6"/>
  <c r="AF1503" i="6" s="1"/>
  <c r="AA1503" i="6"/>
  <c r="Z1503" i="6" s="1"/>
  <c r="Y1504" i="6"/>
  <c r="AH1503" i="6"/>
  <c r="AC1503" i="6"/>
  <c r="AB1503" i="6" l="1"/>
  <c r="AD1503" i="6"/>
  <c r="AA1504" i="6"/>
  <c r="Z1504" i="6" s="1"/>
  <c r="Y1505" i="6"/>
  <c r="AH1504" i="6"/>
  <c r="AG1504" i="6"/>
  <c r="AE1504" i="6"/>
  <c r="AF1504" i="6" s="1"/>
  <c r="AC1504" i="6"/>
  <c r="AB1504" i="6" l="1"/>
  <c r="AD1504" i="6"/>
  <c r="AE1505" i="6"/>
  <c r="AF1505" i="6" s="1"/>
  <c r="AA1505" i="6"/>
  <c r="Z1505" i="6" s="1"/>
  <c r="Y1506" i="6"/>
  <c r="AH1505" i="6"/>
  <c r="AG1505" i="6"/>
  <c r="AC1505" i="6"/>
  <c r="AD1505" i="6" l="1"/>
  <c r="AB1505" i="6"/>
  <c r="Y1507" i="6"/>
  <c r="AH1506" i="6"/>
  <c r="AG1506" i="6"/>
  <c r="AE1506" i="6"/>
  <c r="AF1506" i="6" s="1"/>
  <c r="AC1506" i="6"/>
  <c r="AA1506" i="6"/>
  <c r="Z1506" i="6" s="1"/>
  <c r="AD1506" i="6" l="1"/>
  <c r="AB1506" i="6"/>
  <c r="AC1507" i="6"/>
  <c r="AH1507" i="6"/>
  <c r="Y1508" i="6"/>
  <c r="AG1507" i="6"/>
  <c r="AE1507" i="6"/>
  <c r="AF1507" i="6" s="1"/>
  <c r="AA1507" i="6"/>
  <c r="Z1507" i="6" s="1"/>
  <c r="AD1507" i="6" l="1"/>
  <c r="AB1507" i="6"/>
  <c r="AH1508" i="6"/>
  <c r="AC1508" i="6"/>
  <c r="AE1508" i="6"/>
  <c r="AF1508" i="6" s="1"/>
  <c r="Y1509" i="6"/>
  <c r="AG1508" i="6"/>
  <c r="AA1508" i="6"/>
  <c r="Z1508" i="6" s="1"/>
  <c r="Y1510" i="6" l="1"/>
  <c r="AH1509" i="6"/>
  <c r="AG1509" i="6"/>
  <c r="AE1509" i="6"/>
  <c r="AF1509" i="6" s="1"/>
  <c r="AC1509" i="6"/>
  <c r="AA1509" i="6"/>
  <c r="Z1509" i="6" s="1"/>
  <c r="AB1508" i="6"/>
  <c r="AD1508" i="6"/>
  <c r="AF5" i="8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D1509" i="6" l="1"/>
  <c r="AB1509" i="6"/>
  <c r="AH1510" i="6"/>
  <c r="AE1510" i="6"/>
  <c r="AF1510" i="6" s="1"/>
  <c r="AA1510" i="6"/>
  <c r="Z1510" i="6" s="1"/>
  <c r="Y1511" i="6"/>
  <c r="AG1510" i="6"/>
  <c r="AC1510" i="6"/>
  <c r="AD1510" i="6" l="1"/>
  <c r="AB1510" i="6"/>
  <c r="AA1511" i="6"/>
  <c r="Z1511" i="6" s="1"/>
  <c r="Y1512" i="6"/>
  <c r="AH1511" i="6"/>
  <c r="AC1511" i="6"/>
  <c r="AG1511" i="6"/>
  <c r="AE1511" i="6"/>
  <c r="AF1511" i="6" s="1"/>
  <c r="AD1511" i="6" l="1"/>
  <c r="AB1511" i="6"/>
  <c r="AH1512" i="6"/>
  <c r="AA1512" i="6"/>
  <c r="Z1512" i="6" s="1"/>
  <c r="Y1513" i="6"/>
  <c r="AG1512" i="6"/>
  <c r="AE1512" i="6"/>
  <c r="AF1512" i="6" s="1"/>
  <c r="AC1512" i="6"/>
  <c r="AD1512" i="6" l="1"/>
  <c r="AB1512" i="6"/>
  <c r="Y1514" i="6"/>
  <c r="AH1513" i="6"/>
  <c r="AG1513" i="6"/>
  <c r="AE1513" i="6"/>
  <c r="AF1513" i="6" s="1"/>
  <c r="AC1513" i="6"/>
  <c r="AA1513" i="6"/>
  <c r="Z1513" i="6" s="1"/>
  <c r="AB1513" i="6" l="1"/>
  <c r="AD1513" i="6"/>
  <c r="AA1514" i="6"/>
  <c r="Z1514" i="6" s="1"/>
  <c r="Y1515" i="6"/>
  <c r="AH1514" i="6"/>
  <c r="AG1514" i="6"/>
  <c r="AE1514" i="6"/>
  <c r="AF1514" i="6" s="1"/>
  <c r="AC1514" i="6"/>
  <c r="AD1514" i="6" l="1"/>
  <c r="AB1514" i="6"/>
  <c r="AA1515" i="6"/>
  <c r="Z1515" i="6" s="1"/>
  <c r="Y1516" i="6"/>
  <c r="AH1515" i="6"/>
  <c r="AG1515" i="6"/>
  <c r="AE1515" i="6"/>
  <c r="AF1515" i="6" s="1"/>
  <c r="AC1515" i="6"/>
  <c r="AD1515" i="6" l="1"/>
  <c r="AB1515" i="6"/>
  <c r="AG1516" i="6"/>
  <c r="AH1516" i="6"/>
  <c r="AE1516" i="6"/>
  <c r="AF1516" i="6" s="1"/>
  <c r="AC1516" i="6"/>
  <c r="Y1517" i="6"/>
  <c r="AA1516" i="6"/>
  <c r="Z1516" i="6" s="1"/>
  <c r="AC1517" i="6" l="1"/>
  <c r="AA1517" i="6"/>
  <c r="Z1517" i="6" s="1"/>
  <c r="AH1517" i="6"/>
  <c r="AE1517" i="6"/>
  <c r="AF1517" i="6" s="1"/>
  <c r="Y1518" i="6"/>
  <c r="AG1517" i="6"/>
  <c r="AD1516" i="6"/>
  <c r="AB1516" i="6"/>
  <c r="AC1518" i="6" l="1"/>
  <c r="Y1519" i="6"/>
  <c r="AH1518" i="6"/>
  <c r="AG1518" i="6"/>
  <c r="AE1518" i="6"/>
  <c r="AF1518" i="6" s="1"/>
  <c r="AA1518" i="6"/>
  <c r="Z1518" i="6" s="1"/>
  <c r="AB1517" i="6"/>
  <c r="AD1517" i="6"/>
  <c r="AE1519" i="6" l="1"/>
  <c r="AF1519" i="6" s="1"/>
  <c r="Y1520" i="6"/>
  <c r="AH1519" i="6"/>
  <c r="AC1519" i="6"/>
  <c r="AG1519" i="6"/>
  <c r="AA1519" i="6"/>
  <c r="Z1519" i="6" s="1"/>
  <c r="AB1518" i="6"/>
  <c r="AD1518" i="6"/>
  <c r="AD1519" i="6" l="1"/>
  <c r="AB1519" i="6"/>
  <c r="AE1520" i="6"/>
  <c r="AF1520" i="6" s="1"/>
  <c r="AC1520" i="6"/>
  <c r="AA1520" i="6"/>
  <c r="Z1520" i="6" s="1"/>
  <c r="Y1521" i="6"/>
  <c r="AH1520" i="6"/>
  <c r="AG1520" i="6"/>
  <c r="AE1521" i="6" l="1"/>
  <c r="AF1521" i="6" s="1"/>
  <c r="Y1522" i="6"/>
  <c r="AH1521" i="6"/>
  <c r="AG1521" i="6"/>
  <c r="AC1521" i="6"/>
  <c r="AA1521" i="6"/>
  <c r="Z1521" i="6" s="1"/>
  <c r="AD1520" i="6"/>
  <c r="AB1520" i="6"/>
  <c r="AD1521" i="6" l="1"/>
  <c r="AB1521" i="6"/>
  <c r="AH1522" i="6"/>
  <c r="AC1522" i="6"/>
  <c r="AG1522" i="6"/>
  <c r="AE1522" i="6"/>
  <c r="AF1522" i="6" s="1"/>
  <c r="AA1522" i="6"/>
  <c r="Z1522" i="6" s="1"/>
  <c r="Y1523" i="6"/>
  <c r="AH1523" i="6" l="1"/>
  <c r="AG1523" i="6"/>
  <c r="AE1523" i="6"/>
  <c r="AF1523" i="6" s="1"/>
  <c r="AC1523" i="6"/>
  <c r="AA1523" i="6"/>
  <c r="Z1523" i="6" s="1"/>
  <c r="Y1524" i="6"/>
  <c r="AB1522" i="6"/>
  <c r="AD1522" i="6"/>
  <c r="B5" i="8"/>
  <c r="N4" i="8"/>
  <c r="C4" i="8"/>
  <c r="O31" i="2"/>
  <c r="P30" i="2"/>
  <c r="O30" i="2"/>
  <c r="Z18" i="2"/>
  <c r="Z17" i="2"/>
  <c r="Z16" i="2"/>
  <c r="Q15" i="2"/>
  <c r="R12" i="2"/>
  <c r="R16" i="2" s="1"/>
  <c r="T11" i="2"/>
  <c r="S11" i="2"/>
  <c r="R11" i="2"/>
  <c r="Q11" i="2"/>
  <c r="AC8" i="2" a="1"/>
  <c r="AC8" i="2" l="1"/>
  <c r="C109" i="8"/>
  <c r="AN64" i="8"/>
  <c r="AG64" i="8"/>
  <c r="AA64" i="8"/>
  <c r="O64" i="8"/>
  <c r="I64" i="8"/>
  <c r="A64" i="8"/>
  <c r="V63" i="8"/>
  <c r="C63" i="8"/>
  <c r="B6" i="8"/>
  <c r="N5" i="8"/>
  <c r="I5" i="8"/>
  <c r="S12" i="2"/>
  <c r="C5" i="8"/>
  <c r="AH1524" i="6"/>
  <c r="AG1524" i="6"/>
  <c r="AE1524" i="6"/>
  <c r="AF1524" i="6" s="1"/>
  <c r="Y1525" i="6"/>
  <c r="AC1524" i="6"/>
  <c r="AA1524" i="6"/>
  <c r="Z1524" i="6" s="1"/>
  <c r="AB1523" i="6"/>
  <c r="AD1523" i="6"/>
  <c r="AD64" i="8" a="1"/>
  <c r="V5" i="8" a="1"/>
  <c r="R64" i="8" a="1"/>
  <c r="Q64" i="8" a="1"/>
  <c r="F109" i="8" a="1"/>
  <c r="X63" i="8" a="1"/>
  <c r="P5" i="8" a="1"/>
  <c r="Q5" i="8" a="1"/>
  <c r="Y63" i="8" a="1"/>
  <c r="K5" i="8" a="1"/>
  <c r="U5" i="8" a="1"/>
  <c r="AC64" i="8" a="1"/>
  <c r="E109" i="8" a="1"/>
  <c r="E5" i="8" a="1"/>
  <c r="AC7" i="2" a="1"/>
  <c r="E64" i="8" a="1"/>
  <c r="K64" i="8" a="1"/>
  <c r="AC7" i="2" l="1"/>
  <c r="E64" i="8"/>
  <c r="Q5" i="8"/>
  <c r="P5" i="8"/>
  <c r="R64" i="8"/>
  <c r="Q64" i="8"/>
  <c r="E5" i="8"/>
  <c r="V5" i="8"/>
  <c r="U5" i="8"/>
  <c r="K5" i="8"/>
  <c r="Y63" i="8"/>
  <c r="X63" i="8"/>
  <c r="AI64" i="8"/>
  <c r="K109" i="8"/>
  <c r="K64" i="8"/>
  <c r="AD64" i="8"/>
  <c r="AC64" i="8"/>
  <c r="AP64" i="8"/>
  <c r="F109" i="8"/>
  <c r="H109" i="8" s="1"/>
  <c r="E109" i="8"/>
  <c r="AB1524" i="6"/>
  <c r="AD1524" i="6"/>
  <c r="T12" i="2"/>
  <c r="AE1525" i="6"/>
  <c r="AF1525" i="6" s="1"/>
  <c r="AG1525" i="6"/>
  <c r="AA1525" i="6"/>
  <c r="Z1525" i="6" s="1"/>
  <c r="Y1526" i="6"/>
  <c r="AH1525" i="6"/>
  <c r="AC1525" i="6"/>
  <c r="C110" i="8"/>
  <c r="AN65" i="8"/>
  <c r="AG65" i="8"/>
  <c r="AA65" i="8"/>
  <c r="O65" i="8"/>
  <c r="I65" i="8"/>
  <c r="A65" i="8"/>
  <c r="V64" i="8"/>
  <c r="C64" i="8"/>
  <c r="B7" i="8"/>
  <c r="N6" i="8"/>
  <c r="I6" i="8"/>
  <c r="C6" i="8"/>
  <c r="U6" i="8" a="1"/>
  <c r="K65" i="8" a="1"/>
  <c r="Q65" i="8" a="1"/>
  <c r="V6" i="8" a="1"/>
  <c r="R65" i="8" a="1"/>
  <c r="AA7" i="2" a="1"/>
  <c r="AC65" i="8" a="1"/>
  <c r="AD65" i="8" a="1"/>
  <c r="E110" i="8" a="1"/>
  <c r="Q6" i="8" a="1"/>
  <c r="Y64" i="8" a="1"/>
  <c r="P6" i="8" a="1"/>
  <c r="E65" i="8" a="1"/>
  <c r="X64" i="8" a="1"/>
  <c r="K6" i="8" a="1"/>
  <c r="E6" i="8" a="1"/>
  <c r="F110" i="8" a="1"/>
  <c r="AA7" i="2" l="1"/>
  <c r="Y64" i="8"/>
  <c r="X64" i="8"/>
  <c r="AD65" i="8"/>
  <c r="AC65" i="8"/>
  <c r="K65" i="8"/>
  <c r="K110" i="8"/>
  <c r="E65" i="8"/>
  <c r="R65" i="8"/>
  <c r="S65" i="8" s="1"/>
  <c r="Q65" i="8"/>
  <c r="F110" i="8"/>
  <c r="H110" i="8" s="1"/>
  <c r="E110" i="8"/>
  <c r="Q6" i="8"/>
  <c r="P6" i="8"/>
  <c r="AP65" i="8"/>
  <c r="AI65" i="8"/>
  <c r="E6" i="8"/>
  <c r="V6" i="8"/>
  <c r="U6" i="8"/>
  <c r="K6" i="8"/>
  <c r="A7" i="8" s="1"/>
  <c r="Z6" i="8"/>
  <c r="Y6" i="8" s="1"/>
  <c r="M64" i="8"/>
  <c r="AJ64" i="8"/>
  <c r="C111" i="8"/>
  <c r="AN66" i="8"/>
  <c r="AG66" i="8"/>
  <c r="AA66" i="8"/>
  <c r="O66" i="8"/>
  <c r="I66" i="8"/>
  <c r="A66" i="8"/>
  <c r="V65" i="8"/>
  <c r="C65" i="8"/>
  <c r="B8" i="8"/>
  <c r="N7" i="8"/>
  <c r="I7" i="8"/>
  <c r="C7" i="8"/>
  <c r="L109" i="8"/>
  <c r="G63" i="8"/>
  <c r="S64" i="8"/>
  <c r="T64" i="8" s="1"/>
  <c r="AD1525" i="6"/>
  <c r="AB1525" i="6"/>
  <c r="Z5" i="8"/>
  <c r="Y5" i="8" s="1"/>
  <c r="H5" i="8"/>
  <c r="B109" i="8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AQ64" i="8"/>
  <c r="Y1527" i="6"/>
  <c r="AH1526" i="6"/>
  <c r="AE1526" i="6"/>
  <c r="AF1526" i="6" s="1"/>
  <c r="AA1526" i="6"/>
  <c r="Z1526" i="6" s="1"/>
  <c r="AG1526" i="6"/>
  <c r="AC1526" i="6"/>
  <c r="M63" i="8"/>
  <c r="T63" i="8"/>
  <c r="H62" i="8"/>
  <c r="F1" i="8"/>
  <c r="S7" i="2"/>
  <c r="E66" i="8" a="1"/>
  <c r="X65" i="8" a="1"/>
  <c r="Q66" i="8" a="1"/>
  <c r="AD66" i="8" a="1"/>
  <c r="E111" i="8" a="1"/>
  <c r="U7" i="8" a="1"/>
  <c r="R66" i="8" a="1"/>
  <c r="Y65" i="8" a="1"/>
  <c r="V7" i="8" a="1"/>
  <c r="E7" i="8" a="1"/>
  <c r="K66" i="8" a="1"/>
  <c r="AC6" i="2" a="1"/>
  <c r="P7" i="8" a="1"/>
  <c r="K7" i="8" a="1"/>
  <c r="AC66" i="8" a="1"/>
  <c r="F111" i="8" a="1"/>
  <c r="Q7" i="8" a="1"/>
  <c r="AC6" i="2" l="1"/>
  <c r="Q7" i="8"/>
  <c r="P7" i="8"/>
  <c r="Y65" i="8"/>
  <c r="X65" i="8"/>
  <c r="V7" i="8"/>
  <c r="U7" i="8"/>
  <c r="M5" i="8"/>
  <c r="S5" i="8" s="1"/>
  <c r="K7" i="8"/>
  <c r="Z7" i="8"/>
  <c r="Y7" i="8" s="1"/>
  <c r="K111" i="8"/>
  <c r="K66" i="8"/>
  <c r="R66" i="8"/>
  <c r="S66" i="8" s="1"/>
  <c r="Q66" i="8"/>
  <c r="AP66" i="8"/>
  <c r="E7" i="8"/>
  <c r="E66" i="8"/>
  <c r="AD66" i="8"/>
  <c r="AC66" i="8"/>
  <c r="AI66" i="8"/>
  <c r="F111" i="8"/>
  <c r="H111" i="8" s="1"/>
  <c r="E111" i="8"/>
  <c r="AJ65" i="8"/>
  <c r="AS64" i="8"/>
  <c r="AD1526" i="6"/>
  <c r="AB1526" i="6"/>
  <c r="T7" i="2"/>
  <c r="C112" i="8"/>
  <c r="AN67" i="8"/>
  <c r="AG67" i="8"/>
  <c r="AA67" i="8"/>
  <c r="O67" i="8"/>
  <c r="I67" i="8"/>
  <c r="A67" i="8"/>
  <c r="V66" i="8"/>
  <c r="C66" i="8"/>
  <c r="B9" i="8"/>
  <c r="N8" i="8"/>
  <c r="I8" i="8"/>
  <c r="C8" i="8"/>
  <c r="Y1528" i="6"/>
  <c r="AG1527" i="6"/>
  <c r="AA1527" i="6"/>
  <c r="Z1527" i="6" s="1"/>
  <c r="AE1527" i="6"/>
  <c r="AF1527" i="6" s="1"/>
  <c r="AH1527" i="6"/>
  <c r="AC1527" i="6"/>
  <c r="AE64" i="8"/>
  <c r="H6" i="8"/>
  <c r="X5" i="8"/>
  <c r="AQ65" i="8"/>
  <c r="T65" i="8"/>
  <c r="L110" i="8"/>
  <c r="G64" i="8"/>
  <c r="U54" i="8"/>
  <c r="U55" i="8" s="1"/>
  <c r="U59" i="8" s="1"/>
  <c r="V59" i="8" s="1"/>
  <c r="M65" i="8"/>
  <c r="F112" i="8" a="1"/>
  <c r="AA6" i="2" a="1"/>
  <c r="X66" i="8" a="1"/>
  <c r="E8" i="8" a="1"/>
  <c r="Q67" i="8" a="1"/>
  <c r="P8" i="8" a="1"/>
  <c r="AC67" i="8" a="1"/>
  <c r="K67" i="8" a="1"/>
  <c r="E67" i="8" a="1"/>
  <c r="E112" i="8" a="1"/>
  <c r="U8" i="8" a="1"/>
  <c r="K8" i="8" a="1"/>
  <c r="R67" i="8" a="1"/>
  <c r="AD67" i="8" a="1"/>
  <c r="Y66" i="8" a="1"/>
  <c r="V8" i="8" a="1"/>
  <c r="Q8" i="8" a="1"/>
  <c r="AS65" i="8" l="1"/>
  <c r="AA6" i="2"/>
  <c r="T13" i="2" s="1"/>
  <c r="R67" i="8"/>
  <c r="Q67" i="8"/>
  <c r="AI67" i="8"/>
  <c r="E67" i="8"/>
  <c r="Y66" i="8"/>
  <c r="X66" i="8"/>
  <c r="F112" i="8"/>
  <c r="H112" i="8" s="1"/>
  <c r="E112" i="8"/>
  <c r="K67" i="8"/>
  <c r="K112" i="8"/>
  <c r="AD67" i="8"/>
  <c r="AC67" i="8"/>
  <c r="AP67" i="8"/>
  <c r="E8" i="8"/>
  <c r="V8" i="8"/>
  <c r="U8" i="8"/>
  <c r="K8" i="8"/>
  <c r="Z8" i="8"/>
  <c r="Y8" i="8" s="1"/>
  <c r="Q8" i="8"/>
  <c r="P8" i="8"/>
  <c r="T66" i="8"/>
  <c r="M66" i="8"/>
  <c r="L111" i="8"/>
  <c r="G65" i="8"/>
  <c r="F60" i="8"/>
  <c r="O58" i="8"/>
  <c r="AQ66" i="8"/>
  <c r="H7" i="8"/>
  <c r="X6" i="8"/>
  <c r="AE65" i="8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L64" i="8"/>
  <c r="AL65" i="8" s="1"/>
  <c r="AL66" i="8" s="1"/>
  <c r="AL67" i="8" s="1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U7" i="2"/>
  <c r="U8" i="2" s="1"/>
  <c r="C113" i="8"/>
  <c r="AN68" i="8"/>
  <c r="AG68" i="8"/>
  <c r="AA68" i="8"/>
  <c r="O68" i="8"/>
  <c r="I68" i="8"/>
  <c r="A68" i="8"/>
  <c r="V67" i="8"/>
  <c r="C67" i="8"/>
  <c r="B10" i="8"/>
  <c r="N9" i="8"/>
  <c r="I9" i="8"/>
  <c r="C9" i="8"/>
  <c r="AD1527" i="6"/>
  <c r="AB1527" i="6"/>
  <c r="AJ66" i="8"/>
  <c r="AC1528" i="6"/>
  <c r="AA1528" i="6"/>
  <c r="Z1528" i="6" s="1"/>
  <c r="AH1528" i="6"/>
  <c r="AG1528" i="6"/>
  <c r="AE1528" i="6"/>
  <c r="AF1528" i="6" s="1"/>
  <c r="Y1529" i="6"/>
  <c r="Q9" i="8" a="1"/>
  <c r="AC5" i="2" a="1"/>
  <c r="X67" i="8" a="1"/>
  <c r="AD68" i="8" a="1"/>
  <c r="Y67" i="8" a="1"/>
  <c r="E9" i="8" a="1"/>
  <c r="R68" i="8" a="1"/>
  <c r="K68" i="8" a="1"/>
  <c r="E113" i="8" a="1"/>
  <c r="U9" i="8" a="1"/>
  <c r="AC68" i="8" a="1"/>
  <c r="Q68" i="8" a="1"/>
  <c r="F113" i="8" a="1"/>
  <c r="E68" i="8" a="1"/>
  <c r="P9" i="8" a="1"/>
  <c r="V9" i="8" a="1"/>
  <c r="K9" i="8" a="1"/>
  <c r="T8" i="2" l="1"/>
  <c r="S9" i="2" s="1"/>
  <c r="AS66" i="8"/>
  <c r="AC5" i="2"/>
  <c r="AI68" i="8"/>
  <c r="R68" i="8"/>
  <c r="Q68" i="8"/>
  <c r="AP68" i="8"/>
  <c r="V9" i="8"/>
  <c r="U9" i="8"/>
  <c r="K9" i="8"/>
  <c r="Z9" i="8"/>
  <c r="Y9" i="8" s="1"/>
  <c r="K68" i="8"/>
  <c r="AD68" i="8"/>
  <c r="AC68" i="8"/>
  <c r="F113" i="8"/>
  <c r="H113" i="8" s="1"/>
  <c r="E113" i="8"/>
  <c r="E9" i="8"/>
  <c r="Q9" i="8"/>
  <c r="P9" i="8"/>
  <c r="K113" i="8"/>
  <c r="Y67" i="8"/>
  <c r="X67" i="8"/>
  <c r="E68" i="8"/>
  <c r="AQ67" i="8"/>
  <c r="H8" i="8"/>
  <c r="X7" i="8"/>
  <c r="L112" i="8"/>
  <c r="G66" i="8"/>
  <c r="Y1530" i="6"/>
  <c r="AH1529" i="6"/>
  <c r="AG1529" i="6"/>
  <c r="AE1529" i="6"/>
  <c r="AF1529" i="6" s="1"/>
  <c r="AC1529" i="6"/>
  <c r="AA1529" i="6"/>
  <c r="Z1529" i="6" s="1"/>
  <c r="AD1528" i="6"/>
  <c r="AB1528" i="6"/>
  <c r="M67" i="8"/>
  <c r="AJ67" i="8"/>
  <c r="C114" i="8"/>
  <c r="AN69" i="8"/>
  <c r="AG69" i="8"/>
  <c r="AA69" i="8"/>
  <c r="O69" i="8"/>
  <c r="I69" i="8"/>
  <c r="A69" i="8"/>
  <c r="V68" i="8"/>
  <c r="C68" i="8"/>
  <c r="B11" i="8"/>
  <c r="N10" i="8"/>
  <c r="I10" i="8"/>
  <c r="C10" i="8"/>
  <c r="S67" i="8"/>
  <c r="Y68" i="8" a="1"/>
  <c r="AC69" i="8" a="1"/>
  <c r="Q10" i="8" a="1"/>
  <c r="AD69" i="8" a="1"/>
  <c r="E10" i="8" a="1"/>
  <c r="R69" i="8" a="1"/>
  <c r="U10" i="8" a="1"/>
  <c r="E114" i="8" a="1"/>
  <c r="X68" i="8" a="1"/>
  <c r="E69" i="8" a="1"/>
  <c r="AA5" i="2" a="1"/>
  <c r="K69" i="8" a="1"/>
  <c r="F114" i="8" a="1"/>
  <c r="K10" i="8" a="1"/>
  <c r="Q69" i="8" a="1"/>
  <c r="V10" i="8" a="1"/>
  <c r="P10" i="8" a="1"/>
  <c r="AA5" i="2" l="1"/>
  <c r="AI69" i="8"/>
  <c r="AP69" i="8"/>
  <c r="F114" i="8"/>
  <c r="H114" i="8" s="1"/>
  <c r="E114" i="8"/>
  <c r="V10" i="8"/>
  <c r="U10" i="8"/>
  <c r="K10" i="8"/>
  <c r="Z10" i="8"/>
  <c r="Y10" i="8" s="1"/>
  <c r="Q10" i="8"/>
  <c r="P10" i="8"/>
  <c r="K114" i="8"/>
  <c r="R69" i="8"/>
  <c r="S69" i="8" s="1"/>
  <c r="Q69" i="8"/>
  <c r="E10" i="8"/>
  <c r="Y68" i="8"/>
  <c r="X68" i="8"/>
  <c r="E69" i="8"/>
  <c r="K69" i="8"/>
  <c r="AD69" i="8"/>
  <c r="AC69" i="8"/>
  <c r="AD1529" i="6"/>
  <c r="AB1529" i="6"/>
  <c r="Y1531" i="6"/>
  <c r="AH1530" i="6"/>
  <c r="AC1530" i="6"/>
  <c r="AA1530" i="6"/>
  <c r="Z1530" i="6" s="1"/>
  <c r="AG1530" i="6"/>
  <c r="AE1530" i="6"/>
  <c r="AF1530" i="6" s="1"/>
  <c r="H9" i="8"/>
  <c r="X8" i="8"/>
  <c r="AQ68" i="8"/>
  <c r="M68" i="8"/>
  <c r="T67" i="8"/>
  <c r="AS67" i="8"/>
  <c r="AJ68" i="8"/>
  <c r="C115" i="8"/>
  <c r="AN70" i="8"/>
  <c r="AG70" i="8"/>
  <c r="AA70" i="8"/>
  <c r="O70" i="8"/>
  <c r="I70" i="8"/>
  <c r="A70" i="8"/>
  <c r="V69" i="8"/>
  <c r="C69" i="8"/>
  <c r="B12" i="8"/>
  <c r="N11" i="8"/>
  <c r="I11" i="8"/>
  <c r="C11" i="8"/>
  <c r="L113" i="8"/>
  <c r="G67" i="8"/>
  <c r="S68" i="8"/>
  <c r="K70" i="8" a="1"/>
  <c r="E115" i="8" a="1"/>
  <c r="E11" i="8" a="1"/>
  <c r="F115" i="8" a="1"/>
  <c r="AD70" i="8" a="1"/>
  <c r="AC70" i="8" a="1"/>
  <c r="R70" i="8" a="1"/>
  <c r="X69" i="8" a="1"/>
  <c r="V11" i="8" a="1"/>
  <c r="E70" i="8" a="1"/>
  <c r="AC4" i="2" a="1"/>
  <c r="K11" i="8" a="1"/>
  <c r="U11" i="8" a="1"/>
  <c r="Q11" i="8" a="1"/>
  <c r="Q70" i="8" a="1"/>
  <c r="P11" i="8" a="1"/>
  <c r="Y69" i="8" a="1"/>
  <c r="AC4" i="2" l="1"/>
  <c r="AP70" i="8"/>
  <c r="AI70" i="8"/>
  <c r="AD70" i="8"/>
  <c r="AC70" i="8"/>
  <c r="F115" i="8"/>
  <c r="H115" i="8" s="1"/>
  <c r="E115" i="8"/>
  <c r="K115" i="8"/>
  <c r="K70" i="8"/>
  <c r="E11" i="8"/>
  <c r="V11" i="8"/>
  <c r="U11" i="8"/>
  <c r="T69" i="8"/>
  <c r="K11" i="8"/>
  <c r="Z11" i="8"/>
  <c r="Y11" i="8" s="1"/>
  <c r="Q11" i="8"/>
  <c r="P11" i="8"/>
  <c r="Y69" i="8"/>
  <c r="X69" i="8"/>
  <c r="E70" i="8"/>
  <c r="R70" i="8"/>
  <c r="Q70" i="8"/>
  <c r="L114" i="8"/>
  <c r="G68" i="8"/>
  <c r="H10" i="8"/>
  <c r="X9" i="8"/>
  <c r="AS68" i="8"/>
  <c r="AA1531" i="6"/>
  <c r="Z1531" i="6" s="1"/>
  <c r="AE1531" i="6"/>
  <c r="AF1531" i="6" s="1"/>
  <c r="AH1531" i="6"/>
  <c r="AG1531" i="6"/>
  <c r="Y1532" i="6"/>
  <c r="AC1531" i="6"/>
  <c r="AD1530" i="6"/>
  <c r="AB1530" i="6"/>
  <c r="T68" i="8"/>
  <c r="AQ69" i="8"/>
  <c r="M69" i="8"/>
  <c r="AJ69" i="8"/>
  <c r="C116" i="8"/>
  <c r="AN71" i="8"/>
  <c r="AG71" i="8"/>
  <c r="AA71" i="8"/>
  <c r="O71" i="8"/>
  <c r="I71" i="8"/>
  <c r="A71" i="8"/>
  <c r="V70" i="8"/>
  <c r="C70" i="8"/>
  <c r="B13" i="8"/>
  <c r="N12" i="8"/>
  <c r="I12" i="8"/>
  <c r="C12" i="8"/>
  <c r="S13" i="2"/>
  <c r="S8" i="2"/>
  <c r="R9" i="2" s="1"/>
  <c r="AB4" i="2"/>
  <c r="AB5" i="2" s="1"/>
  <c r="AB6" i="2" s="1"/>
  <c r="AB7" i="2" s="1"/>
  <c r="AB8" i="2" s="1"/>
  <c r="V12" i="8" a="1"/>
  <c r="Q12" i="8" a="1"/>
  <c r="Y70" i="8" a="1"/>
  <c r="E116" i="8" a="1"/>
  <c r="E71" i="8" a="1"/>
  <c r="AD71" i="8" a="1"/>
  <c r="K12" i="8" a="1"/>
  <c r="P12" i="8" a="1"/>
  <c r="E12" i="8" a="1"/>
  <c r="U12" i="8" a="1"/>
  <c r="X70" i="8" a="1"/>
  <c r="AC71" i="8" a="1"/>
  <c r="AA4" i="2" a="1"/>
  <c r="R71" i="8" a="1"/>
  <c r="K71" i="8" a="1"/>
  <c r="Q71" i="8" a="1"/>
  <c r="F116" i="8" a="1"/>
  <c r="AA4" i="2" l="1"/>
  <c r="F116" i="8"/>
  <c r="H116" i="8" s="1"/>
  <c r="E116" i="8"/>
  <c r="E12" i="8"/>
  <c r="V12" i="8"/>
  <c r="U12" i="8"/>
  <c r="K12" i="8"/>
  <c r="Z12" i="8"/>
  <c r="Y12" i="8" s="1"/>
  <c r="K116" i="8"/>
  <c r="E71" i="8"/>
  <c r="K71" i="8"/>
  <c r="R71" i="8"/>
  <c r="S71" i="8" s="1"/>
  <c r="Q71" i="8"/>
  <c r="AD71" i="8"/>
  <c r="AC71" i="8"/>
  <c r="AI71" i="8"/>
  <c r="Q12" i="8"/>
  <c r="P12" i="8"/>
  <c r="Y70" i="8"/>
  <c r="X70" i="8"/>
  <c r="AP71" i="8"/>
  <c r="AB1531" i="6"/>
  <c r="AD1531" i="6"/>
  <c r="AS69" i="8"/>
  <c r="AG1532" i="6"/>
  <c r="Y1533" i="6"/>
  <c r="AH1532" i="6"/>
  <c r="AE1532" i="6"/>
  <c r="AF1532" i="6" s="1"/>
  <c r="AC1532" i="6"/>
  <c r="AA1532" i="6"/>
  <c r="Z1532" i="6" s="1"/>
  <c r="M70" i="8"/>
  <c r="H11" i="8"/>
  <c r="X10" i="8"/>
  <c r="AJ70" i="8"/>
  <c r="S70" i="8"/>
  <c r="T70" i="8" s="1"/>
  <c r="AQ70" i="8"/>
  <c r="L115" i="8"/>
  <c r="G69" i="8"/>
  <c r="C117" i="8"/>
  <c r="AN72" i="8"/>
  <c r="AG72" i="8"/>
  <c r="AA72" i="8"/>
  <c r="O72" i="8"/>
  <c r="I72" i="8"/>
  <c r="A72" i="8"/>
  <c r="V71" i="8"/>
  <c r="C71" i="8"/>
  <c r="B14" i="8"/>
  <c r="N13" i="8"/>
  <c r="I13" i="8"/>
  <c r="C13" i="8"/>
  <c r="Z4" i="2"/>
  <c r="Z5" i="2" s="1"/>
  <c r="Z6" i="2" s="1"/>
  <c r="Z7" i="2" s="1"/>
  <c r="K13" i="8" a="1"/>
  <c r="V13" i="8" a="1"/>
  <c r="F117" i="8" a="1"/>
  <c r="U13" i="8" a="1"/>
  <c r="E117" i="8" a="1"/>
  <c r="X71" i="8" a="1"/>
  <c r="Q72" i="8" a="1"/>
  <c r="P13" i="8" a="1"/>
  <c r="K72" i="8" a="1"/>
  <c r="Q13" i="8" a="1"/>
  <c r="AC72" i="8" a="1"/>
  <c r="E72" i="8" a="1"/>
  <c r="E13" i="8" a="1"/>
  <c r="R72" i="8" a="1"/>
  <c r="AD72" i="8" a="1"/>
  <c r="Y71" i="8" a="1"/>
  <c r="AC3" i="2" a="1"/>
  <c r="AS70" i="8" l="1"/>
  <c r="AJ71" i="8"/>
  <c r="AC3" i="2"/>
  <c r="AI72" i="8"/>
  <c r="AP72" i="8"/>
  <c r="E13" i="8"/>
  <c r="K117" i="8"/>
  <c r="Y71" i="8"/>
  <c r="X71" i="8"/>
  <c r="F117" i="8"/>
  <c r="H117" i="8" s="1"/>
  <c r="E117" i="8"/>
  <c r="V13" i="8"/>
  <c r="U13" i="8"/>
  <c r="T71" i="8"/>
  <c r="K13" i="8"/>
  <c r="Z13" i="8"/>
  <c r="Y13" i="8" s="1"/>
  <c r="Q13" i="8"/>
  <c r="P13" i="8"/>
  <c r="E72" i="8"/>
  <c r="K72" i="8"/>
  <c r="R72" i="8"/>
  <c r="S72" i="8" s="1"/>
  <c r="Q72" i="8"/>
  <c r="AD72" i="8"/>
  <c r="AC72" i="8"/>
  <c r="H12" i="8"/>
  <c r="X11" i="8"/>
  <c r="Y1534" i="6"/>
  <c r="AH1533" i="6"/>
  <c r="AG1533" i="6"/>
  <c r="AE1533" i="6"/>
  <c r="AF1533" i="6" s="1"/>
  <c r="AA1533" i="6"/>
  <c r="Z1533" i="6" s="1"/>
  <c r="AC1533" i="6"/>
  <c r="C118" i="8"/>
  <c r="AN73" i="8"/>
  <c r="AG73" i="8"/>
  <c r="AA73" i="8"/>
  <c r="O73" i="8"/>
  <c r="I73" i="8"/>
  <c r="A73" i="8"/>
  <c r="V72" i="8"/>
  <c r="C72" i="8"/>
  <c r="B15" i="8"/>
  <c r="N14" i="8"/>
  <c r="I14" i="8"/>
  <c r="C14" i="8"/>
  <c r="AD1532" i="6"/>
  <c r="AB1532" i="6"/>
  <c r="L116" i="8"/>
  <c r="G70" i="8"/>
  <c r="AQ71" i="8"/>
  <c r="AC16" i="2"/>
  <c r="Q17" i="2"/>
  <c r="Q19" i="2" s="1"/>
  <c r="Q20" i="2" s="1"/>
  <c r="R8" i="2"/>
  <c r="Q9" i="2" s="1"/>
  <c r="R13" i="2"/>
  <c r="P14" i="8" a="1"/>
  <c r="X72" i="8" a="1"/>
  <c r="F118" i="8" a="1"/>
  <c r="Q73" i="8" a="1"/>
  <c r="E73" i="8" a="1"/>
  <c r="V14" i="8" a="1"/>
  <c r="K14" i="8" a="1"/>
  <c r="K73" i="8" a="1"/>
  <c r="Q14" i="8" a="1"/>
  <c r="R73" i="8" a="1"/>
  <c r="E118" i="8" a="1"/>
  <c r="E14" i="8" a="1"/>
  <c r="AD73" i="8" a="1"/>
  <c r="U14" i="8" a="1"/>
  <c r="AA3" i="2" a="1"/>
  <c r="Y72" i="8" a="1"/>
  <c r="AC73" i="8" a="1"/>
  <c r="AS71" i="8" l="1"/>
  <c r="AA3" i="2"/>
  <c r="E73" i="8"/>
  <c r="W13" i="20" s="1"/>
  <c r="K73" i="8"/>
  <c r="X13" i="20" s="1"/>
  <c r="R73" i="8"/>
  <c r="S73" i="8" s="1"/>
  <c r="Q73" i="8"/>
  <c r="AI73" i="8"/>
  <c r="AP73" i="8"/>
  <c r="F118" i="8"/>
  <c r="H118" i="8" s="1"/>
  <c r="E118" i="8"/>
  <c r="E14" i="8"/>
  <c r="Q12" i="20" s="1"/>
  <c r="K118" i="8"/>
  <c r="Y72" i="8"/>
  <c r="X72" i="8"/>
  <c r="AD73" i="8"/>
  <c r="AC73" i="8"/>
  <c r="V14" i="8"/>
  <c r="U14" i="8"/>
  <c r="K14" i="8"/>
  <c r="T12" i="20" s="1"/>
  <c r="Z14" i="8"/>
  <c r="Y14" i="8" s="1"/>
  <c r="Q14" i="8"/>
  <c r="P14" i="8"/>
  <c r="AD1533" i="6"/>
  <c r="AB1533" i="6"/>
  <c r="M71" i="8"/>
  <c r="AQ72" i="8"/>
  <c r="AA1534" i="6"/>
  <c r="Z1534" i="6" s="1"/>
  <c r="Y1535" i="6"/>
  <c r="AH1534" i="6"/>
  <c r="AG1534" i="6"/>
  <c r="AE1534" i="6"/>
  <c r="AF1534" i="6" s="1"/>
  <c r="AC1534" i="6"/>
  <c r="L117" i="8"/>
  <c r="G71" i="8"/>
  <c r="AJ72" i="8"/>
  <c r="H13" i="8"/>
  <c r="X12" i="8"/>
  <c r="T72" i="8"/>
  <c r="C119" i="8"/>
  <c r="AN74" i="8"/>
  <c r="AG74" i="8"/>
  <c r="AA74" i="8"/>
  <c r="O74" i="8"/>
  <c r="I74" i="8"/>
  <c r="A74" i="8"/>
  <c r="V73" i="8"/>
  <c r="C73" i="8"/>
  <c r="B16" i="8"/>
  <c r="N15" i="8"/>
  <c r="I15" i="8"/>
  <c r="C15" i="8"/>
  <c r="M72" i="8"/>
  <c r="Q2" i="2"/>
  <c r="K94" i="18"/>
  <c r="K93" i="18"/>
  <c r="K92" i="18"/>
  <c r="K91" i="18"/>
  <c r="K90" i="18"/>
  <c r="K89" i="18"/>
  <c r="K88" i="18"/>
  <c r="K87" i="18"/>
  <c r="M86" i="18"/>
  <c r="M85" i="18"/>
  <c r="M84" i="18"/>
  <c r="M8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S52" i="18"/>
  <c r="AS53" i="18" s="1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N4" i="18" s="1"/>
  <c r="Z27" i="18"/>
  <c r="AS26" i="18"/>
  <c r="Z26" i="18"/>
  <c r="H26" i="18"/>
  <c r="AT24" i="18"/>
  <c r="AQ24" i="18"/>
  <c r="X22" i="18"/>
  <c r="Y22" i="18" s="1"/>
  <c r="G22" i="18" s="1"/>
  <c r="L22" i="18"/>
  <c r="C22" i="18"/>
  <c r="B22" i="18"/>
  <c r="A22" i="18"/>
  <c r="X21" i="18"/>
  <c r="Y21" i="18" s="1"/>
  <c r="G21" i="18" s="1"/>
  <c r="L21" i="18"/>
  <c r="C21" i="18"/>
  <c r="B21" i="18"/>
  <c r="A21" i="18"/>
  <c r="X20" i="18"/>
  <c r="Y20" i="18" s="1"/>
  <c r="G20" i="18" s="1"/>
  <c r="L20" i="18"/>
  <c r="C20" i="18"/>
  <c r="B20" i="18"/>
  <c r="A20" i="18"/>
  <c r="X19" i="18"/>
  <c r="Y19" i="18" s="1"/>
  <c r="G19" i="18" s="1"/>
  <c r="L19" i="18"/>
  <c r="C19" i="18"/>
  <c r="B19" i="18"/>
  <c r="A19" i="18"/>
  <c r="X18" i="18"/>
  <c r="Y18" i="18" s="1"/>
  <c r="G18" i="18" s="1"/>
  <c r="L18" i="18"/>
  <c r="C18" i="18"/>
  <c r="B18" i="18"/>
  <c r="A18" i="18"/>
  <c r="X17" i="18"/>
  <c r="Y17" i="18" s="1"/>
  <c r="G17" i="18" s="1"/>
  <c r="R17" i="18"/>
  <c r="S17" i="18" s="1"/>
  <c r="H17" i="18" s="1"/>
  <c r="L17" i="18"/>
  <c r="C17" i="18"/>
  <c r="B17" i="18"/>
  <c r="A17" i="18"/>
  <c r="X16" i="18"/>
  <c r="Y16" i="18" s="1"/>
  <c r="G16" i="18" s="1"/>
  <c r="R16" i="18"/>
  <c r="S16" i="18" s="1"/>
  <c r="H16" i="18" s="1"/>
  <c r="L16" i="18"/>
  <c r="C16" i="18"/>
  <c r="B16" i="18"/>
  <c r="A16" i="18"/>
  <c r="X15" i="18"/>
  <c r="Y15" i="18" s="1"/>
  <c r="G15" i="18" s="1"/>
  <c r="U15" i="18"/>
  <c r="R15" i="18"/>
  <c r="S15" i="18" s="1"/>
  <c r="H15" i="18" s="1"/>
  <c r="L15" i="18"/>
  <c r="C15" i="18"/>
  <c r="B15" i="18"/>
  <c r="A15" i="18"/>
  <c r="X14" i="18"/>
  <c r="Y14" i="18" s="1"/>
  <c r="G14" i="18" s="1"/>
  <c r="R14" i="18"/>
  <c r="S14" i="18" s="1"/>
  <c r="H14" i="18" s="1"/>
  <c r="L14" i="18"/>
  <c r="C14" i="18"/>
  <c r="Z15" i="13" s="1"/>
  <c r="B14" i="18"/>
  <c r="Y15" i="13" s="1"/>
  <c r="A14" i="18"/>
  <c r="X15" i="13" s="1"/>
  <c r="X13" i="18"/>
  <c r="Y13" i="18" s="1"/>
  <c r="G13" i="18" s="1"/>
  <c r="S13" i="18"/>
  <c r="R13" i="18"/>
  <c r="L13" i="18"/>
  <c r="H13" i="18"/>
  <c r="C13" i="18"/>
  <c r="Z14" i="13" s="1"/>
  <c r="B13" i="18"/>
  <c r="Y14" i="13" s="1"/>
  <c r="A13" i="18"/>
  <c r="X12" i="18"/>
  <c r="Y12" i="18" s="1"/>
  <c r="G12" i="18" s="1"/>
  <c r="R12" i="18"/>
  <c r="S12" i="18" s="1"/>
  <c r="H12" i="18" s="1"/>
  <c r="L12" i="18"/>
  <c r="C12" i="18"/>
  <c r="Z13" i="13" s="1"/>
  <c r="B12" i="18"/>
  <c r="Y13" i="13" s="1"/>
  <c r="X11" i="18"/>
  <c r="Y11" i="18" s="1"/>
  <c r="G11" i="18" s="1"/>
  <c r="R11" i="18"/>
  <c r="S11" i="18" s="1"/>
  <c r="H11" i="18" s="1"/>
  <c r="L11" i="18"/>
  <c r="C11" i="18"/>
  <c r="Z12" i="13" s="1"/>
  <c r="B11" i="18"/>
  <c r="Y12" i="13" s="1"/>
  <c r="X10" i="18"/>
  <c r="Y10" i="18" s="1"/>
  <c r="G10" i="18" s="1"/>
  <c r="R10" i="18"/>
  <c r="S10" i="18" s="1"/>
  <c r="H10" i="18" s="1"/>
  <c r="L10" i="18"/>
  <c r="C10" i="18"/>
  <c r="Z11" i="13" s="1"/>
  <c r="B10" i="18"/>
  <c r="Y11" i="13" s="1"/>
  <c r="X9" i="18"/>
  <c r="Y9" i="18" s="1"/>
  <c r="G9" i="18" s="1"/>
  <c r="R9" i="18"/>
  <c r="S9" i="18" s="1"/>
  <c r="H9" i="18" s="1"/>
  <c r="L9" i="18"/>
  <c r="C9" i="18"/>
  <c r="Z10" i="13" s="1"/>
  <c r="B9" i="18"/>
  <c r="Y10" i="13" s="1"/>
  <c r="X8" i="18"/>
  <c r="Y8" i="18" s="1"/>
  <c r="G8" i="18" s="1"/>
  <c r="R8" i="18"/>
  <c r="S8" i="18" s="1"/>
  <c r="H8" i="18" s="1"/>
  <c r="L8" i="18"/>
  <c r="C8" i="18"/>
  <c r="Z9" i="13" s="1"/>
  <c r="B8" i="18"/>
  <c r="Y9" i="13" s="1"/>
  <c r="X7" i="18"/>
  <c r="Y7" i="18" s="1"/>
  <c r="G7" i="18" s="1"/>
  <c r="S7" i="18"/>
  <c r="R7" i="18"/>
  <c r="L7" i="18"/>
  <c r="H7" i="18"/>
  <c r="C7" i="18"/>
  <c r="Z8" i="13" s="1"/>
  <c r="B7" i="18"/>
  <c r="Y8" i="13" s="1"/>
  <c r="X6" i="18"/>
  <c r="Y6" i="18" s="1"/>
  <c r="G6" i="18" s="1"/>
  <c r="S6" i="18"/>
  <c r="H6" i="18" s="1"/>
  <c r="R6" i="18"/>
  <c r="L6" i="18"/>
  <c r="C6" i="18"/>
  <c r="Z7" i="13" s="1"/>
  <c r="B6" i="18"/>
  <c r="Y7" i="13" s="1"/>
  <c r="X5" i="18"/>
  <c r="Y5" i="18" s="1"/>
  <c r="G5" i="18" s="1"/>
  <c r="R5" i="18"/>
  <c r="S5" i="18" s="1"/>
  <c r="H5" i="18" s="1"/>
  <c r="L5" i="18"/>
  <c r="C5" i="18"/>
  <c r="Z6" i="13" s="1"/>
  <c r="B5" i="18"/>
  <c r="Y6" i="13" s="1"/>
  <c r="A5" i="18"/>
  <c r="X6" i="13" s="1"/>
  <c r="L4" i="18"/>
  <c r="H4" i="18"/>
  <c r="G4" i="18"/>
  <c r="C4" i="18"/>
  <c r="B4" i="18"/>
  <c r="W2" i="18"/>
  <c r="W1" i="18"/>
  <c r="D1" i="18"/>
  <c r="F107" i="22"/>
  <c r="E107" i="22"/>
  <c r="H107" i="22" s="1"/>
  <c r="E106" i="22"/>
  <c r="H105" i="22"/>
  <c r="G105" i="22"/>
  <c r="I105" i="22" s="1"/>
  <c r="F105" i="22"/>
  <c r="E105" i="22"/>
  <c r="H104" i="22"/>
  <c r="E104" i="22"/>
  <c r="F104" i="22" s="1"/>
  <c r="E103" i="22"/>
  <c r="G103" i="22" s="1"/>
  <c r="E102" i="22"/>
  <c r="H102" i="22" s="1"/>
  <c r="G101" i="22"/>
  <c r="E101" i="22"/>
  <c r="H101" i="22" s="1"/>
  <c r="H100" i="22"/>
  <c r="E100" i="22"/>
  <c r="G100" i="22" s="1"/>
  <c r="H99" i="22"/>
  <c r="I99" i="22" s="1"/>
  <c r="G99" i="22"/>
  <c r="F99" i="22"/>
  <c r="E99" i="22"/>
  <c r="H98" i="22"/>
  <c r="G98" i="22"/>
  <c r="F98" i="22"/>
  <c r="E98" i="22"/>
  <c r="E97" i="22"/>
  <c r="H97" i="22" s="1"/>
  <c r="O95" i="22"/>
  <c r="O96" i="22" s="1"/>
  <c r="O97" i="22" s="1"/>
  <c r="O98" i="22" s="1"/>
  <c r="O99" i="22" s="1"/>
  <c r="O100" i="22" s="1"/>
  <c r="O101" i="22" s="1"/>
  <c r="O102" i="22" s="1"/>
  <c r="O103" i="22" s="1"/>
  <c r="O104" i="22" s="1"/>
  <c r="O105" i="22" s="1"/>
  <c r="AB84" i="22"/>
  <c r="U84" i="22"/>
  <c r="AB83" i="22"/>
  <c r="U83" i="22"/>
  <c r="AB82" i="22"/>
  <c r="AB80" i="22"/>
  <c r="U80" i="22"/>
  <c r="AB30" i="22"/>
  <c r="AB29" i="22"/>
  <c r="Y29" i="22"/>
  <c r="S29" i="22"/>
  <c r="P29" i="22"/>
  <c r="F29" i="22"/>
  <c r="S28" i="22"/>
  <c r="P28" i="22"/>
  <c r="F28" i="22"/>
  <c r="S27" i="22"/>
  <c r="P27" i="22"/>
  <c r="F27" i="22"/>
  <c r="S26" i="22"/>
  <c r="P26" i="22"/>
  <c r="F26" i="22"/>
  <c r="S25" i="22"/>
  <c r="P25" i="22"/>
  <c r="F25" i="22"/>
  <c r="S24" i="22"/>
  <c r="P24" i="22"/>
  <c r="F24" i="22"/>
  <c r="S23" i="22"/>
  <c r="P23" i="22"/>
  <c r="F23" i="22"/>
  <c r="S22" i="22"/>
  <c r="P22" i="22"/>
  <c r="F22" i="22"/>
  <c r="S21" i="22"/>
  <c r="P21" i="22"/>
  <c r="F21" i="22"/>
  <c r="S20" i="22"/>
  <c r="P20" i="22"/>
  <c r="F20" i="22"/>
  <c r="S19" i="22"/>
  <c r="P19" i="22"/>
  <c r="F19" i="22"/>
  <c r="S18" i="22"/>
  <c r="P18" i="22"/>
  <c r="F18" i="22"/>
  <c r="S17" i="22"/>
  <c r="P17" i="22"/>
  <c r="F17" i="22"/>
  <c r="S16" i="22"/>
  <c r="P16" i="22"/>
  <c r="F16" i="22"/>
  <c r="S15" i="22"/>
  <c r="P15" i="22"/>
  <c r="F15" i="22"/>
  <c r="S14" i="22"/>
  <c r="P14" i="22"/>
  <c r="F14" i="22"/>
  <c r="X13" i="22"/>
  <c r="S13" i="22"/>
  <c r="P13" i="22"/>
  <c r="X12" i="22"/>
  <c r="S12" i="22"/>
  <c r="P12" i="22"/>
  <c r="X11" i="22"/>
  <c r="S11" i="22"/>
  <c r="P11" i="22"/>
  <c r="X10" i="22"/>
  <c r="S10" i="22"/>
  <c r="P10" i="22"/>
  <c r="X9" i="22"/>
  <c r="S9" i="22"/>
  <c r="P9" i="22"/>
  <c r="X8" i="22"/>
  <c r="S8" i="22"/>
  <c r="P8" i="22"/>
  <c r="X7" i="22"/>
  <c r="S7" i="22"/>
  <c r="P7" i="22"/>
  <c r="I7" i="22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22" i="22" s="1"/>
  <c r="I23" i="22" s="1"/>
  <c r="I24" i="22" s="1"/>
  <c r="I25" i="22" s="1"/>
  <c r="I26" i="22" s="1"/>
  <c r="I27" i="22" s="1"/>
  <c r="I28" i="22" s="1"/>
  <c r="I29" i="22" s="1"/>
  <c r="X6" i="22"/>
  <c r="S6" i="22"/>
  <c r="U82" i="22" s="1"/>
  <c r="P6" i="22"/>
  <c r="I6" i="22"/>
  <c r="S5" i="22"/>
  <c r="S4" i="22"/>
  <c r="AA3" i="22"/>
  <c r="P109" i="15"/>
  <c r="P110" i="15" s="1"/>
  <c r="P111" i="15" s="1"/>
  <c r="P112" i="15" s="1"/>
  <c r="P113" i="15" s="1"/>
  <c r="P114" i="15" s="1"/>
  <c r="P115" i="15" s="1"/>
  <c r="P116" i="15" s="1"/>
  <c r="P107" i="15"/>
  <c r="P108" i="15" s="1"/>
  <c r="P106" i="15"/>
  <c r="AC41" i="15"/>
  <c r="AN40" i="15"/>
  <c r="AC40" i="15"/>
  <c r="Q40" i="15"/>
  <c r="F40" i="15"/>
  <c r="D75" i="23" s="1"/>
  <c r="Q39" i="15"/>
  <c r="F39" i="15"/>
  <c r="D74" i="23" s="1"/>
  <c r="Q38" i="15"/>
  <c r="F38" i="15"/>
  <c r="D73" i="23" s="1"/>
  <c r="Q37" i="15"/>
  <c r="F37" i="15"/>
  <c r="Q36" i="15"/>
  <c r="F36" i="15"/>
  <c r="D71" i="23" s="1"/>
  <c r="Q35" i="15"/>
  <c r="F35" i="15"/>
  <c r="D70" i="23" s="1"/>
  <c r="Q34" i="15"/>
  <c r="F34" i="15"/>
  <c r="D69" i="23" s="1"/>
  <c r="Q33" i="15"/>
  <c r="F33" i="15"/>
  <c r="Q32" i="15"/>
  <c r="F32" i="15"/>
  <c r="D67" i="23" s="1"/>
  <c r="Q31" i="15"/>
  <c r="F31" i="15"/>
  <c r="D66" i="23" s="1"/>
  <c r="Q30" i="15"/>
  <c r="F30" i="15"/>
  <c r="Q29" i="15"/>
  <c r="F29" i="15"/>
  <c r="D64" i="23" s="1"/>
  <c r="Q28" i="15"/>
  <c r="F28" i="15"/>
  <c r="D63" i="23" s="1"/>
  <c r="Q27" i="15"/>
  <c r="F27" i="15"/>
  <c r="D62" i="23" s="1"/>
  <c r="Q26" i="15"/>
  <c r="I26" i="15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F26" i="15"/>
  <c r="Q25" i="15"/>
  <c r="F25" i="15"/>
  <c r="D60" i="23" s="1"/>
  <c r="Q24" i="15"/>
  <c r="F24" i="15"/>
  <c r="D59" i="23" s="1"/>
  <c r="D24" i="15"/>
  <c r="Q23" i="15"/>
  <c r="Q22" i="15"/>
  <c r="Q21" i="15"/>
  <c r="Q20" i="15"/>
  <c r="Q19" i="15"/>
  <c r="Q18" i="15"/>
  <c r="Q17" i="15"/>
  <c r="Q16" i="15"/>
  <c r="Q15" i="15"/>
  <c r="Q14" i="15"/>
  <c r="Q13" i="15"/>
  <c r="I13" i="15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Q12" i="15"/>
  <c r="H12" i="15"/>
  <c r="F47" i="23" s="1"/>
  <c r="G12" i="15"/>
  <c r="E47" i="23" s="1"/>
  <c r="Q11" i="15"/>
  <c r="H11" i="15"/>
  <c r="F46" i="23" s="1"/>
  <c r="G11" i="15"/>
  <c r="E46" i="23" s="1"/>
  <c r="AG10" i="15"/>
  <c r="Y10" i="15"/>
  <c r="AN9" i="15" s="1"/>
  <c r="Q10" i="15"/>
  <c r="H10" i="15"/>
  <c r="F45" i="23" s="1"/>
  <c r="G10" i="15"/>
  <c r="E45" i="23" s="1"/>
  <c r="AG9" i="15"/>
  <c r="Y9" i="15"/>
  <c r="AN8" i="15" s="1"/>
  <c r="Q9" i="15"/>
  <c r="I9" i="15"/>
  <c r="I10" i="15" s="1"/>
  <c r="I11" i="15" s="1"/>
  <c r="I12" i="15" s="1"/>
  <c r="H9" i="15"/>
  <c r="F44" i="23" s="1"/>
  <c r="G9" i="15"/>
  <c r="E44" i="23" s="1"/>
  <c r="AG8" i="15"/>
  <c r="Y8" i="15"/>
  <c r="AN7" i="15" s="1"/>
  <c r="Q8" i="15"/>
  <c r="I8" i="15"/>
  <c r="H8" i="15"/>
  <c r="F43" i="23" s="1"/>
  <c r="G8" i="15"/>
  <c r="E43" i="23" s="1"/>
  <c r="AG7" i="15"/>
  <c r="Y7" i="15"/>
  <c r="AN6" i="15" s="1"/>
  <c r="Q7" i="15"/>
  <c r="I7" i="15"/>
  <c r="H7" i="15"/>
  <c r="F42" i="23" s="1"/>
  <c r="G7" i="15"/>
  <c r="E42" i="23" s="1"/>
  <c r="AG6" i="15"/>
  <c r="Y6" i="15"/>
  <c r="AN5" i="15" s="1"/>
  <c r="Q6" i="15"/>
  <c r="I6" i="15"/>
  <c r="H6" i="15"/>
  <c r="F41" i="23" s="1"/>
  <c r="G6" i="15"/>
  <c r="E41" i="23" s="1"/>
  <c r="B6" i="15"/>
  <c r="I4" i="15" s="1"/>
  <c r="Y5" i="15"/>
  <c r="AG5" i="15" s="1"/>
  <c r="Q5" i="15"/>
  <c r="H5" i="15"/>
  <c r="F40" i="23" s="1"/>
  <c r="G5" i="15"/>
  <c r="E40" i="23" s="1"/>
  <c r="Y4" i="15"/>
  <c r="H4" i="15"/>
  <c r="F39" i="23" s="1"/>
  <c r="G4" i="15"/>
  <c r="E39" i="23" s="1"/>
  <c r="AB3" i="15"/>
  <c r="T129" i="1"/>
  <c r="T128" i="1"/>
  <c r="T127" i="1"/>
  <c r="T126" i="1"/>
  <c r="T125" i="1"/>
  <c r="T124" i="1"/>
  <c r="T123" i="1"/>
  <c r="N89" i="1"/>
  <c r="I89" i="1"/>
  <c r="L86" i="1"/>
  <c r="M86" i="1" s="1"/>
  <c r="M89" i="1" s="1"/>
  <c r="K85" i="1"/>
  <c r="L85" i="1" s="1"/>
  <c r="J84" i="1"/>
  <c r="I80" i="1"/>
  <c r="J78" i="1"/>
  <c r="J80" i="1" s="1"/>
  <c r="L77" i="1"/>
  <c r="M77" i="1" s="1"/>
  <c r="N77" i="1" s="1"/>
  <c r="N80" i="1" s="1"/>
  <c r="K76" i="1"/>
  <c r="L76" i="1" s="1"/>
  <c r="J75" i="1"/>
  <c r="K75" i="1" s="1"/>
  <c r="L75" i="1" s="1"/>
  <c r="BB63" i="1"/>
  <c r="BB62" i="1" s="1"/>
  <c r="BD62" i="1"/>
  <c r="AZ62" i="1"/>
  <c r="AX62" i="1"/>
  <c r="AU62" i="1"/>
  <c r="AR62" i="1"/>
  <c r="BD60" i="1"/>
  <c r="BB60" i="1"/>
  <c r="AZ60" i="1"/>
  <c r="AX60" i="1"/>
  <c r="AU60" i="1"/>
  <c r="AR60" i="1"/>
  <c r="K59" i="1"/>
  <c r="BB58" i="1"/>
  <c r="BB57" i="1"/>
  <c r="BD53" i="1"/>
  <c r="BB53" i="1"/>
  <c r="AZ53" i="1"/>
  <c r="AX53" i="1"/>
  <c r="AU53" i="1"/>
  <c r="AR53" i="1"/>
  <c r="C50" i="1"/>
  <c r="C51" i="1" s="1"/>
  <c r="C52" i="1" s="1"/>
  <c r="C53" i="1" s="1"/>
  <c r="BD49" i="1"/>
  <c r="BB49" i="1"/>
  <c r="AZ49" i="1"/>
  <c r="AX49" i="1"/>
  <c r="AU49" i="1"/>
  <c r="AR49" i="1"/>
  <c r="O49" i="1"/>
  <c r="O50" i="1" s="1"/>
  <c r="O51" i="1" s="1"/>
  <c r="O52" i="1" s="1"/>
  <c r="O53" i="1" s="1"/>
  <c r="O54" i="1" s="1"/>
  <c r="O55" i="1" s="1"/>
  <c r="O56" i="1" s="1"/>
  <c r="O57" i="1" s="1"/>
  <c r="O58" i="1" s="1"/>
  <c r="K49" i="1"/>
  <c r="BB48" i="1"/>
  <c r="L48" i="1"/>
  <c r="AR47" i="1"/>
  <c r="O47" i="1"/>
  <c r="AR46" i="1"/>
  <c r="AR45" i="1" s="1"/>
  <c r="F46" i="1"/>
  <c r="BD45" i="1"/>
  <c r="BB45" i="1"/>
  <c r="AZ45" i="1"/>
  <c r="AX45" i="1"/>
  <c r="AU45" i="1"/>
  <c r="P45" i="1"/>
  <c r="E45" i="1"/>
  <c r="BD42" i="1"/>
  <c r="BB42" i="1"/>
  <c r="AZ42" i="1"/>
  <c r="AX42" i="1"/>
  <c r="AX68" i="1" s="1"/>
  <c r="AX69" i="1" s="1"/>
  <c r="AU42" i="1"/>
  <c r="AR42" i="1"/>
  <c r="Z42" i="1"/>
  <c r="BE40" i="1" a="1"/>
  <c r="BE40" i="1" s="1"/>
  <c r="BB40" i="1"/>
  <c r="BB39" i="1"/>
  <c r="BD38" i="1"/>
  <c r="BD37" i="1"/>
  <c r="BD40" i="1" s="1"/>
  <c r="Z36" i="1"/>
  <c r="Z34" i="1"/>
  <c r="K48" i="1"/>
  <c r="AU25" i="1"/>
  <c r="AT25" i="1" s="1"/>
  <c r="AS25" i="1" s="1"/>
  <c r="AH25" i="1"/>
  <c r="AU24" i="1"/>
  <c r="AQ24" i="1"/>
  <c r="AO24" i="1"/>
  <c r="AH24" i="1"/>
  <c r="AO22" i="1" s="1"/>
  <c r="L24" i="1"/>
  <c r="K24" i="1"/>
  <c r="J24" i="1"/>
  <c r="I24" i="1"/>
  <c r="H24" i="1"/>
  <c r="G24" i="1"/>
  <c r="F24" i="1"/>
  <c r="E24" i="1"/>
  <c r="D24" i="1"/>
  <c r="AU23" i="1"/>
  <c r="AT23" i="1" s="1"/>
  <c r="AS23" i="1" s="1"/>
  <c r="AQ23" i="1"/>
  <c r="AO23" i="1"/>
  <c r="AI23" i="1"/>
  <c r="AH23" i="1"/>
  <c r="AO21" i="1" s="1"/>
  <c r="AU22" i="1"/>
  <c r="AV22" i="1" s="1"/>
  <c r="AW22" i="1" s="1"/>
  <c r="AQ22" i="1"/>
  <c r="AI22" i="1"/>
  <c r="AH22" i="1"/>
  <c r="AA22" i="1"/>
  <c r="R22" i="1"/>
  <c r="AU21" i="1"/>
  <c r="AV21" i="1" s="1"/>
  <c r="AW21" i="1" s="1"/>
  <c r="AF23" i="1" s="1"/>
  <c r="AQ21" i="1"/>
  <c r="AI21" i="1"/>
  <c r="AH21" i="1"/>
  <c r="AF21" i="1"/>
  <c r="AE21" i="1"/>
  <c r="AA21" i="1"/>
  <c r="R21" i="1"/>
  <c r="AU20" i="1"/>
  <c r="AV20" i="1" s="1"/>
  <c r="AW20" i="1" s="1"/>
  <c r="AF22" i="1" s="1"/>
  <c r="AT20" i="1"/>
  <c r="AS20" i="1"/>
  <c r="AE22" i="1" s="1"/>
  <c r="AQ20" i="1"/>
  <c r="AO20" i="1"/>
  <c r="E18" i="1"/>
  <c r="E17" i="1"/>
  <c r="E16" i="1"/>
  <c r="E15" i="1"/>
  <c r="N13" i="1"/>
  <c r="K13" i="1"/>
  <c r="J13" i="1"/>
  <c r="E13" i="1"/>
  <c r="K12" i="1"/>
  <c r="J12" i="1"/>
  <c r="E12" i="1"/>
  <c r="K11" i="1"/>
  <c r="J11" i="1"/>
  <c r="E11" i="1"/>
  <c r="K10" i="1"/>
  <c r="J10" i="1"/>
  <c r="E10" i="1"/>
  <c r="K8" i="1"/>
  <c r="J8" i="1"/>
  <c r="N9" i="1"/>
  <c r="J7" i="1"/>
  <c r="E7" i="1"/>
  <c r="J6" i="1"/>
  <c r="E6" i="1"/>
  <c r="J5" i="1"/>
  <c r="E5" i="1"/>
  <c r="U4" i="1"/>
  <c r="AQ4" i="1" s="1"/>
  <c r="Q4" i="1"/>
  <c r="K4" i="1"/>
  <c r="J4" i="1"/>
  <c r="E4" i="1"/>
  <c r="E9" i="1" s="1"/>
  <c r="D4" i="1"/>
  <c r="R2" i="1"/>
  <c r="O2" i="1"/>
  <c r="N2" i="1"/>
  <c r="A2" i="1"/>
  <c r="Q5" i="1" s="1"/>
  <c r="P125" i="20"/>
  <c r="O123" i="20"/>
  <c r="R123" i="20" s="1"/>
  <c r="S123" i="20" s="1"/>
  <c r="O122" i="20"/>
  <c r="R122" i="20" s="1"/>
  <c r="S122" i="20" s="1"/>
  <c r="S121" i="20"/>
  <c r="R121" i="20"/>
  <c r="O121" i="20"/>
  <c r="R120" i="20"/>
  <c r="S120" i="20" s="1"/>
  <c r="O120" i="20"/>
  <c r="O118" i="20"/>
  <c r="R118" i="20" s="1"/>
  <c r="S118" i="20" s="1"/>
  <c r="R117" i="20"/>
  <c r="S117" i="20" s="1"/>
  <c r="O117" i="20"/>
  <c r="S116" i="20"/>
  <c r="R116" i="20"/>
  <c r="O116" i="20"/>
  <c r="R115" i="20"/>
  <c r="S115" i="20" s="1"/>
  <c r="O115" i="20"/>
  <c r="O112" i="20"/>
  <c r="R112" i="20" s="1"/>
  <c r="S112" i="20" s="1"/>
  <c r="S111" i="20"/>
  <c r="O111" i="20"/>
  <c r="R111" i="20" s="1"/>
  <c r="R108" i="20"/>
  <c r="S108" i="20" s="1"/>
  <c r="O108" i="20"/>
  <c r="O107" i="20"/>
  <c r="R107" i="20" s="1"/>
  <c r="S107" i="20" s="1"/>
  <c r="O106" i="20"/>
  <c r="R106" i="20" s="1"/>
  <c r="S106" i="20" s="1"/>
  <c r="O104" i="20"/>
  <c r="R104" i="20" s="1"/>
  <c r="S104" i="20" s="1"/>
  <c r="O103" i="20"/>
  <c r="R103" i="20" s="1"/>
  <c r="S103" i="20" s="1"/>
  <c r="H103" i="20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114" i="20" s="1"/>
  <c r="H115" i="20" s="1"/>
  <c r="H116" i="20" s="1"/>
  <c r="H117" i="20" s="1"/>
  <c r="H118" i="20" s="1"/>
  <c r="O102" i="20"/>
  <c r="R102" i="20" s="1"/>
  <c r="S102" i="20" s="1"/>
  <c r="H102" i="20"/>
  <c r="I92" i="20"/>
  <c r="G92" i="20"/>
  <c r="I91" i="20"/>
  <c r="H91" i="20"/>
  <c r="H92" i="20" s="1"/>
  <c r="G91" i="20"/>
  <c r="G87" i="20"/>
  <c r="G90" i="20" s="1"/>
  <c r="H77" i="20"/>
  <c r="H76" i="20"/>
  <c r="H75" i="20"/>
  <c r="E72" i="20"/>
  <c r="H72" i="20" s="1"/>
  <c r="E71" i="20"/>
  <c r="H71" i="20" s="1"/>
  <c r="H70" i="20"/>
  <c r="G70" i="20"/>
  <c r="G77" i="20" s="1"/>
  <c r="E70" i="20"/>
  <c r="H66" i="20"/>
  <c r="H65" i="20"/>
  <c r="H64" i="20"/>
  <c r="R56" i="20"/>
  <c r="S57" i="20" s="1" a="1"/>
  <c r="S57" i="20" s="1"/>
  <c r="J56" i="20"/>
  <c r="J61" i="20" s="1"/>
  <c r="L59" i="20" s="1"/>
  <c r="H52" i="20"/>
  <c r="G52" i="20"/>
  <c r="F52" i="20"/>
  <c r="E52" i="20"/>
  <c r="D52" i="20"/>
  <c r="AB27" i="20"/>
  <c r="AB26" i="20"/>
  <c r="AB24" i="20"/>
  <c r="AB23" i="20"/>
  <c r="AB22" i="20"/>
  <c r="AB21" i="20"/>
  <c r="X12" i="20"/>
  <c r="W12" i="20"/>
  <c r="U12" i="20"/>
  <c r="R12" i="20"/>
  <c r="X11" i="20"/>
  <c r="W11" i="20"/>
  <c r="U11" i="20"/>
  <c r="T11" i="20"/>
  <c r="R11" i="20"/>
  <c r="Q11" i="20"/>
  <c r="X10" i="20"/>
  <c r="W10" i="20"/>
  <c r="U10" i="20"/>
  <c r="T10" i="20"/>
  <c r="R10" i="20"/>
  <c r="Q10" i="20"/>
  <c r="X9" i="20"/>
  <c r="W9" i="20"/>
  <c r="U9" i="20"/>
  <c r="T9" i="20"/>
  <c r="R9" i="20"/>
  <c r="Q9" i="20"/>
  <c r="X8" i="20"/>
  <c r="W8" i="20"/>
  <c r="U8" i="20"/>
  <c r="T8" i="20"/>
  <c r="R8" i="20"/>
  <c r="Q8" i="20"/>
  <c r="X7" i="20"/>
  <c r="W7" i="20"/>
  <c r="U7" i="20"/>
  <c r="T7" i="20"/>
  <c r="R7" i="20"/>
  <c r="Q7" i="20"/>
  <c r="X6" i="20"/>
  <c r="W6" i="20"/>
  <c r="U6" i="20"/>
  <c r="T6" i="20"/>
  <c r="R6" i="20"/>
  <c r="Q6" i="20"/>
  <c r="X5" i="20"/>
  <c r="W5" i="20"/>
  <c r="U5" i="20"/>
  <c r="T5" i="20"/>
  <c r="R5" i="20"/>
  <c r="Q5" i="20"/>
  <c r="X4" i="20"/>
  <c r="W4" i="20"/>
  <c r="U4" i="20"/>
  <c r="T4" i="20"/>
  <c r="R4" i="20"/>
  <c r="Q4" i="20"/>
  <c r="X3" i="20"/>
  <c r="W3" i="20"/>
  <c r="V3" i="20"/>
  <c r="V4" i="20" s="1"/>
  <c r="V5" i="20" s="1"/>
  <c r="V6" i="20" s="1"/>
  <c r="V7" i="20" s="1"/>
  <c r="V8" i="20" s="1"/>
  <c r="V9" i="20" s="1"/>
  <c r="V10" i="20" s="1"/>
  <c r="V11" i="20" s="1"/>
  <c r="V12" i="20" s="1"/>
  <c r="V13" i="20" s="1"/>
  <c r="V14" i="20" s="1"/>
  <c r="V15" i="20" s="1"/>
  <c r="V16" i="20" s="1"/>
  <c r="V17" i="20" s="1"/>
  <c r="V18" i="20" s="1"/>
  <c r="V19" i="20" s="1"/>
  <c r="V20" i="20" s="1"/>
  <c r="V21" i="20" s="1"/>
  <c r="V22" i="20" s="1"/>
  <c r="V23" i="20" s="1"/>
  <c r="V24" i="20" s="1"/>
  <c r="V25" i="20" s="1"/>
  <c r="V26" i="20" s="1"/>
  <c r="V27" i="20" s="1"/>
  <c r="V28" i="20" s="1"/>
  <c r="V29" i="20" s="1"/>
  <c r="V30" i="20" s="1"/>
  <c r="V31" i="20" s="1"/>
  <c r="V32" i="20" s="1"/>
  <c r="V33" i="20" s="1"/>
  <c r="V34" i="20" s="1"/>
  <c r="V35" i="20" s="1"/>
  <c r="V36" i="20" s="1"/>
  <c r="V37" i="20" s="1"/>
  <c r="V38" i="20" s="1"/>
  <c r="V39" i="20" s="1"/>
  <c r="V40" i="20" s="1"/>
  <c r="V41" i="20" s="1"/>
  <c r="U3" i="20"/>
  <c r="T3" i="20"/>
  <c r="S3" i="20"/>
  <c r="S4" i="20" s="1"/>
  <c r="S5" i="20" s="1"/>
  <c r="S6" i="20" s="1"/>
  <c r="S7" i="20" s="1"/>
  <c r="S8" i="20" s="1"/>
  <c r="S9" i="20" s="1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R3" i="20"/>
  <c r="Q3" i="20"/>
  <c r="P3" i="20"/>
  <c r="E119" i="8" a="1"/>
  <c r="Q74" i="8" a="1"/>
  <c r="AC74" i="8" a="1"/>
  <c r="K15" i="8" a="1"/>
  <c r="K74" i="8" a="1"/>
  <c r="Y73" i="8" a="1"/>
  <c r="V15" i="8" a="1"/>
  <c r="E15" i="8" a="1"/>
  <c r="U15" i="8" a="1"/>
  <c r="R74" i="8" a="1"/>
  <c r="X73" i="8" a="1"/>
  <c r="P15" i="8" a="1"/>
  <c r="E74" i="8" a="1"/>
  <c r="F119" i="8" a="1"/>
  <c r="AD74" i="8" a="1"/>
  <c r="Q15" i="8" a="1"/>
  <c r="L11" i="1" l="1"/>
  <c r="E14" i="1"/>
  <c r="L89" i="1"/>
  <c r="K5" i="1"/>
  <c r="L10" i="1"/>
  <c r="AZ68" i="1"/>
  <c r="AZ69" i="1" s="1"/>
  <c r="BB68" i="1"/>
  <c r="BB69" i="1" s="1"/>
  <c r="S47" i="1"/>
  <c r="R47" i="1"/>
  <c r="Q47" i="1"/>
  <c r="AV25" i="1"/>
  <c r="AW25" i="1" s="1"/>
  <c r="AU68" i="1"/>
  <c r="AU69" i="1" s="1"/>
  <c r="K78" i="1"/>
  <c r="K80" i="1" s="1"/>
  <c r="P80" i="1" s="1"/>
  <c r="Z38" i="1"/>
  <c r="Z44" i="1" s="1"/>
  <c r="AT22" i="1"/>
  <c r="AS22" i="1" s="1"/>
  <c r="AA23" i="1"/>
  <c r="AV23" i="1"/>
  <c r="AW23" i="1" s="1"/>
  <c r="L13" i="1"/>
  <c r="E19" i="1"/>
  <c r="L4" i="1"/>
  <c r="L12" i="1"/>
  <c r="K7" i="1"/>
  <c r="L5" i="1"/>
  <c r="K6" i="1"/>
  <c r="V4" i="1"/>
  <c r="U5" i="1" s="1"/>
  <c r="AH4" i="1"/>
  <c r="AO4" i="1" s="1"/>
  <c r="G71" i="20"/>
  <c r="H2" i="1"/>
  <c r="G76" i="20"/>
  <c r="G72" i="20"/>
  <c r="G75" i="20" s="1"/>
  <c r="O14" i="18"/>
  <c r="N20" i="18"/>
  <c r="J4" i="18"/>
  <c r="J20" i="18"/>
  <c r="E20" i="18" s="1"/>
  <c r="K4" i="18"/>
  <c r="M4" i="18"/>
  <c r="N5" i="18"/>
  <c r="O5" i="18"/>
  <c r="A6" i="18"/>
  <c r="H53" i="20"/>
  <c r="H56" i="20" s="1"/>
  <c r="J72" i="20"/>
  <c r="E4" i="18"/>
  <c r="Z5" i="20"/>
  <c r="Y7" i="20"/>
  <c r="Y9" i="20"/>
  <c r="Y6" i="20"/>
  <c r="Y4" i="20"/>
  <c r="Z4" i="20" s="1"/>
  <c r="Y8" i="20"/>
  <c r="Y5" i="20"/>
  <c r="Y10" i="20"/>
  <c r="Y11" i="20"/>
  <c r="Y3" i="20"/>
  <c r="Y12" i="20"/>
  <c r="Y13" i="20"/>
  <c r="F119" i="8"/>
  <c r="H119" i="8" s="1"/>
  <c r="E119" i="8"/>
  <c r="V15" i="8"/>
  <c r="U15" i="8"/>
  <c r="K15" i="8"/>
  <c r="T13" i="20" s="1"/>
  <c r="Z15" i="8"/>
  <c r="Y15" i="8" s="1"/>
  <c r="AI74" i="8"/>
  <c r="AP74" i="8"/>
  <c r="E15" i="8"/>
  <c r="Q13" i="20" s="1"/>
  <c r="Q15" i="8"/>
  <c r="P15" i="8"/>
  <c r="K119" i="8"/>
  <c r="Y73" i="8"/>
  <c r="X73" i="8"/>
  <c r="E74" i="8"/>
  <c r="W14" i="20" s="1"/>
  <c r="K74" i="8"/>
  <c r="X14" i="20" s="1"/>
  <c r="R74" i="8"/>
  <c r="Q74" i="8"/>
  <c r="AD74" i="8"/>
  <c r="AC74" i="8"/>
  <c r="L80" i="1"/>
  <c r="I94" i="1" s="1"/>
  <c r="M76" i="1"/>
  <c r="M80" i="1" s="1"/>
  <c r="AV24" i="1"/>
  <c r="AW24" i="1" s="1"/>
  <c r="AT24" i="1"/>
  <c r="AS24" i="1" s="1"/>
  <c r="O59" i="1"/>
  <c r="F2" i="1"/>
  <c r="F8" i="1" s="1"/>
  <c r="G2" i="1"/>
  <c r="J94" i="1"/>
  <c r="K51" i="1"/>
  <c r="L50" i="1" s="1"/>
  <c r="AR68" i="1"/>
  <c r="AR69" i="1" s="1"/>
  <c r="N4" i="1"/>
  <c r="E1" i="1"/>
  <c r="F1" i="1" s="1"/>
  <c r="G1" i="1" s="1"/>
  <c r="H1" i="1" s="1"/>
  <c r="AT21" i="1"/>
  <c r="AS21" i="1" s="1"/>
  <c r="AE23" i="1" s="1"/>
  <c r="N17" i="18"/>
  <c r="M17" i="18"/>
  <c r="K17" i="18"/>
  <c r="F17" i="18" s="1"/>
  <c r="J17" i="18"/>
  <c r="E17" i="18" s="1"/>
  <c r="E25" i="1"/>
  <c r="D9" i="18"/>
  <c r="D22" i="18"/>
  <c r="D20" i="18"/>
  <c r="D18" i="18"/>
  <c r="D15" i="18"/>
  <c r="W15" i="18" s="1"/>
  <c r="D10" i="18"/>
  <c r="D16" i="18"/>
  <c r="D11" i="18"/>
  <c r="D12" i="18"/>
  <c r="D19" i="18"/>
  <c r="D14" i="18"/>
  <c r="D5" i="18"/>
  <c r="D7" i="18"/>
  <c r="D21" i="18"/>
  <c r="D13" i="18"/>
  <c r="D17" i="18"/>
  <c r="D6" i="18"/>
  <c r="G88" i="20"/>
  <c r="L8" i="1"/>
  <c r="J65" i="20"/>
  <c r="L7" i="1"/>
  <c r="D4" i="18"/>
  <c r="P4" i="20"/>
  <c r="D5" i="1"/>
  <c r="J89" i="1"/>
  <c r="K84" i="1"/>
  <c r="K89" i="1" s="1"/>
  <c r="P89" i="1" s="1"/>
  <c r="D68" i="23"/>
  <c r="A3" i="1"/>
  <c r="D61" i="23"/>
  <c r="L6" i="1"/>
  <c r="I100" i="22"/>
  <c r="I93" i="1"/>
  <c r="D8" i="18"/>
  <c r="BD68" i="1"/>
  <c r="BD69" i="1" s="1"/>
  <c r="D65" i="23"/>
  <c r="I103" i="22"/>
  <c r="F45" i="1"/>
  <c r="F100" i="22"/>
  <c r="X14" i="13"/>
  <c r="O13" i="18"/>
  <c r="N13" i="18"/>
  <c r="M13" i="18"/>
  <c r="K13" i="18"/>
  <c r="F13" i="18" s="1"/>
  <c r="K14" i="18"/>
  <c r="F14" i="18" s="1"/>
  <c r="M22" i="18"/>
  <c r="M20" i="18"/>
  <c r="M18" i="18"/>
  <c r="M15" i="18"/>
  <c r="K22" i="18"/>
  <c r="F22" i="18" s="1"/>
  <c r="K20" i="18"/>
  <c r="F20" i="18" s="1"/>
  <c r="K18" i="18"/>
  <c r="F18" i="18" s="1"/>
  <c r="K15" i="18"/>
  <c r="F15" i="18" s="1"/>
  <c r="N16" i="18"/>
  <c r="I101" i="22"/>
  <c r="N21" i="18"/>
  <c r="K21" i="18"/>
  <c r="F21" i="18" s="1"/>
  <c r="J21" i="18"/>
  <c r="E21" i="18" s="1"/>
  <c r="F103" i="22"/>
  <c r="J13" i="18"/>
  <c r="E13" i="18" s="1"/>
  <c r="J15" i="18"/>
  <c r="E15" i="18" s="1"/>
  <c r="P15" i="18" s="1"/>
  <c r="D72" i="23"/>
  <c r="H103" i="22"/>
  <c r="N15" i="18"/>
  <c r="M21" i="18"/>
  <c r="J18" i="18"/>
  <c r="E18" i="18" s="1"/>
  <c r="G104" i="22"/>
  <c r="I104" i="22" s="1"/>
  <c r="N18" i="18"/>
  <c r="J22" i="18"/>
  <c r="E22" i="18" s="1"/>
  <c r="N19" i="18"/>
  <c r="K19" i="18"/>
  <c r="F19" i="18" s="1"/>
  <c r="J19" i="18"/>
  <c r="E19" i="18" s="1"/>
  <c r="N22" i="18"/>
  <c r="K16" i="18"/>
  <c r="F16" i="18" s="1"/>
  <c r="I98" i="22"/>
  <c r="H106" i="22"/>
  <c r="G106" i="22"/>
  <c r="I106" i="22" s="1"/>
  <c r="F106" i="22"/>
  <c r="J14" i="18"/>
  <c r="E14" i="18" s="1"/>
  <c r="M16" i="18"/>
  <c r="M19" i="18"/>
  <c r="M14" i="18"/>
  <c r="X7" i="13"/>
  <c r="O6" i="18"/>
  <c r="N6" i="18"/>
  <c r="M6" i="18"/>
  <c r="K6" i="18"/>
  <c r="F6" i="18" s="1"/>
  <c r="N14" i="18"/>
  <c r="H14" i="8"/>
  <c r="X13" i="8"/>
  <c r="L118" i="8"/>
  <c r="G72" i="8"/>
  <c r="AD1534" i="6"/>
  <c r="AB1534" i="6"/>
  <c r="AA1535" i="6"/>
  <c r="Z1535" i="6" s="1"/>
  <c r="Y1536" i="6"/>
  <c r="AH1535" i="6"/>
  <c r="AG1535" i="6"/>
  <c r="AE1535" i="6"/>
  <c r="AF1535" i="6" s="1"/>
  <c r="AC1535" i="6"/>
  <c r="AS72" i="8"/>
  <c r="AQ73" i="8"/>
  <c r="AJ73" i="8"/>
  <c r="F101" i="22"/>
  <c r="U81" i="22"/>
  <c r="AB81" i="22" s="1"/>
  <c r="T73" i="8"/>
  <c r="C120" i="8"/>
  <c r="AN75" i="8"/>
  <c r="AG75" i="8"/>
  <c r="AA75" i="8"/>
  <c r="O75" i="8"/>
  <c r="I75" i="8"/>
  <c r="A75" i="8"/>
  <c r="V74" i="8"/>
  <c r="C74" i="8"/>
  <c r="B17" i="8"/>
  <c r="N16" i="8"/>
  <c r="I16" i="8"/>
  <c r="C16" i="8"/>
  <c r="F97" i="22"/>
  <c r="G97" i="22"/>
  <c r="I97" i="22" s="1"/>
  <c r="M73" i="8"/>
  <c r="F102" i="22"/>
  <c r="J5" i="18"/>
  <c r="G102" i="22"/>
  <c r="I102" i="22" s="1"/>
  <c r="K5" i="18"/>
  <c r="F5" i="18" s="1"/>
  <c r="J16" i="18"/>
  <c r="E16" i="18" s="1"/>
  <c r="G107" i="22"/>
  <c r="I107" i="22" s="1"/>
  <c r="M5" i="18"/>
  <c r="Q13" i="2"/>
  <c r="Q8" i="2"/>
  <c r="Q3" i="2" s="1"/>
  <c r="AC75" i="8" a="1"/>
  <c r="E75" i="8" a="1"/>
  <c r="X74" i="8" a="1"/>
  <c r="P16" i="8" a="1"/>
  <c r="K75" i="8" a="1"/>
  <c r="Y74" i="8" a="1"/>
  <c r="Q75" i="8" a="1"/>
  <c r="U16" i="8" a="1"/>
  <c r="AD75" i="8" a="1"/>
  <c r="K16" i="8" a="1"/>
  <c r="E120" i="8" a="1"/>
  <c r="Q16" i="8" a="1"/>
  <c r="V16" i="8" a="1"/>
  <c r="E16" i="8" a="1"/>
  <c r="R75" i="8" a="1"/>
  <c r="F120" i="8" a="1"/>
  <c r="F13" i="1" l="1"/>
  <c r="G13" i="1" s="1"/>
  <c r="H13" i="1" s="1"/>
  <c r="AG4" i="1"/>
  <c r="AA4" i="1" s="1"/>
  <c r="P92" i="1"/>
  <c r="AI4" i="1"/>
  <c r="R4" i="1"/>
  <c r="H55" i="20"/>
  <c r="H58" i="20" s="1"/>
  <c r="A7" i="18"/>
  <c r="J6" i="18"/>
  <c r="E6" i="18" s="1"/>
  <c r="F4" i="18"/>
  <c r="P4" i="1"/>
  <c r="S4" i="1" s="1"/>
  <c r="F15" i="1"/>
  <c r="G15" i="1" s="1"/>
  <c r="F18" i="1"/>
  <c r="G18" i="1" s="1"/>
  <c r="H18" i="1" s="1"/>
  <c r="F16" i="1"/>
  <c r="G16" i="1" s="1"/>
  <c r="H16" i="1" s="1"/>
  <c r="F5" i="1"/>
  <c r="G5" i="1" s="1"/>
  <c r="H5" i="1" s="1"/>
  <c r="Y14" i="20"/>
  <c r="F7" i="1"/>
  <c r="G7" i="1" s="1"/>
  <c r="H7" i="1" s="1"/>
  <c r="F11" i="1"/>
  <c r="G11" i="1" s="1"/>
  <c r="H11" i="1" s="1"/>
  <c r="F4" i="1"/>
  <c r="F6" i="1"/>
  <c r="G6" i="1" s="1"/>
  <c r="H6" i="1" s="1"/>
  <c r="AS73" i="8"/>
  <c r="V16" i="8"/>
  <c r="U16" i="8"/>
  <c r="K16" i="8"/>
  <c r="T14" i="20" s="1"/>
  <c r="Z16" i="8"/>
  <c r="Y16" i="8" s="1"/>
  <c r="E16" i="8"/>
  <c r="Q14" i="20" s="1"/>
  <c r="Q16" i="8"/>
  <c r="P16" i="8"/>
  <c r="K120" i="8"/>
  <c r="E75" i="8"/>
  <c r="W15" i="20" s="1"/>
  <c r="K75" i="8"/>
  <c r="X15" i="20" s="1"/>
  <c r="R75" i="8"/>
  <c r="S75" i="8" s="1"/>
  <c r="Q75" i="8"/>
  <c r="AD75" i="8"/>
  <c r="AC75" i="8"/>
  <c r="AI75" i="8"/>
  <c r="F120" i="8"/>
  <c r="H120" i="8" s="1"/>
  <c r="E120" i="8"/>
  <c r="Y74" i="8"/>
  <c r="X74" i="8"/>
  <c r="AP75" i="8"/>
  <c r="G45" i="1"/>
  <c r="N5" i="1"/>
  <c r="AA12" i="13"/>
  <c r="W11" i="18"/>
  <c r="T11" i="18"/>
  <c r="V11" i="18" s="1"/>
  <c r="O60" i="1"/>
  <c r="M74" i="8"/>
  <c r="AA11" i="13"/>
  <c r="W10" i="18"/>
  <c r="T10" i="18"/>
  <c r="V10" i="18" s="1"/>
  <c r="P5" i="20"/>
  <c r="C121" i="8"/>
  <c r="AN76" i="8"/>
  <c r="AG76" i="8"/>
  <c r="AA76" i="8"/>
  <c r="O76" i="8"/>
  <c r="I76" i="8"/>
  <c r="A76" i="8"/>
  <c r="V75" i="8"/>
  <c r="C75" i="8"/>
  <c r="B18" i="8"/>
  <c r="N17" i="8"/>
  <c r="I17" i="8"/>
  <c r="C17" i="8"/>
  <c r="H15" i="8"/>
  <c r="X14" i="8"/>
  <c r="L119" i="8"/>
  <c r="G73" i="8"/>
  <c r="AA10" i="13"/>
  <c r="W9" i="18"/>
  <c r="T9" i="18"/>
  <c r="V9" i="18" s="1"/>
  <c r="AA9" i="13"/>
  <c r="W8" i="18"/>
  <c r="T8" i="18"/>
  <c r="V8" i="18" s="1"/>
  <c r="AP22" i="1"/>
  <c r="AX23" i="1"/>
  <c r="AP24" i="1"/>
  <c r="AX22" i="1"/>
  <c r="E5" i="15"/>
  <c r="AB4" i="20"/>
  <c r="B24" i="1" s="1"/>
  <c r="E5" i="22"/>
  <c r="AP20" i="1"/>
  <c r="AP23" i="1"/>
  <c r="AX21" i="1"/>
  <c r="F25" i="1"/>
  <c r="D25" i="1"/>
  <c r="AX24" i="1"/>
  <c r="C33" i="1"/>
  <c r="E33" i="1" s="1"/>
  <c r="P32" i="1"/>
  <c r="AP21" i="1"/>
  <c r="AX25" i="1"/>
  <c r="J66" i="20"/>
  <c r="J70" i="20"/>
  <c r="J76" i="20"/>
  <c r="J71" i="20"/>
  <c r="AX20" i="1"/>
  <c r="G13" i="15"/>
  <c r="E48" i="23" s="1"/>
  <c r="R13" i="20"/>
  <c r="H13" i="15"/>
  <c r="F48" i="23" s="1"/>
  <c r="AP4" i="1"/>
  <c r="Z4" i="1" s="1"/>
  <c r="V5" i="1"/>
  <c r="AQ5" i="1"/>
  <c r="AH5" i="1"/>
  <c r="AQ74" i="8"/>
  <c r="J93" i="1"/>
  <c r="AJ74" i="8"/>
  <c r="AA7" i="13"/>
  <c r="W6" i="18"/>
  <c r="T6" i="18"/>
  <c r="V6" i="18" s="1"/>
  <c r="AA14" i="13"/>
  <c r="W13" i="18"/>
  <c r="T13" i="18"/>
  <c r="V13" i="18" s="1"/>
  <c r="AB15" i="13"/>
  <c r="P14" i="18"/>
  <c r="Q14" i="18" s="1"/>
  <c r="Q15" i="18" s="1"/>
  <c r="Y11" i="15"/>
  <c r="X14" i="22"/>
  <c r="X15" i="22"/>
  <c r="Y12" i="15"/>
  <c r="AN11" i="15" s="1"/>
  <c r="U13" i="20"/>
  <c r="AG11" i="15"/>
  <c r="AB14" i="13"/>
  <c r="P13" i="18"/>
  <c r="Q13" i="18" s="1"/>
  <c r="F10" i="1"/>
  <c r="F17" i="1"/>
  <c r="G17" i="1" s="1"/>
  <c r="H17" i="1" s="1"/>
  <c r="F12" i="1"/>
  <c r="G12" i="1" s="1"/>
  <c r="H12" i="1" s="1"/>
  <c r="AB1535" i="6"/>
  <c r="AD1535" i="6"/>
  <c r="Q6" i="1"/>
  <c r="A4" i="1"/>
  <c r="D6" i="1"/>
  <c r="AA8" i="13"/>
  <c r="W7" i="18"/>
  <c r="T7" i="18"/>
  <c r="V7" i="18" s="1"/>
  <c r="E5" i="18"/>
  <c r="AB6" i="13" s="1"/>
  <c r="P5" i="18"/>
  <c r="Q5" i="18" s="1"/>
  <c r="AA6" i="13"/>
  <c r="W5" i="18"/>
  <c r="T5" i="18"/>
  <c r="V5" i="18" s="1"/>
  <c r="AA15" i="13"/>
  <c r="T14" i="18"/>
  <c r="W14" i="18"/>
  <c r="S74" i="8"/>
  <c r="T74" i="8" s="1"/>
  <c r="AG1536" i="6"/>
  <c r="AH1536" i="6"/>
  <c r="Y1537" i="6"/>
  <c r="AE1536" i="6"/>
  <c r="AF1536" i="6" s="1"/>
  <c r="AC1536" i="6"/>
  <c r="AA1536" i="6"/>
  <c r="Z1536" i="6" s="1"/>
  <c r="AA13" i="13"/>
  <c r="T12" i="18"/>
  <c r="V12" i="18" s="1"/>
  <c r="W12" i="18"/>
  <c r="F121" i="8" a="1"/>
  <c r="U17" i="8" a="1"/>
  <c r="Q76" i="8" a="1"/>
  <c r="V17" i="8" a="1"/>
  <c r="X75" i="8" a="1"/>
  <c r="R76" i="8" a="1"/>
  <c r="Y75" i="8" a="1"/>
  <c r="AC76" i="8" a="1"/>
  <c r="E76" i="8" a="1"/>
  <c r="K76" i="8" a="1"/>
  <c r="K17" i="8" a="1"/>
  <c r="E17" i="8" a="1"/>
  <c r="Q17" i="8" a="1"/>
  <c r="AD76" i="8" a="1"/>
  <c r="P17" i="8" a="1"/>
  <c r="E121" i="8" a="1"/>
  <c r="G10" i="1" l="1"/>
  <c r="F14" i="1"/>
  <c r="G4" i="1"/>
  <c r="H4" i="1" s="1"/>
  <c r="F9" i="1"/>
  <c r="AB7" i="13"/>
  <c r="P6" i="18"/>
  <c r="Q6" i="18" s="1"/>
  <c r="J7" i="18"/>
  <c r="E7" i="18" s="1"/>
  <c r="M7" i="18"/>
  <c r="K7" i="18"/>
  <c r="F7" i="18" s="1"/>
  <c r="A8" i="18"/>
  <c r="X8" i="13"/>
  <c r="O7" i="18"/>
  <c r="N7" i="18"/>
  <c r="F19" i="1"/>
  <c r="AS74" i="8"/>
  <c r="AQ75" i="8"/>
  <c r="V17" i="8"/>
  <c r="U17" i="8"/>
  <c r="K17" i="8"/>
  <c r="T15" i="20" s="1"/>
  <c r="Z17" i="8"/>
  <c r="Y17" i="8" s="1"/>
  <c r="Q17" i="8"/>
  <c r="P17" i="8"/>
  <c r="E17" i="8"/>
  <c r="Q15" i="20" s="1"/>
  <c r="K121" i="8"/>
  <c r="Y75" i="8"/>
  <c r="X75" i="8"/>
  <c r="E76" i="8"/>
  <c r="W16" i="20" s="1"/>
  <c r="K76" i="8"/>
  <c r="X16" i="20" s="1"/>
  <c r="R76" i="8"/>
  <c r="Q76" i="8"/>
  <c r="AD76" i="8"/>
  <c r="AC76" i="8"/>
  <c r="AP76" i="8"/>
  <c r="F121" i="8"/>
  <c r="H121" i="8" s="1"/>
  <c r="E121" i="8"/>
  <c r="AI76" i="8"/>
  <c r="Z21" i="1"/>
  <c r="Z22" i="1"/>
  <c r="Z23" i="1"/>
  <c r="G25" i="1"/>
  <c r="AJ75" i="8"/>
  <c r="H16" i="8"/>
  <c r="X15" i="8"/>
  <c r="AO5" i="1"/>
  <c r="AG5" i="1"/>
  <c r="AA5" i="1" s="1"/>
  <c r="O61" i="1"/>
  <c r="S60" i="1"/>
  <c r="R60" i="1"/>
  <c r="Q60" i="1"/>
  <c r="P60" i="1"/>
  <c r="U6" i="1"/>
  <c r="R5" i="1"/>
  <c r="P5" i="1" s="1"/>
  <c r="S5" i="1" s="1"/>
  <c r="AI5" i="1"/>
  <c r="C122" i="8"/>
  <c r="AN77" i="8"/>
  <c r="AG77" i="8"/>
  <c r="AA77" i="8"/>
  <c r="O77" i="8"/>
  <c r="I77" i="8"/>
  <c r="A77" i="8"/>
  <c r="V76" i="8"/>
  <c r="C76" i="8"/>
  <c r="B19" i="8"/>
  <c r="N18" i="8"/>
  <c r="I18" i="8"/>
  <c r="C18" i="8"/>
  <c r="Q35" i="1"/>
  <c r="D33" i="1"/>
  <c r="N6" i="1"/>
  <c r="X4" i="1"/>
  <c r="AB4" i="1" s="1"/>
  <c r="O4" i="1" s="1"/>
  <c r="C5" i="22"/>
  <c r="E72" i="22"/>
  <c r="E6" i="22"/>
  <c r="E4" i="22"/>
  <c r="L5" i="22"/>
  <c r="J5" i="22"/>
  <c r="D5" i="22"/>
  <c r="F5" i="22" s="1"/>
  <c r="T75" i="8"/>
  <c r="F26" i="1"/>
  <c r="F33" i="1" s="1"/>
  <c r="M75" i="8"/>
  <c r="Y15" i="20"/>
  <c r="G19" i="1"/>
  <c r="H15" i="1"/>
  <c r="H19" i="1" s="1"/>
  <c r="B40" i="23"/>
  <c r="E6" i="15"/>
  <c r="M5" i="15"/>
  <c r="E4" i="15"/>
  <c r="D5" i="15"/>
  <c r="F5" i="15" s="1"/>
  <c r="C5" i="15"/>
  <c r="AL5" i="15"/>
  <c r="AM5" i="15" s="1"/>
  <c r="E83" i="15"/>
  <c r="AF5" i="15"/>
  <c r="AQ5" i="15" s="1"/>
  <c r="Q7" i="1"/>
  <c r="A5" i="1"/>
  <c r="D7" i="1"/>
  <c r="G8" i="1"/>
  <c r="J75" i="20"/>
  <c r="H14" i="15"/>
  <c r="F49" i="23" s="1"/>
  <c r="G14" i="15"/>
  <c r="E49" i="23" s="1"/>
  <c r="R14" i="20"/>
  <c r="AD1536" i="6"/>
  <c r="AB1536" i="6"/>
  <c r="X21" i="1"/>
  <c r="P6" i="20"/>
  <c r="Y13" i="15"/>
  <c r="AN12" i="15" s="1"/>
  <c r="AG12" i="15"/>
  <c r="X16" i="22"/>
  <c r="U14" i="20"/>
  <c r="C32" i="1"/>
  <c r="E32" i="1" s="1"/>
  <c r="C34" i="1"/>
  <c r="E34" i="1" s="1"/>
  <c r="AC1537" i="6"/>
  <c r="AE1537" i="6"/>
  <c r="AF1537" i="6" s="1"/>
  <c r="AA1537" i="6"/>
  <c r="Z1537" i="6" s="1"/>
  <c r="Y1538" i="6"/>
  <c r="AH1537" i="6"/>
  <c r="AG1537" i="6"/>
  <c r="L120" i="8"/>
  <c r="G74" i="8"/>
  <c r="V14" i="18"/>
  <c r="T15" i="18"/>
  <c r="V15" i="18" s="1"/>
  <c r="AN10" i="15"/>
  <c r="J77" i="20"/>
  <c r="K18" i="8" a="1"/>
  <c r="R77" i="8" a="1"/>
  <c r="AD77" i="8" a="1"/>
  <c r="Y76" i="8" a="1"/>
  <c r="P18" i="8" a="1"/>
  <c r="E122" i="8" a="1"/>
  <c r="AC77" i="8" a="1"/>
  <c r="Q18" i="8" a="1"/>
  <c r="K77" i="8" a="1"/>
  <c r="U18" i="8" a="1"/>
  <c r="E18" i="8" a="1"/>
  <c r="V18" i="8" a="1"/>
  <c r="E77" i="8" a="1"/>
  <c r="X76" i="8" a="1"/>
  <c r="F122" i="8" a="1"/>
  <c r="Q77" i="8" a="1"/>
  <c r="H10" i="1" l="1"/>
  <c r="H14" i="1" s="1"/>
  <c r="G14" i="1"/>
  <c r="G9" i="1"/>
  <c r="A9" i="18"/>
  <c r="N8" i="18"/>
  <c r="O8" i="18"/>
  <c r="J8" i="18"/>
  <c r="E8" i="18" s="1"/>
  <c r="M8" i="18"/>
  <c r="K8" i="18"/>
  <c r="F8" i="18" s="1"/>
  <c r="X9" i="13"/>
  <c r="AB8" i="13"/>
  <c r="P7" i="18"/>
  <c r="Q7" i="18" s="1"/>
  <c r="AS75" i="8"/>
  <c r="D32" i="1"/>
  <c r="AQ76" i="8"/>
  <c r="E18" i="8"/>
  <c r="Q16" i="20" s="1"/>
  <c r="V18" i="8"/>
  <c r="U18" i="8"/>
  <c r="K18" i="8"/>
  <c r="T16" i="20" s="1"/>
  <c r="Z18" i="8"/>
  <c r="Y18" i="8" s="1"/>
  <c r="Q18" i="8"/>
  <c r="P18" i="8"/>
  <c r="K122" i="8"/>
  <c r="E77" i="8"/>
  <c r="W17" i="20" s="1"/>
  <c r="K77" i="8"/>
  <c r="X17" i="20" s="1"/>
  <c r="R77" i="8"/>
  <c r="S77" i="8" s="1"/>
  <c r="Q77" i="8"/>
  <c r="AD77" i="8"/>
  <c r="AC77" i="8"/>
  <c r="AP77" i="8"/>
  <c r="F122" i="8"/>
  <c r="H122" i="8" s="1"/>
  <c r="E122" i="8"/>
  <c r="AI77" i="8"/>
  <c r="Y76" i="8"/>
  <c r="X76" i="8"/>
  <c r="C35" i="1"/>
  <c r="J2" i="22"/>
  <c r="H17" i="8"/>
  <c r="X16" i="8"/>
  <c r="L4" i="22"/>
  <c r="W4" i="22" s="1"/>
  <c r="W5" i="22"/>
  <c r="L6" i="22"/>
  <c r="W6" i="22" s="1"/>
  <c r="J6" i="22"/>
  <c r="D6" i="22"/>
  <c r="F6" i="22" s="1"/>
  <c r="C6" i="22"/>
  <c r="E73" i="22"/>
  <c r="E7" i="22"/>
  <c r="F32" i="1"/>
  <c r="S76" i="8"/>
  <c r="T76" i="8" s="1"/>
  <c r="P37" i="1"/>
  <c r="F34" i="1"/>
  <c r="P38" i="1" s="1"/>
  <c r="C123" i="8"/>
  <c r="AN78" i="8"/>
  <c r="AG78" i="8"/>
  <c r="AA78" i="8"/>
  <c r="O78" i="8"/>
  <c r="I78" i="8"/>
  <c r="A78" i="8"/>
  <c r="V77" i="8"/>
  <c r="C77" i="8"/>
  <c r="B20" i="8"/>
  <c r="N19" i="8"/>
  <c r="I19" i="8"/>
  <c r="C19" i="8"/>
  <c r="H25" i="1"/>
  <c r="M76" i="8"/>
  <c r="M6" i="22"/>
  <c r="Y5" i="22"/>
  <c r="AA5" i="22" s="1"/>
  <c r="Q5" i="22"/>
  <c r="T5" i="22" s="1"/>
  <c r="Y16" i="20"/>
  <c r="R5" i="15"/>
  <c r="AO5" i="15"/>
  <c r="Z5" i="15"/>
  <c r="Q8" i="1"/>
  <c r="A6" i="1"/>
  <c r="D8" i="1"/>
  <c r="D40" i="23"/>
  <c r="J5" i="15"/>
  <c r="K5" i="15"/>
  <c r="H40" i="23" s="1"/>
  <c r="P7" i="20"/>
  <c r="B39" i="23"/>
  <c r="E82" i="15"/>
  <c r="D4" i="15"/>
  <c r="F4" i="15" s="1"/>
  <c r="C4" i="15"/>
  <c r="L121" i="8"/>
  <c r="G75" i="8"/>
  <c r="H72" i="22"/>
  <c r="G72" i="22"/>
  <c r="F72" i="22"/>
  <c r="B41" i="23"/>
  <c r="AL6" i="15"/>
  <c r="AM6" i="15" s="1"/>
  <c r="D6" i="15"/>
  <c r="F6" i="15" s="1"/>
  <c r="E7" i="15"/>
  <c r="C6" i="15"/>
  <c r="E84" i="15"/>
  <c r="AF6" i="15"/>
  <c r="AQ6" i="15" s="1"/>
  <c r="E103" i="20"/>
  <c r="M6" i="15"/>
  <c r="AP5" i="1"/>
  <c r="AB21" i="1"/>
  <c r="Y21" i="1" s="1"/>
  <c r="H83" i="15"/>
  <c r="G83" i="15"/>
  <c r="F83" i="15"/>
  <c r="M4" i="15"/>
  <c r="O5" i="15"/>
  <c r="X5" i="15"/>
  <c r="I64" i="20"/>
  <c r="G64" i="20" s="1"/>
  <c r="V6" i="1"/>
  <c r="AH6" i="1"/>
  <c r="AQ6" i="1"/>
  <c r="AJ76" i="8"/>
  <c r="AD1537" i="6"/>
  <c r="AB1537" i="6"/>
  <c r="E42" i="1"/>
  <c r="D42" i="1"/>
  <c r="P35" i="1"/>
  <c r="S35" i="1" s="1"/>
  <c r="Y14" i="15"/>
  <c r="AN13" i="15" s="1"/>
  <c r="X17" i="22"/>
  <c r="U15" i="20"/>
  <c r="AG13" i="15"/>
  <c r="H15" i="15"/>
  <c r="F50" i="23" s="1"/>
  <c r="R15" i="20"/>
  <c r="G15" i="15"/>
  <c r="E50" i="23" s="1"/>
  <c r="H8" i="1"/>
  <c r="D34" i="1"/>
  <c r="N7" i="1"/>
  <c r="AC1538" i="6"/>
  <c r="AA1538" i="6"/>
  <c r="Z1538" i="6" s="1"/>
  <c r="Y1539" i="6"/>
  <c r="AH1538" i="6"/>
  <c r="AG1538" i="6"/>
  <c r="AE1538" i="6"/>
  <c r="AF1538" i="6" s="1"/>
  <c r="S61" i="1"/>
  <c r="O62" i="1"/>
  <c r="Q61" i="1"/>
  <c r="R61" i="1"/>
  <c r="P61" i="1"/>
  <c r="J4" i="22"/>
  <c r="D4" i="22"/>
  <c r="F4" i="22" s="1"/>
  <c r="C4" i="22"/>
  <c r="E71" i="22"/>
  <c r="G26" i="1"/>
  <c r="AD78" i="8" a="1"/>
  <c r="K78" i="8" a="1"/>
  <c r="Y77" i="8" a="1"/>
  <c r="Q78" i="8" a="1"/>
  <c r="K19" i="8" a="1"/>
  <c r="U19" i="8" a="1"/>
  <c r="E78" i="8" a="1"/>
  <c r="AC78" i="8" a="1"/>
  <c r="Q19" i="8" a="1"/>
  <c r="F123" i="8" a="1"/>
  <c r="E19" i="8" a="1"/>
  <c r="V19" i="8" a="1"/>
  <c r="E123" i="8" a="1"/>
  <c r="R78" i="8" a="1"/>
  <c r="P19" i="8" a="1"/>
  <c r="X77" i="8" a="1"/>
  <c r="H9" i="1" l="1"/>
  <c r="AB9" i="13"/>
  <c r="P8" i="18"/>
  <c r="Q8" i="18" s="1"/>
  <c r="J9" i="18"/>
  <c r="E9" i="18" s="1"/>
  <c r="M9" i="18"/>
  <c r="K9" i="18"/>
  <c r="F9" i="18" s="1"/>
  <c r="A10" i="18"/>
  <c r="X10" i="13"/>
  <c r="N9" i="18"/>
  <c r="O9" i="18"/>
  <c r="G35" i="1"/>
  <c r="AS76" i="8"/>
  <c r="AQ77" i="8"/>
  <c r="E19" i="8"/>
  <c r="Q17" i="20" s="1"/>
  <c r="V19" i="8"/>
  <c r="U19" i="8"/>
  <c r="K19" i="8"/>
  <c r="T17" i="20" s="1"/>
  <c r="Z19" i="8"/>
  <c r="Y19" i="8" s="1"/>
  <c r="Q19" i="8"/>
  <c r="P19" i="8"/>
  <c r="Y77" i="8"/>
  <c r="X77" i="8"/>
  <c r="E78" i="8"/>
  <c r="W18" i="20" s="1"/>
  <c r="K123" i="8"/>
  <c r="K78" i="8"/>
  <c r="X18" i="20" s="1"/>
  <c r="R78" i="8"/>
  <c r="S78" i="8" s="1"/>
  <c r="Q78" i="8"/>
  <c r="AD78" i="8"/>
  <c r="AC78" i="8"/>
  <c r="AP78" i="8"/>
  <c r="F123" i="8"/>
  <c r="H123" i="8" s="1"/>
  <c r="E123" i="8"/>
  <c r="AI78" i="8"/>
  <c r="AI5" i="15"/>
  <c r="AA5" i="15"/>
  <c r="AB5" i="15" s="1"/>
  <c r="T5" i="15"/>
  <c r="K64" i="20"/>
  <c r="G33" i="1"/>
  <c r="I25" i="1"/>
  <c r="J7" i="22"/>
  <c r="E8" i="22"/>
  <c r="E74" i="22"/>
  <c r="C7" i="22"/>
  <c r="L7" i="22"/>
  <c r="W7" i="22" s="1"/>
  <c r="D7" i="22"/>
  <c r="F7" i="22" s="1"/>
  <c r="G73" i="22"/>
  <c r="H73" i="22"/>
  <c r="F73" i="22"/>
  <c r="Q6" i="22"/>
  <c r="T6" i="22" s="1"/>
  <c r="M7" i="22"/>
  <c r="Y6" i="22"/>
  <c r="AA6" i="22" s="1"/>
  <c r="O4" i="15"/>
  <c r="T4" i="15" s="1"/>
  <c r="X4" i="15"/>
  <c r="AA4" i="15" s="1"/>
  <c r="H71" i="22"/>
  <c r="G71" i="22"/>
  <c r="F71" i="22"/>
  <c r="I83" i="15"/>
  <c r="O6" i="22"/>
  <c r="C124" i="8"/>
  <c r="AN79" i="8"/>
  <c r="AG79" i="8"/>
  <c r="AA79" i="8"/>
  <c r="O79" i="8"/>
  <c r="I79" i="8"/>
  <c r="A79" i="8"/>
  <c r="V78" i="8"/>
  <c r="C78" i="8"/>
  <c r="B21" i="8"/>
  <c r="N20" i="8"/>
  <c r="I20" i="8"/>
  <c r="C20" i="8"/>
  <c r="T77" i="8"/>
  <c r="H26" i="1"/>
  <c r="H33" i="1" s="1"/>
  <c r="M77" i="8"/>
  <c r="R4" i="15"/>
  <c r="N4" i="15"/>
  <c r="AH5" i="15"/>
  <c r="Z4" i="15"/>
  <c r="G34" i="1"/>
  <c r="P40" i="1" s="1"/>
  <c r="H82" i="15"/>
  <c r="G82" i="15"/>
  <c r="F82" i="15"/>
  <c r="X5" i="1"/>
  <c r="X22" i="1"/>
  <c r="AB22" i="1" s="1"/>
  <c r="Y22" i="1" s="1"/>
  <c r="H18" i="8"/>
  <c r="X17" i="8"/>
  <c r="Y17" i="20"/>
  <c r="Z5" i="1"/>
  <c r="D39" i="23"/>
  <c r="J4" i="15"/>
  <c r="Y4" i="22"/>
  <c r="AA4" i="22" s="1"/>
  <c r="M4" i="22"/>
  <c r="O4" i="22" s="1"/>
  <c r="M5" i="22"/>
  <c r="O5" i="22" s="1"/>
  <c r="U5" i="22" s="1"/>
  <c r="Q4" i="22"/>
  <c r="T4" i="22" s="1"/>
  <c r="S62" i="1"/>
  <c r="R62" i="1"/>
  <c r="Q62" i="1"/>
  <c r="R35" i="1" s="1"/>
  <c r="P62" i="1"/>
  <c r="O63" i="1"/>
  <c r="I65" i="20"/>
  <c r="X6" i="15"/>
  <c r="O6" i="15"/>
  <c r="L122" i="8"/>
  <c r="G76" i="8"/>
  <c r="H84" i="15"/>
  <c r="G84" i="15"/>
  <c r="F84" i="15"/>
  <c r="B42" i="23"/>
  <c r="E85" i="15"/>
  <c r="E8" i="15"/>
  <c r="D7" i="15"/>
  <c r="F7" i="15" s="1"/>
  <c r="C7" i="15"/>
  <c r="AL7" i="15"/>
  <c r="AM7" i="15" s="1"/>
  <c r="E104" i="20"/>
  <c r="AF7" i="15"/>
  <c r="AQ7" i="15" s="1"/>
  <c r="M7" i="15"/>
  <c r="G40" i="23"/>
  <c r="H87" i="20"/>
  <c r="J2" i="15"/>
  <c r="X18" i="22"/>
  <c r="Y15" i="15"/>
  <c r="AN14" i="15" s="1"/>
  <c r="U16" i="20"/>
  <c r="AG14" i="15"/>
  <c r="AO6" i="15"/>
  <c r="Z6" i="15"/>
  <c r="AH6" i="15"/>
  <c r="R6" i="15"/>
  <c r="N6" i="15"/>
  <c r="D41" i="23"/>
  <c r="K6" i="15"/>
  <c r="H41" i="23" s="1"/>
  <c r="J6" i="15"/>
  <c r="AB4" i="22"/>
  <c r="N8" i="1"/>
  <c r="P8" i="20"/>
  <c r="C36" i="1"/>
  <c r="E35" i="1"/>
  <c r="D35" i="1"/>
  <c r="F35" i="1"/>
  <c r="AE1539" i="6"/>
  <c r="AF1539" i="6" s="1"/>
  <c r="AG1539" i="6"/>
  <c r="AC1539" i="6"/>
  <c r="Y1540" i="6"/>
  <c r="AH1539" i="6"/>
  <c r="AA1539" i="6"/>
  <c r="Z1539" i="6" s="1"/>
  <c r="Q10" i="1"/>
  <c r="D10" i="1"/>
  <c r="A9" i="1"/>
  <c r="AD1538" i="6"/>
  <c r="AB1538" i="6"/>
  <c r="AO6" i="1"/>
  <c r="AG6" i="1"/>
  <c r="AA6" i="1" s="1"/>
  <c r="N5" i="15"/>
  <c r="P5" i="15" s="1"/>
  <c r="I40" i="23" s="1"/>
  <c r="U7" i="1"/>
  <c r="R6" i="1"/>
  <c r="P6" i="1" s="1"/>
  <c r="S6" i="1" s="1"/>
  <c r="AI6" i="1"/>
  <c r="I72" i="22"/>
  <c r="AJ77" i="8"/>
  <c r="R16" i="20"/>
  <c r="H16" i="15"/>
  <c r="F51" i="23" s="1"/>
  <c r="G16" i="15"/>
  <c r="E51" i="23" s="1"/>
  <c r="G65" i="20"/>
  <c r="G66" i="20"/>
  <c r="E124" i="8" a="1"/>
  <c r="V20" i="8" a="1"/>
  <c r="E79" i="8" a="1"/>
  <c r="F124" i="8" a="1"/>
  <c r="X78" i="8" a="1"/>
  <c r="K79" i="8" a="1"/>
  <c r="E20" i="8" a="1"/>
  <c r="Q79" i="8" a="1"/>
  <c r="U20" i="8" a="1"/>
  <c r="R79" i="8" a="1"/>
  <c r="Q20" i="8" a="1"/>
  <c r="AD79" i="8" a="1"/>
  <c r="P20" i="8" a="1"/>
  <c r="K20" i="8" a="1"/>
  <c r="Y78" i="8" a="1"/>
  <c r="AC79" i="8" a="1"/>
  <c r="Q38" i="1" l="1"/>
  <c r="S38" i="1" s="1"/>
  <c r="R37" i="1"/>
  <c r="U35" i="1"/>
  <c r="V35" i="1" s="1"/>
  <c r="Q37" i="1"/>
  <c r="S37" i="1" s="1"/>
  <c r="AB5" i="1"/>
  <c r="O5" i="1" s="1"/>
  <c r="N10" i="18"/>
  <c r="M10" i="18"/>
  <c r="O10" i="18"/>
  <c r="J10" i="18"/>
  <c r="E10" i="18" s="1"/>
  <c r="A11" i="18"/>
  <c r="X11" i="13"/>
  <c r="K10" i="18"/>
  <c r="F10" i="18" s="1"/>
  <c r="P9" i="18"/>
  <c r="Q9" i="18" s="1"/>
  <c r="AB10" i="13"/>
  <c r="AS77" i="8"/>
  <c r="Y18" i="20"/>
  <c r="I71" i="22"/>
  <c r="H34" i="1"/>
  <c r="H35" i="1"/>
  <c r="I82" i="15"/>
  <c r="H36" i="1"/>
  <c r="U4" i="22"/>
  <c r="AQ78" i="8"/>
  <c r="K79" i="8"/>
  <c r="X19" i="20" s="1"/>
  <c r="R79" i="8"/>
  <c r="S79" i="8" s="1"/>
  <c r="Q79" i="8"/>
  <c r="AD79" i="8"/>
  <c r="AC79" i="8"/>
  <c r="AI79" i="8"/>
  <c r="AP79" i="8"/>
  <c r="F124" i="8"/>
  <c r="H124" i="8" s="1"/>
  <c r="E124" i="8"/>
  <c r="E20" i="8"/>
  <c r="Q18" i="20" s="1"/>
  <c r="V20" i="8"/>
  <c r="U20" i="8"/>
  <c r="K20" i="8"/>
  <c r="T18" i="20" s="1"/>
  <c r="Z20" i="8"/>
  <c r="Y20" i="8" s="1"/>
  <c r="Q20" i="8"/>
  <c r="P20" i="8"/>
  <c r="K124" i="8"/>
  <c r="Y78" i="8"/>
  <c r="X78" i="8"/>
  <c r="E79" i="8"/>
  <c r="W19" i="20" s="1"/>
  <c r="H19" i="8"/>
  <c r="X18" i="8"/>
  <c r="J25" i="1"/>
  <c r="C37" i="1"/>
  <c r="E36" i="1"/>
  <c r="D36" i="1"/>
  <c r="F36" i="1"/>
  <c r="T104" i="20"/>
  <c r="T103" i="20"/>
  <c r="T108" i="20" s="1"/>
  <c r="T102" i="20"/>
  <c r="T106" i="20" s="1"/>
  <c r="H90" i="20"/>
  <c r="H89" i="20"/>
  <c r="H88" i="20"/>
  <c r="K66" i="20"/>
  <c r="L66" i="20" s="1"/>
  <c r="K65" i="20"/>
  <c r="L65" i="20" s="1"/>
  <c r="T6" i="15"/>
  <c r="P9" i="20"/>
  <c r="AP6" i="1"/>
  <c r="Z6" i="1" s="1"/>
  <c r="X7" i="15"/>
  <c r="O7" i="15"/>
  <c r="V7" i="1"/>
  <c r="AQ7" i="1"/>
  <c r="AH7" i="1"/>
  <c r="AI6" i="15"/>
  <c r="AA6" i="15"/>
  <c r="AB6" i="15" s="1"/>
  <c r="I70" i="20"/>
  <c r="I71" i="20"/>
  <c r="I72" i="20" s="1"/>
  <c r="I66" i="20"/>
  <c r="Q63" i="1"/>
  <c r="R40" i="1" s="1"/>
  <c r="U40" i="1" s="1"/>
  <c r="O64" i="1"/>
  <c r="O65" i="1" s="1"/>
  <c r="R63" i="1"/>
  <c r="S63" i="1"/>
  <c r="P63" i="1"/>
  <c r="Q40" i="1" s="1"/>
  <c r="S40" i="1" s="1"/>
  <c r="G42" i="1"/>
  <c r="F42" i="1"/>
  <c r="L64" i="20"/>
  <c r="Z7" i="15"/>
  <c r="R7" i="15"/>
  <c r="N7" i="15"/>
  <c r="AO7" i="15"/>
  <c r="AH7" i="15"/>
  <c r="L123" i="8"/>
  <c r="G77" i="8"/>
  <c r="B43" i="23"/>
  <c r="M8" i="15"/>
  <c r="AL8" i="15"/>
  <c r="AM8" i="15" s="1"/>
  <c r="D8" i="15"/>
  <c r="F8" i="15" s="1"/>
  <c r="E105" i="20"/>
  <c r="C8" i="15"/>
  <c r="E86" i="15"/>
  <c r="E9" i="15"/>
  <c r="AF8" i="15"/>
  <c r="AQ8" i="15" s="1"/>
  <c r="H85" i="15"/>
  <c r="G85" i="15"/>
  <c r="F85" i="15"/>
  <c r="I26" i="1"/>
  <c r="AP5" i="15"/>
  <c r="AR5" i="15" s="1"/>
  <c r="AJ5" i="15"/>
  <c r="G36" i="1"/>
  <c r="D42" i="23"/>
  <c r="K7" i="15"/>
  <c r="H42" i="23" s="1"/>
  <c r="J7" i="15"/>
  <c r="G41" i="23"/>
  <c r="I87" i="20"/>
  <c r="P6" i="15"/>
  <c r="I41" i="23" s="1"/>
  <c r="I84" i="15"/>
  <c r="X19" i="22"/>
  <c r="U17" i="20"/>
  <c r="Y16" i="15"/>
  <c r="AN15" i="15" s="1"/>
  <c r="AG15" i="15"/>
  <c r="G39" i="23"/>
  <c r="P4" i="15"/>
  <c r="I39" i="23" s="1"/>
  <c r="AB4" i="15"/>
  <c r="N10" i="1"/>
  <c r="Q11" i="1"/>
  <c r="D11" i="1"/>
  <c r="A8" i="1"/>
  <c r="I73" i="22"/>
  <c r="AJ78" i="8"/>
  <c r="C125" i="8"/>
  <c r="AN80" i="8"/>
  <c r="AG80" i="8"/>
  <c r="AA80" i="8"/>
  <c r="O80" i="8"/>
  <c r="I80" i="8"/>
  <c r="A80" i="8"/>
  <c r="V79" i="8"/>
  <c r="C79" i="8"/>
  <c r="B22" i="8"/>
  <c r="N21" i="8"/>
  <c r="I21" i="8"/>
  <c r="C21" i="8"/>
  <c r="Y7" i="22"/>
  <c r="AA7" i="22" s="1"/>
  <c r="Q7" i="22"/>
  <c r="T7" i="22" s="1"/>
  <c r="M8" i="22"/>
  <c r="AH1540" i="6"/>
  <c r="AG1540" i="6"/>
  <c r="AE1540" i="6"/>
  <c r="AF1540" i="6" s="1"/>
  <c r="AC1540" i="6"/>
  <c r="AA1540" i="6"/>
  <c r="Z1540" i="6" s="1"/>
  <c r="Y1541" i="6"/>
  <c r="H74" i="22"/>
  <c r="G74" i="22"/>
  <c r="F74" i="22"/>
  <c r="AD1539" i="6"/>
  <c r="AB1539" i="6"/>
  <c r="E9" i="22"/>
  <c r="L8" i="22"/>
  <c r="W8" i="22" s="1"/>
  <c r="J8" i="22"/>
  <c r="E75" i="22"/>
  <c r="D8" i="22"/>
  <c r="F8" i="22" s="1"/>
  <c r="C8" i="22"/>
  <c r="H17" i="15"/>
  <c r="F52" i="23" s="1"/>
  <c r="R17" i="20"/>
  <c r="G17" i="15"/>
  <c r="E52" i="23" s="1"/>
  <c r="U6" i="22"/>
  <c r="AB5" i="22"/>
  <c r="AC5" i="22" s="1"/>
  <c r="O7" i="22"/>
  <c r="V21" i="8" a="1"/>
  <c r="Y79" i="8" a="1"/>
  <c r="F125" i="8" a="1"/>
  <c r="Q80" i="8" a="1"/>
  <c r="K21" i="8" a="1"/>
  <c r="E80" i="8" a="1"/>
  <c r="K80" i="8" a="1"/>
  <c r="P21" i="8" a="1"/>
  <c r="U21" i="8" a="1"/>
  <c r="R80" i="8" a="1"/>
  <c r="AD80" i="8" a="1"/>
  <c r="AC80" i="8" a="1"/>
  <c r="E21" i="8" a="1"/>
  <c r="Q21" i="8" a="1"/>
  <c r="X79" i="8" a="1"/>
  <c r="E125" i="8" a="1"/>
  <c r="P65" i="1" l="1"/>
  <c r="O66" i="1"/>
  <c r="R65" i="1"/>
  <c r="S65" i="1"/>
  <c r="Q65" i="1"/>
  <c r="V40" i="1"/>
  <c r="R38" i="1"/>
  <c r="U38" i="1" s="1"/>
  <c r="V38" i="1" s="1"/>
  <c r="U37" i="1"/>
  <c r="V37" i="1" s="1"/>
  <c r="A12" i="18"/>
  <c r="X12" i="13"/>
  <c r="M11" i="18"/>
  <c r="O11" i="18"/>
  <c r="K11" i="18"/>
  <c r="F11" i="18" s="1"/>
  <c r="J11" i="18"/>
  <c r="E11" i="18" s="1"/>
  <c r="N11" i="18"/>
  <c r="AB11" i="13"/>
  <c r="P10" i="18"/>
  <c r="Q10" i="18" s="1"/>
  <c r="J26" i="1"/>
  <c r="J33" i="1" s="1"/>
  <c r="I74" i="22"/>
  <c r="AS78" i="8"/>
  <c r="K125" i="8"/>
  <c r="Y79" i="8"/>
  <c r="X79" i="8"/>
  <c r="E80" i="8"/>
  <c r="W20" i="20" s="1"/>
  <c r="K80" i="8"/>
  <c r="X20" i="20" s="1"/>
  <c r="R80" i="8"/>
  <c r="S80" i="8" s="1"/>
  <c r="Q80" i="8"/>
  <c r="AD80" i="8"/>
  <c r="AC80" i="8"/>
  <c r="AI80" i="8"/>
  <c r="AP80" i="8"/>
  <c r="F125" i="8"/>
  <c r="H125" i="8" s="1"/>
  <c r="E125" i="8"/>
  <c r="E21" i="8"/>
  <c r="Q19" i="20" s="1"/>
  <c r="V21" i="8"/>
  <c r="U21" i="8"/>
  <c r="T79" i="8"/>
  <c r="K21" i="8"/>
  <c r="T19" i="20" s="1"/>
  <c r="Z21" i="8"/>
  <c r="Y21" i="8" s="1"/>
  <c r="Q21" i="8"/>
  <c r="P21" i="8"/>
  <c r="T7" i="15"/>
  <c r="K72" i="20"/>
  <c r="L72" i="20" s="1"/>
  <c r="Y8" i="22"/>
  <c r="AA8" i="22" s="1"/>
  <c r="Q8" i="22"/>
  <c r="T8" i="22" s="1"/>
  <c r="C38" i="1"/>
  <c r="I38" i="1" s="1"/>
  <c r="E37" i="1"/>
  <c r="D37" i="1"/>
  <c r="F37" i="1"/>
  <c r="G37" i="1"/>
  <c r="H37" i="1"/>
  <c r="AA7" i="15"/>
  <c r="AB7" i="15" s="1"/>
  <c r="AI7" i="15"/>
  <c r="U18" i="20"/>
  <c r="AG16" i="15"/>
  <c r="G75" i="22"/>
  <c r="H75" i="22"/>
  <c r="F75" i="22"/>
  <c r="I90" i="20"/>
  <c r="I89" i="20"/>
  <c r="I88" i="20"/>
  <c r="I34" i="1"/>
  <c r="O8" i="22"/>
  <c r="X23" i="1"/>
  <c r="AB23" i="1" s="1"/>
  <c r="Y23" i="1" s="1"/>
  <c r="X6" i="1"/>
  <c r="AB6" i="1" s="1"/>
  <c r="O6" i="1" s="1"/>
  <c r="I36" i="1"/>
  <c r="N65" i="20"/>
  <c r="M65" i="20"/>
  <c r="I37" i="1"/>
  <c r="L9" i="22"/>
  <c r="W9" i="22" s="1"/>
  <c r="J9" i="22"/>
  <c r="D9" i="22"/>
  <c r="F9" i="22" s="1"/>
  <c r="C9" i="22"/>
  <c r="E76" i="22"/>
  <c r="E10" i="22"/>
  <c r="G42" i="23"/>
  <c r="P7" i="15"/>
  <c r="I42" i="23" s="1"/>
  <c r="N66" i="20"/>
  <c r="M66" i="20"/>
  <c r="I35" i="1"/>
  <c r="N64" i="20"/>
  <c r="M64" i="20"/>
  <c r="K25" i="1"/>
  <c r="H18" i="15"/>
  <c r="F53" i="23" s="1"/>
  <c r="R18" i="20"/>
  <c r="G18" i="15"/>
  <c r="E53" i="23" s="1"/>
  <c r="AT5" i="15"/>
  <c r="I33" i="1"/>
  <c r="AG1541" i="6"/>
  <c r="AE1541" i="6"/>
  <c r="AF1541" i="6" s="1"/>
  <c r="AA1541" i="6"/>
  <c r="Z1541" i="6" s="1"/>
  <c r="Y1542" i="6"/>
  <c r="AH1541" i="6"/>
  <c r="AC1541" i="6"/>
  <c r="H20" i="8"/>
  <c r="X19" i="8"/>
  <c r="Q12" i="1"/>
  <c r="A10" i="1"/>
  <c r="D12" i="1"/>
  <c r="S64" i="1"/>
  <c r="R64" i="1"/>
  <c r="Q64" i="1"/>
  <c r="P64" i="1"/>
  <c r="AB1540" i="6"/>
  <c r="AD1540" i="6"/>
  <c r="N11" i="1"/>
  <c r="I85" i="15"/>
  <c r="P10" i="20"/>
  <c r="T78" i="8"/>
  <c r="AQ79" i="8"/>
  <c r="V95" i="15"/>
  <c r="AC95" i="15" s="1"/>
  <c r="V91" i="15"/>
  <c r="AC91" i="15" s="1"/>
  <c r="V94" i="15"/>
  <c r="AC94" i="15" s="1"/>
  <c r="V93" i="15"/>
  <c r="AC93" i="15" s="1"/>
  <c r="V92" i="15"/>
  <c r="AC92" i="15" s="1"/>
  <c r="B44" i="23"/>
  <c r="E10" i="15"/>
  <c r="E87" i="15"/>
  <c r="D9" i="15"/>
  <c r="F9" i="15" s="1"/>
  <c r="C9" i="15"/>
  <c r="AF9" i="15"/>
  <c r="AQ9" i="15" s="1"/>
  <c r="M9" i="15"/>
  <c r="E106" i="20"/>
  <c r="AL9" i="15"/>
  <c r="AM9" i="15" s="1"/>
  <c r="K70" i="20"/>
  <c r="K71" i="20"/>
  <c r="L71" i="20" s="1"/>
  <c r="AJ79" i="8"/>
  <c r="H86" i="15"/>
  <c r="G86" i="15"/>
  <c r="F86" i="15"/>
  <c r="I75" i="20"/>
  <c r="I76" i="20"/>
  <c r="I77" i="20" s="1"/>
  <c r="U7" i="22"/>
  <c r="AB6" i="22"/>
  <c r="AC6" i="22" s="1"/>
  <c r="N8" i="15"/>
  <c r="AH8" i="15"/>
  <c r="AO8" i="15"/>
  <c r="Z8" i="15"/>
  <c r="R8" i="15"/>
  <c r="M78" i="8"/>
  <c r="Y19" i="20"/>
  <c r="D43" i="23"/>
  <c r="K8" i="15"/>
  <c r="H43" i="23" s="1"/>
  <c r="J8" i="15"/>
  <c r="AJ6" i="15"/>
  <c r="AP6" i="15"/>
  <c r="AR6" i="15" s="1"/>
  <c r="O8" i="15"/>
  <c r="T8" i="15" s="1"/>
  <c r="X8" i="15"/>
  <c r="S6" i="15"/>
  <c r="U6" i="15" s="1"/>
  <c r="AO7" i="1"/>
  <c r="AG7" i="1"/>
  <c r="AA7" i="1" s="1"/>
  <c r="L124" i="8"/>
  <c r="G78" i="8"/>
  <c r="AI7" i="1"/>
  <c r="R7" i="1"/>
  <c r="P7" i="1" s="1"/>
  <c r="S7" i="1" s="1"/>
  <c r="U8" i="1"/>
  <c r="C126" i="8"/>
  <c r="AN81" i="8"/>
  <c r="AG81" i="8"/>
  <c r="AA81" i="8"/>
  <c r="O81" i="8"/>
  <c r="I81" i="8"/>
  <c r="A81" i="8"/>
  <c r="V80" i="8"/>
  <c r="C80" i="8"/>
  <c r="B23" i="8"/>
  <c r="N22" i="8"/>
  <c r="I22" i="8"/>
  <c r="C22" i="8"/>
  <c r="M79" i="8"/>
  <c r="K81" i="8" a="1"/>
  <c r="Q81" i="8" a="1"/>
  <c r="X80" i="8" a="1"/>
  <c r="U22" i="8" a="1"/>
  <c r="P22" i="8" a="1"/>
  <c r="E126" i="8" a="1"/>
  <c r="E22" i="8" a="1"/>
  <c r="V22" i="8" a="1"/>
  <c r="E81" i="8" a="1"/>
  <c r="AD81" i="8" a="1"/>
  <c r="F126" i="8" a="1"/>
  <c r="AC81" i="8" a="1"/>
  <c r="K22" i="8" a="1"/>
  <c r="R81" i="8" a="1"/>
  <c r="Q22" i="8" a="1"/>
  <c r="Y80" i="8" a="1"/>
  <c r="P66" i="1" l="1"/>
  <c r="Q66" i="1"/>
  <c r="R66" i="1"/>
  <c r="S66" i="1"/>
  <c r="O67" i="1"/>
  <c r="J34" i="1"/>
  <c r="J35" i="1"/>
  <c r="J37" i="1"/>
  <c r="S58" i="1"/>
  <c r="Q58" i="1"/>
  <c r="R58" i="1"/>
  <c r="P58" i="1"/>
  <c r="J36" i="1"/>
  <c r="P11" i="18"/>
  <c r="Q11" i="18" s="1"/>
  <c r="AB12" i="13"/>
  <c r="N12" i="18"/>
  <c r="K12" i="18"/>
  <c r="F12" i="18" s="1"/>
  <c r="J12" i="18"/>
  <c r="E12" i="18" s="1"/>
  <c r="Z40" i="15"/>
  <c r="AO37" i="15"/>
  <c r="AO40" i="15"/>
  <c r="AO31" i="15"/>
  <c r="O12" i="18"/>
  <c r="M12" i="18"/>
  <c r="AO33" i="15"/>
  <c r="AO39" i="15"/>
  <c r="AO25" i="15"/>
  <c r="AO34" i="15"/>
  <c r="AO36" i="15"/>
  <c r="AO30" i="15"/>
  <c r="AO29" i="15"/>
  <c r="X13" i="13"/>
  <c r="AO28" i="15"/>
  <c r="AO27" i="15"/>
  <c r="AO38" i="15"/>
  <c r="AO32" i="15"/>
  <c r="AO35" i="15"/>
  <c r="AO26" i="15"/>
  <c r="AS79" i="8"/>
  <c r="E22" i="8"/>
  <c r="Q20" i="20" s="1"/>
  <c r="V22" i="8"/>
  <c r="U22" i="8"/>
  <c r="K22" i="8"/>
  <c r="T20" i="20" s="1"/>
  <c r="Z22" i="8"/>
  <c r="Y22" i="8" s="1"/>
  <c r="Q22" i="8"/>
  <c r="P22" i="8"/>
  <c r="K126" i="8"/>
  <c r="Y80" i="8"/>
  <c r="X80" i="8"/>
  <c r="E81" i="8"/>
  <c r="W21" i="20" s="1"/>
  <c r="K81" i="8"/>
  <c r="X21" i="20" s="1"/>
  <c r="AD81" i="8"/>
  <c r="AC81" i="8"/>
  <c r="R81" i="8"/>
  <c r="S81" i="8" s="1"/>
  <c r="Q81" i="8"/>
  <c r="AI81" i="8"/>
  <c r="AP81" i="8"/>
  <c r="F126" i="8"/>
  <c r="H126" i="8" s="1"/>
  <c r="E126" i="8"/>
  <c r="AC1542" i="6"/>
  <c r="AG1542" i="6"/>
  <c r="Y1543" i="6"/>
  <c r="AH1542" i="6"/>
  <c r="AE1542" i="6"/>
  <c r="AF1542" i="6" s="1"/>
  <c r="AA1542" i="6"/>
  <c r="Z1542" i="6" s="1"/>
  <c r="X20" i="22"/>
  <c r="Y17" i="15"/>
  <c r="AN16" i="15" s="1"/>
  <c r="H19" i="15"/>
  <c r="F54" i="23" s="1"/>
  <c r="R19" i="20"/>
  <c r="G19" i="15"/>
  <c r="E54" i="23" s="1"/>
  <c r="I86" i="15"/>
  <c r="E77" i="22"/>
  <c r="L10" i="22"/>
  <c r="W10" i="22" s="1"/>
  <c r="J10" i="22"/>
  <c r="D10" i="22"/>
  <c r="F10" i="22" s="1"/>
  <c r="E11" i="22"/>
  <c r="C10" i="22"/>
  <c r="AP7" i="15"/>
  <c r="AR7" i="15" s="1"/>
  <c r="AJ7" i="15"/>
  <c r="I42" i="1"/>
  <c r="H42" i="1"/>
  <c r="G76" i="22"/>
  <c r="F76" i="22"/>
  <c r="H76" i="22"/>
  <c r="C127" i="8"/>
  <c r="AN82" i="8"/>
  <c r="AG82" i="8"/>
  <c r="AA82" i="8"/>
  <c r="O82" i="8"/>
  <c r="I82" i="8"/>
  <c r="A82" i="8"/>
  <c r="V81" i="8"/>
  <c r="C81" i="8"/>
  <c r="B24" i="8"/>
  <c r="N23" i="8"/>
  <c r="I23" i="8"/>
  <c r="C23" i="8"/>
  <c r="M9" i="22"/>
  <c r="O9" i="22" s="1"/>
  <c r="Y9" i="22"/>
  <c r="AA9" i="22" s="1"/>
  <c r="Q9" i="22"/>
  <c r="T9" i="22" s="1"/>
  <c r="AQ80" i="8"/>
  <c r="K76" i="20"/>
  <c r="L76" i="20" s="1"/>
  <c r="K75" i="20"/>
  <c r="L75" i="20" s="1"/>
  <c r="L70" i="20"/>
  <c r="P11" i="20"/>
  <c r="AJ80" i="8"/>
  <c r="C39" i="1"/>
  <c r="E38" i="1"/>
  <c r="F38" i="1"/>
  <c r="D38" i="1"/>
  <c r="G38" i="1"/>
  <c r="H38" i="1"/>
  <c r="AI8" i="15"/>
  <c r="AA8" i="15"/>
  <c r="AB8" i="15" s="1"/>
  <c r="AB7" i="22"/>
  <c r="AC7" i="22" s="1"/>
  <c r="U8" i="22"/>
  <c r="O9" i="15"/>
  <c r="T9" i="15" s="1"/>
  <c r="X9" i="15"/>
  <c r="S7" i="15"/>
  <c r="U7" i="15" s="1"/>
  <c r="AH9" i="15"/>
  <c r="N9" i="15"/>
  <c r="AO9" i="15"/>
  <c r="Z9" i="15"/>
  <c r="R9" i="15"/>
  <c r="D44" i="23"/>
  <c r="K9" i="15"/>
  <c r="H44" i="23" s="1"/>
  <c r="J9" i="15"/>
  <c r="J38" i="1"/>
  <c r="AT6" i="15"/>
  <c r="H87" i="15"/>
  <c r="G87" i="15"/>
  <c r="F87" i="15"/>
  <c r="T80" i="8"/>
  <c r="AQ8" i="1"/>
  <c r="AH8" i="1"/>
  <c r="V8" i="1"/>
  <c r="B45" i="23"/>
  <c r="E107" i="20"/>
  <c r="M10" i="15"/>
  <c r="E88" i="15"/>
  <c r="D10" i="15"/>
  <c r="F10" i="15" s="1"/>
  <c r="C10" i="15"/>
  <c r="E11" i="15"/>
  <c r="AL10" i="15"/>
  <c r="AM10" i="15" s="1"/>
  <c r="AF10" i="15"/>
  <c r="AQ10" i="15" s="1"/>
  <c r="G43" i="23"/>
  <c r="P8" i="15"/>
  <c r="I43" i="23" s="1"/>
  <c r="AP7" i="1"/>
  <c r="X7" i="1" s="1"/>
  <c r="J41" i="23"/>
  <c r="V6" i="15"/>
  <c r="AC5" i="15"/>
  <c r="AD5" i="15" s="1"/>
  <c r="F102" i="20" s="1"/>
  <c r="M80" i="8"/>
  <c r="Y20" i="20"/>
  <c r="N12" i="1"/>
  <c r="L25" i="1"/>
  <c r="Q14" i="1"/>
  <c r="A11" i="1"/>
  <c r="D13" i="1"/>
  <c r="Y18" i="15"/>
  <c r="AN17" i="15" s="1"/>
  <c r="X21" i="22"/>
  <c r="U19" i="20"/>
  <c r="AG17" i="15"/>
  <c r="H21" i="8"/>
  <c r="X20" i="8"/>
  <c r="K26" i="1"/>
  <c r="I75" i="22"/>
  <c r="AD1541" i="6"/>
  <c r="AB1541" i="6"/>
  <c r="L125" i="8"/>
  <c r="G79" i="8"/>
  <c r="F127" i="8" a="1"/>
  <c r="Q23" i="8" a="1"/>
  <c r="K82" i="8" a="1"/>
  <c r="AD82" i="8" a="1"/>
  <c r="V23" i="8" a="1"/>
  <c r="E23" i="8" a="1"/>
  <c r="AC82" i="8" a="1"/>
  <c r="U23" i="8" a="1"/>
  <c r="K23" i="8" a="1"/>
  <c r="E82" i="8" a="1"/>
  <c r="X81" i="8" a="1"/>
  <c r="Q82" i="8" a="1"/>
  <c r="Y81" i="8" a="1"/>
  <c r="E127" i="8" a="1"/>
  <c r="P23" i="8" a="1"/>
  <c r="R82" i="8" a="1"/>
  <c r="Q67" i="1" l="1"/>
  <c r="P67" i="1"/>
  <c r="S67" i="1"/>
  <c r="R67" i="1"/>
  <c r="K39" i="1"/>
  <c r="AB13" i="13"/>
  <c r="P12" i="18"/>
  <c r="Q12" i="18" s="1"/>
  <c r="K35" i="1"/>
  <c r="K37" i="1"/>
  <c r="K33" i="1"/>
  <c r="J42" i="1" s="1"/>
  <c r="I87" i="15"/>
  <c r="Y21" i="20"/>
  <c r="J42" i="23"/>
  <c r="V7" i="15"/>
  <c r="AC6" i="15"/>
  <c r="AD6" i="15" s="1"/>
  <c r="F103" i="20" s="1"/>
  <c r="AT7" i="15"/>
  <c r="AJ81" i="8"/>
  <c r="E23" i="8"/>
  <c r="Q21" i="20" s="1"/>
  <c r="Q23" i="8"/>
  <c r="P23" i="8"/>
  <c r="K127" i="8"/>
  <c r="Y81" i="8"/>
  <c r="X81" i="8"/>
  <c r="V23" i="8"/>
  <c r="U23" i="8"/>
  <c r="K23" i="8"/>
  <c r="T21" i="20" s="1"/>
  <c r="Z23" i="8"/>
  <c r="Y23" i="8" s="1"/>
  <c r="E82" i="8"/>
  <c r="W22" i="20" s="1"/>
  <c r="AD82" i="8"/>
  <c r="AC82" i="8"/>
  <c r="AI82" i="8"/>
  <c r="K82" i="8"/>
  <c r="X22" i="20" s="1"/>
  <c r="R82" i="8"/>
  <c r="Q82" i="8"/>
  <c r="AP82" i="8"/>
  <c r="F127" i="8"/>
  <c r="H127" i="8" s="1"/>
  <c r="E127" i="8"/>
  <c r="AI9" i="15"/>
  <c r="AA9" i="15"/>
  <c r="AB9" i="15" s="1"/>
  <c r="B46" i="23"/>
  <c r="E12" i="15"/>
  <c r="M11" i="15"/>
  <c r="E89" i="15"/>
  <c r="D11" i="15"/>
  <c r="F11" i="15" s="1"/>
  <c r="C11" i="15"/>
  <c r="E108" i="20"/>
  <c r="AL11" i="15"/>
  <c r="AM11" i="15" s="1"/>
  <c r="AF11" i="15"/>
  <c r="AQ11" i="15" s="1"/>
  <c r="N14" i="1"/>
  <c r="R10" i="15"/>
  <c r="N10" i="15"/>
  <c r="Z10" i="15"/>
  <c r="AO10" i="15"/>
  <c r="AH10" i="15"/>
  <c r="H88" i="15"/>
  <c r="G88" i="15"/>
  <c r="F88" i="15"/>
  <c r="AO8" i="1"/>
  <c r="AG8" i="1"/>
  <c r="AA8" i="1" s="1"/>
  <c r="X10" i="15"/>
  <c r="O10" i="15"/>
  <c r="T10" i="15" s="1"/>
  <c r="S8" i="15"/>
  <c r="U8" i="15" s="1"/>
  <c r="V8" i="15" s="1"/>
  <c r="AP8" i="15"/>
  <c r="AR8" i="15" s="1"/>
  <c r="AJ8" i="15"/>
  <c r="C128" i="8"/>
  <c r="AN83" i="8"/>
  <c r="AG83" i="8"/>
  <c r="AA83" i="8"/>
  <c r="O83" i="8"/>
  <c r="I83" i="8"/>
  <c r="A83" i="8"/>
  <c r="V82" i="8"/>
  <c r="C82" i="8"/>
  <c r="B25" i="8"/>
  <c r="N24" i="8"/>
  <c r="I24" i="8"/>
  <c r="C24" i="8"/>
  <c r="D45" i="23"/>
  <c r="K10" i="15"/>
  <c r="H45" i="23" s="1"/>
  <c r="J10" i="15"/>
  <c r="Q15" i="1"/>
  <c r="A12" i="1"/>
  <c r="D15" i="1"/>
  <c r="K38" i="1"/>
  <c r="K36" i="1"/>
  <c r="K34" i="1"/>
  <c r="R8" i="1"/>
  <c r="P8" i="1" s="1"/>
  <c r="S8" i="1" s="1"/>
  <c r="AI8" i="1"/>
  <c r="U10" i="1"/>
  <c r="M81" i="8"/>
  <c r="C40" i="1"/>
  <c r="K40" i="1" s="1"/>
  <c r="E39" i="1"/>
  <c r="F39" i="1"/>
  <c r="D39" i="1"/>
  <c r="G39" i="1"/>
  <c r="H39" i="1"/>
  <c r="J39" i="1"/>
  <c r="I39" i="1"/>
  <c r="Y1544" i="6"/>
  <c r="AH1543" i="6"/>
  <c r="AG1543" i="6"/>
  <c r="AE1543" i="6"/>
  <c r="AF1543" i="6" s="1"/>
  <c r="AA1543" i="6"/>
  <c r="Z1543" i="6" s="1"/>
  <c r="AC1543" i="6"/>
  <c r="AB1542" i="6"/>
  <c r="AD1542" i="6"/>
  <c r="L126" i="8"/>
  <c r="G80" i="8"/>
  <c r="I76" i="22"/>
  <c r="L26" i="1"/>
  <c r="L35" i="1" s="1"/>
  <c r="P12" i="20"/>
  <c r="X22" i="22"/>
  <c r="Y19" i="15"/>
  <c r="AN18" i="15" s="1"/>
  <c r="U20" i="20"/>
  <c r="AG18" i="15"/>
  <c r="G44" i="23"/>
  <c r="P9" i="15"/>
  <c r="I44" i="23" s="1"/>
  <c r="H22" i="8"/>
  <c r="X21" i="8"/>
  <c r="I102" i="20"/>
  <c r="Z7" i="1"/>
  <c r="AB7" i="1" s="1"/>
  <c r="O7" i="1" s="1"/>
  <c r="O9" i="1" s="1"/>
  <c r="Q10" i="22"/>
  <c r="T10" i="22" s="1"/>
  <c r="M10" i="22"/>
  <c r="O10" i="22" s="1"/>
  <c r="Y10" i="22"/>
  <c r="AA10" i="22" s="1"/>
  <c r="E78" i="22"/>
  <c r="D11" i="22"/>
  <c r="F11" i="22" s="1"/>
  <c r="C11" i="22"/>
  <c r="E12" i="22"/>
  <c r="L11" i="22"/>
  <c r="W11" i="22" s="1"/>
  <c r="J11" i="22"/>
  <c r="AS80" i="8"/>
  <c r="AQ81" i="8"/>
  <c r="R20" i="20"/>
  <c r="H20" i="15"/>
  <c r="F55" i="23" s="1"/>
  <c r="G20" i="15"/>
  <c r="E55" i="23" s="1"/>
  <c r="AB8" i="22"/>
  <c r="AC8" i="22" s="1"/>
  <c r="U9" i="22"/>
  <c r="H77" i="22"/>
  <c r="G77" i="22"/>
  <c r="F77" i="22"/>
  <c r="F128" i="8" a="1"/>
  <c r="U24" i="8" a="1"/>
  <c r="AD83" i="8" a="1"/>
  <c r="AC83" i="8" a="1"/>
  <c r="E24" i="8" a="1"/>
  <c r="R83" i="8" a="1"/>
  <c r="Q24" i="8" a="1"/>
  <c r="V24" i="8" a="1"/>
  <c r="Q83" i="8" a="1"/>
  <c r="E128" i="8" a="1"/>
  <c r="K24" i="8" a="1"/>
  <c r="K83" i="8" a="1"/>
  <c r="Y82" i="8" a="1"/>
  <c r="X82" i="8" a="1"/>
  <c r="P24" i="8" a="1"/>
  <c r="E83" i="8" a="1"/>
  <c r="I103" i="20" l="1"/>
  <c r="L34" i="1"/>
  <c r="L38" i="1"/>
  <c r="L36" i="1"/>
  <c r="L39" i="1"/>
  <c r="L33" i="1"/>
  <c r="L42" i="1" s="1"/>
  <c r="Y22" i="20"/>
  <c r="L40" i="1"/>
  <c r="AC7" i="15"/>
  <c r="AD7" i="15" s="1"/>
  <c r="F104" i="20" s="1"/>
  <c r="J43" i="23"/>
  <c r="AS81" i="8"/>
  <c r="E24" i="8"/>
  <c r="Q22" i="20" s="1"/>
  <c r="V24" i="8"/>
  <c r="U24" i="8"/>
  <c r="K24" i="8"/>
  <c r="T22" i="20" s="1"/>
  <c r="Z24" i="8"/>
  <c r="Y24" i="8" s="1"/>
  <c r="Q24" i="8"/>
  <c r="P24" i="8"/>
  <c r="K128" i="8"/>
  <c r="E83" i="8"/>
  <c r="W23" i="20" s="1"/>
  <c r="K83" i="8"/>
  <c r="X23" i="20" s="1"/>
  <c r="R83" i="8"/>
  <c r="Q83" i="8"/>
  <c r="AD83" i="8"/>
  <c r="AC83" i="8"/>
  <c r="AI83" i="8"/>
  <c r="AP83" i="8"/>
  <c r="Y82" i="8"/>
  <c r="X82" i="8"/>
  <c r="F128" i="8"/>
  <c r="H128" i="8" s="1"/>
  <c r="E128" i="8"/>
  <c r="S82" i="8"/>
  <c r="T82" i="8" s="1"/>
  <c r="D12" i="22"/>
  <c r="F12" i="22" s="1"/>
  <c r="C12" i="22"/>
  <c r="E13" i="22"/>
  <c r="E79" i="22"/>
  <c r="L12" i="22"/>
  <c r="W12" i="22" s="1"/>
  <c r="J12" i="22"/>
  <c r="C129" i="8"/>
  <c r="AN84" i="8"/>
  <c r="AG84" i="8"/>
  <c r="AA84" i="8"/>
  <c r="O84" i="8"/>
  <c r="I84" i="8"/>
  <c r="A84" i="8"/>
  <c r="V83" i="8"/>
  <c r="C83" i="8"/>
  <c r="B26" i="8"/>
  <c r="N25" i="8"/>
  <c r="I25" i="8"/>
  <c r="C25" i="8"/>
  <c r="M82" i="8"/>
  <c r="F78" i="22"/>
  <c r="H78" i="22"/>
  <c r="G78" i="22"/>
  <c r="AJ82" i="8"/>
  <c r="AH10" i="1"/>
  <c r="V10" i="1"/>
  <c r="AQ10" i="1"/>
  <c r="AB1543" i="6"/>
  <c r="AD1543" i="6"/>
  <c r="N15" i="1"/>
  <c r="AO11" i="15"/>
  <c r="AH11" i="15"/>
  <c r="Q16" i="1"/>
  <c r="A14" i="1"/>
  <c r="D16" i="1"/>
  <c r="N16" i="1" s="1"/>
  <c r="AA1544" i="6"/>
  <c r="Z1544" i="6" s="1"/>
  <c r="Y1545" i="6"/>
  <c r="AH1544" i="6"/>
  <c r="AG1544" i="6"/>
  <c r="AE1544" i="6"/>
  <c r="AF1544" i="6" s="1"/>
  <c r="AC1544" i="6"/>
  <c r="AT8" i="15"/>
  <c r="H89" i="15"/>
  <c r="G89" i="15"/>
  <c r="F89" i="15"/>
  <c r="Y20" i="15"/>
  <c r="AN19" i="15" s="1"/>
  <c r="X23" i="22"/>
  <c r="U21" i="20"/>
  <c r="AG19" i="15"/>
  <c r="O11" i="15"/>
  <c r="T11" i="15" s="1"/>
  <c r="X11" i="15"/>
  <c r="S9" i="15"/>
  <c r="U9" i="15" s="1"/>
  <c r="V9" i="15" s="1"/>
  <c r="B47" i="23"/>
  <c r="AF12" i="15"/>
  <c r="AQ12" i="15" s="1"/>
  <c r="D12" i="15"/>
  <c r="F12" i="15" s="1"/>
  <c r="AL12" i="15"/>
  <c r="AM12" i="15" s="1"/>
  <c r="C12" i="15"/>
  <c r="E13" i="15"/>
  <c r="E109" i="20"/>
  <c r="E90" i="15"/>
  <c r="M12" i="15"/>
  <c r="AA10" i="15"/>
  <c r="AB10" i="15" s="1"/>
  <c r="AI10" i="15"/>
  <c r="AP9" i="15"/>
  <c r="AR9" i="15" s="1"/>
  <c r="AJ9" i="15"/>
  <c r="E40" i="1"/>
  <c r="F40" i="1"/>
  <c r="D40" i="1"/>
  <c r="G40" i="1"/>
  <c r="H40" i="1"/>
  <c r="I40" i="1"/>
  <c r="J40" i="1"/>
  <c r="L127" i="8"/>
  <c r="G81" i="8"/>
  <c r="I77" i="22"/>
  <c r="I88" i="15"/>
  <c r="AP8" i="1"/>
  <c r="X8" i="1" s="1"/>
  <c r="H23" i="8"/>
  <c r="X22" i="8"/>
  <c r="G45" i="23"/>
  <c r="P10" i="15"/>
  <c r="I45" i="23" s="1"/>
  <c r="U10" i="22"/>
  <c r="AB9" i="22"/>
  <c r="AC9" i="22" s="1"/>
  <c r="P13" i="20"/>
  <c r="L37" i="1"/>
  <c r="T81" i="8"/>
  <c r="AQ82" i="8"/>
  <c r="H21" i="15"/>
  <c r="F56" i="23" s="1"/>
  <c r="R21" i="20"/>
  <c r="G21" i="15"/>
  <c r="E56" i="23" s="1"/>
  <c r="D46" i="23"/>
  <c r="K11" i="15"/>
  <c r="H46" i="23" s="1"/>
  <c r="J11" i="15"/>
  <c r="Q25" i="8" a="1"/>
  <c r="P25" i="8" a="1"/>
  <c r="AC84" i="8" a="1"/>
  <c r="E25" i="8" a="1"/>
  <c r="R84" i="8" a="1"/>
  <c r="AD84" i="8" a="1"/>
  <c r="Y83" i="8" a="1"/>
  <c r="Q84" i="8" a="1"/>
  <c r="E129" i="8" a="1"/>
  <c r="X83" i="8" a="1"/>
  <c r="F129" i="8" a="1"/>
  <c r="E84" i="8" a="1"/>
  <c r="K25" i="8" a="1"/>
  <c r="K84" i="8" a="1"/>
  <c r="V25" i="8" a="1"/>
  <c r="U25" i="8" a="1"/>
  <c r="K42" i="1" l="1"/>
  <c r="I104" i="20"/>
  <c r="AC8" i="15"/>
  <c r="AD8" i="15" s="1"/>
  <c r="F105" i="20" s="1"/>
  <c r="J44" i="23"/>
  <c r="AT9" i="15"/>
  <c r="Y83" i="8"/>
  <c r="X83" i="8"/>
  <c r="E84" i="8"/>
  <c r="W24" i="20" s="1"/>
  <c r="K84" i="8"/>
  <c r="X24" i="20" s="1"/>
  <c r="R84" i="8"/>
  <c r="S84" i="8" s="1"/>
  <c r="Q84" i="8"/>
  <c r="AD84" i="8"/>
  <c r="AC84" i="8"/>
  <c r="AI84" i="8"/>
  <c r="AP84" i="8"/>
  <c r="F129" i="8"/>
  <c r="H129" i="8" s="1"/>
  <c r="E129" i="8"/>
  <c r="E25" i="8"/>
  <c r="Q23" i="20" s="1"/>
  <c r="Q25" i="8"/>
  <c r="P25" i="8"/>
  <c r="V25" i="8"/>
  <c r="U25" i="8"/>
  <c r="K25" i="8"/>
  <c r="T23" i="20" s="1"/>
  <c r="Z25" i="8"/>
  <c r="Y25" i="8" s="1"/>
  <c r="K129" i="8"/>
  <c r="Q17" i="1"/>
  <c r="D17" i="1"/>
  <c r="N17" i="1" s="1"/>
  <c r="A13" i="1"/>
  <c r="AQ83" i="8"/>
  <c r="D47" i="23"/>
  <c r="K12" i="15"/>
  <c r="H47" i="23" s="1"/>
  <c r="J12" i="15"/>
  <c r="AJ83" i="8"/>
  <c r="G46" i="23"/>
  <c r="AI11" i="15"/>
  <c r="AA11" i="15"/>
  <c r="S83" i="8"/>
  <c r="T83" i="8" s="1"/>
  <c r="H79" i="22"/>
  <c r="G79" i="22"/>
  <c r="F79" i="22"/>
  <c r="AS82" i="8"/>
  <c r="L13" i="22"/>
  <c r="W13" i="22" s="1"/>
  <c r="J13" i="22"/>
  <c r="D13" i="22"/>
  <c r="F13" i="22" s="1"/>
  <c r="E14" i="22"/>
  <c r="E80" i="22"/>
  <c r="C13" i="22"/>
  <c r="M83" i="8"/>
  <c r="U11" i="1"/>
  <c r="R10" i="1"/>
  <c r="P10" i="1" s="1"/>
  <c r="S10" i="1" s="1"/>
  <c r="AI10" i="1"/>
  <c r="Y23" i="20"/>
  <c r="AO10" i="1"/>
  <c r="AG10" i="1"/>
  <c r="AA10" i="1" s="1"/>
  <c r="L128" i="8"/>
  <c r="G82" i="8"/>
  <c r="I89" i="15"/>
  <c r="B11" i="15" s="1"/>
  <c r="I78" i="22"/>
  <c r="B11" i="22" s="1"/>
  <c r="P14" i="20"/>
  <c r="AB1544" i="6"/>
  <c r="AD1544" i="6"/>
  <c r="X24" i="22"/>
  <c r="U22" i="20"/>
  <c r="Y21" i="15"/>
  <c r="AN20" i="15" s="1"/>
  <c r="AG20" i="15"/>
  <c r="AJ10" i="15"/>
  <c r="AP10" i="15"/>
  <c r="AR10" i="15" s="1"/>
  <c r="H90" i="15"/>
  <c r="G90" i="15"/>
  <c r="F90" i="15"/>
  <c r="AA1545" i="6"/>
  <c r="Z1545" i="6" s="1"/>
  <c r="AG1545" i="6"/>
  <c r="AC1545" i="6"/>
  <c r="Y1546" i="6"/>
  <c r="AH1545" i="6"/>
  <c r="AE1545" i="6"/>
  <c r="AF1545" i="6" s="1"/>
  <c r="H24" i="8"/>
  <c r="X23" i="8"/>
  <c r="B48" i="23"/>
  <c r="E14" i="15"/>
  <c r="AF13" i="15"/>
  <c r="AQ13" i="15" s="1"/>
  <c r="E91" i="15"/>
  <c r="D13" i="15"/>
  <c r="F13" i="15" s="1"/>
  <c r="C13" i="15"/>
  <c r="E110" i="20"/>
  <c r="AL13" i="15"/>
  <c r="AM13" i="15" s="1"/>
  <c r="M13" i="15"/>
  <c r="C130" i="8"/>
  <c r="AN85" i="8"/>
  <c r="AG85" i="8"/>
  <c r="AA85" i="8"/>
  <c r="O85" i="8"/>
  <c r="I85" i="8"/>
  <c r="A85" i="8"/>
  <c r="V84" i="8"/>
  <c r="C84" i="8"/>
  <c r="B27" i="8"/>
  <c r="N26" i="8"/>
  <c r="I26" i="8"/>
  <c r="C26" i="8"/>
  <c r="H22" i="15"/>
  <c r="F57" i="23" s="1"/>
  <c r="R22" i="20"/>
  <c r="G22" i="15"/>
  <c r="E57" i="23" s="1"/>
  <c r="X12" i="15"/>
  <c r="O12" i="15"/>
  <c r="S10" i="15"/>
  <c r="U10" i="15" s="1"/>
  <c r="Z8" i="1"/>
  <c r="AB8" i="1" s="1"/>
  <c r="O8" i="1" s="1"/>
  <c r="R85" i="8" a="1"/>
  <c r="E26" i="8" a="1"/>
  <c r="K85" i="8" a="1"/>
  <c r="F130" i="8" a="1"/>
  <c r="Q26" i="8" a="1"/>
  <c r="E130" i="8" a="1"/>
  <c r="AD85" i="8" a="1"/>
  <c r="Q85" i="8" a="1"/>
  <c r="P26" i="8" a="1"/>
  <c r="U26" i="8" a="1"/>
  <c r="V26" i="8" a="1"/>
  <c r="X84" i="8" a="1"/>
  <c r="AC85" i="8" a="1"/>
  <c r="E85" i="8" a="1"/>
  <c r="K26" i="8" a="1"/>
  <c r="Y84" i="8" a="1"/>
  <c r="I79" i="22" l="1"/>
  <c r="B12" i="22" s="1"/>
  <c r="M12" i="22" s="1"/>
  <c r="O12" i="22" s="1"/>
  <c r="N11" i="15"/>
  <c r="P11" i="15" s="1"/>
  <c r="I46" i="23" s="1"/>
  <c r="Z11" i="15"/>
  <c r="AB11" i="15" s="1"/>
  <c r="R11" i="15"/>
  <c r="Q12" i="22"/>
  <c r="T12" i="22" s="1"/>
  <c r="AB11" i="22" s="1"/>
  <c r="Y11" i="22"/>
  <c r="AA11" i="22" s="1"/>
  <c r="Q11" i="22"/>
  <c r="T11" i="22" s="1"/>
  <c r="M11" i="22"/>
  <c r="O11" i="22" s="1"/>
  <c r="Y12" i="22"/>
  <c r="AA12" i="22" s="1"/>
  <c r="I105" i="20"/>
  <c r="AC9" i="15"/>
  <c r="AD9" i="15" s="1"/>
  <c r="F106" i="20" s="1"/>
  <c r="J45" i="23"/>
  <c r="V10" i="15"/>
  <c r="AS83" i="8"/>
  <c r="AJ84" i="8"/>
  <c r="Y84" i="8"/>
  <c r="X84" i="8"/>
  <c r="K85" i="8"/>
  <c r="X25" i="20" s="1"/>
  <c r="F130" i="8"/>
  <c r="H130" i="8" s="1"/>
  <c r="E130" i="8"/>
  <c r="E85" i="8"/>
  <c r="W25" i="20" s="1"/>
  <c r="AD85" i="8"/>
  <c r="AC85" i="8"/>
  <c r="AP85" i="8"/>
  <c r="Q26" i="8"/>
  <c r="P26" i="8"/>
  <c r="R85" i="8"/>
  <c r="S85" i="8" s="1"/>
  <c r="Q85" i="8"/>
  <c r="AI85" i="8"/>
  <c r="V26" i="8"/>
  <c r="U26" i="8"/>
  <c r="K26" i="8"/>
  <c r="T24" i="20" s="1"/>
  <c r="Z26" i="8"/>
  <c r="Y26" i="8" s="1"/>
  <c r="K130" i="8"/>
  <c r="E26" i="8"/>
  <c r="Q24" i="20" s="1"/>
  <c r="Y1547" i="6"/>
  <c r="AH1546" i="6"/>
  <c r="AG1546" i="6"/>
  <c r="AE1546" i="6"/>
  <c r="AF1546" i="6" s="1"/>
  <c r="AC1546" i="6"/>
  <c r="AA1546" i="6"/>
  <c r="Z1546" i="6" s="1"/>
  <c r="G47" i="23"/>
  <c r="AT10" i="15"/>
  <c r="H80" i="22"/>
  <c r="G80" i="22"/>
  <c r="F80" i="22"/>
  <c r="AQ84" i="8"/>
  <c r="Q18" i="1"/>
  <c r="D18" i="1"/>
  <c r="N18" i="1" s="1"/>
  <c r="A15" i="1"/>
  <c r="A16" i="1" s="1"/>
  <c r="A17" i="1" s="1"/>
  <c r="X13" i="15"/>
  <c r="O13" i="15"/>
  <c r="T13" i="15" s="1"/>
  <c r="S11" i="15"/>
  <c r="AP10" i="1"/>
  <c r="X10" i="1" s="1"/>
  <c r="C131" i="8"/>
  <c r="AN86" i="8"/>
  <c r="AG86" i="8"/>
  <c r="AA86" i="8"/>
  <c r="O86" i="8"/>
  <c r="I86" i="8"/>
  <c r="A86" i="8"/>
  <c r="V85" i="8"/>
  <c r="C85" i="8"/>
  <c r="B28" i="8"/>
  <c r="N27" i="8"/>
  <c r="I27" i="8"/>
  <c r="C27" i="8"/>
  <c r="AQ11" i="1"/>
  <c r="AH11" i="1"/>
  <c r="V11" i="1"/>
  <c r="D48" i="23"/>
  <c r="J13" i="15"/>
  <c r="K13" i="15"/>
  <c r="H48" i="23" s="1"/>
  <c r="P15" i="20"/>
  <c r="AD1545" i="6"/>
  <c r="AB1545" i="6"/>
  <c r="I90" i="15"/>
  <c r="B12" i="15" s="1"/>
  <c r="T12" i="15"/>
  <c r="K77" i="20"/>
  <c r="L77" i="20" s="1"/>
  <c r="B49" i="23"/>
  <c r="E92" i="15"/>
  <c r="M14" i="15"/>
  <c r="E111" i="20"/>
  <c r="D14" i="15"/>
  <c r="F14" i="15" s="1"/>
  <c r="C14" i="15"/>
  <c r="E15" i="15"/>
  <c r="AL14" i="15"/>
  <c r="AM14" i="15" s="1"/>
  <c r="AF14" i="15"/>
  <c r="AQ14" i="15" s="1"/>
  <c r="H23" i="15"/>
  <c r="F58" i="23" s="1"/>
  <c r="R23" i="20"/>
  <c r="G23" i="15"/>
  <c r="E58" i="23" s="1"/>
  <c r="G91" i="15"/>
  <c r="F91" i="15"/>
  <c r="H91" i="15"/>
  <c r="U23" i="20"/>
  <c r="AG21" i="15"/>
  <c r="Y24" i="20"/>
  <c r="L129" i="8"/>
  <c r="G83" i="8"/>
  <c r="K24" i="15" s="1"/>
  <c r="H59" i="23" s="1"/>
  <c r="AI12" i="15"/>
  <c r="AA12" i="15"/>
  <c r="AP11" i="15"/>
  <c r="AR11" i="15" s="1"/>
  <c r="AJ11" i="15"/>
  <c r="L14" i="22"/>
  <c r="W14" i="22" s="1"/>
  <c r="J14" i="22"/>
  <c r="E81" i="22"/>
  <c r="E15" i="22"/>
  <c r="C14" i="22"/>
  <c r="H25" i="8"/>
  <c r="X24" i="8"/>
  <c r="K27" i="8" a="1"/>
  <c r="X85" i="8" a="1"/>
  <c r="Q86" i="8" a="1"/>
  <c r="K86" i="8" a="1"/>
  <c r="P27" i="8" a="1"/>
  <c r="V27" i="8" a="1"/>
  <c r="E86" i="8" a="1"/>
  <c r="Q27" i="8" a="1"/>
  <c r="F131" i="8" a="1"/>
  <c r="Y85" i="8" a="1"/>
  <c r="U27" i="8" a="1"/>
  <c r="R86" i="8" a="1"/>
  <c r="E27" i="8" a="1"/>
  <c r="E131" i="8" a="1"/>
  <c r="AD86" i="8" a="1"/>
  <c r="AC86" i="8" a="1"/>
  <c r="U11" i="15" l="1"/>
  <c r="J46" i="23" s="1"/>
  <c r="AC11" i="22"/>
  <c r="U12" i="22"/>
  <c r="U11" i="22"/>
  <c r="AB10" i="22"/>
  <c r="AC10" i="22" s="1"/>
  <c r="I80" i="22"/>
  <c r="B13" i="22" s="1"/>
  <c r="Y25" i="20"/>
  <c r="I106" i="20"/>
  <c r="AS84" i="8"/>
  <c r="Q13" i="22"/>
  <c r="T13" i="22" s="1"/>
  <c r="AB12" i="22" s="1"/>
  <c r="AC12" i="22" s="1"/>
  <c r="Y13" i="22"/>
  <c r="AA13" i="22" s="1"/>
  <c r="M13" i="22"/>
  <c r="O13" i="22" s="1"/>
  <c r="I91" i="15"/>
  <c r="B13" i="15" s="1"/>
  <c r="AO12" i="15"/>
  <c r="N12" i="15"/>
  <c r="P12" i="15" s="1"/>
  <c r="I47" i="23" s="1"/>
  <c r="AH12" i="15"/>
  <c r="AJ12" i="15" s="1"/>
  <c r="R12" i="15"/>
  <c r="Z12" i="15"/>
  <c r="AB12" i="15" s="1"/>
  <c r="Z10" i="1"/>
  <c r="AB10" i="1" s="1"/>
  <c r="O10" i="1" s="1"/>
  <c r="V27" i="8"/>
  <c r="U27" i="8"/>
  <c r="K27" i="8"/>
  <c r="T25" i="20" s="1"/>
  <c r="Z27" i="8"/>
  <c r="Y27" i="8" s="1"/>
  <c r="Q27" i="8"/>
  <c r="P27" i="8"/>
  <c r="K131" i="8"/>
  <c r="E86" i="8"/>
  <c r="W26" i="20" s="1"/>
  <c r="AI86" i="8"/>
  <c r="AP86" i="8"/>
  <c r="AD86" i="8"/>
  <c r="AC86" i="8"/>
  <c r="K86" i="8"/>
  <c r="X26" i="20" s="1"/>
  <c r="Y85" i="8"/>
  <c r="X85" i="8"/>
  <c r="R86" i="8"/>
  <c r="Q86" i="8"/>
  <c r="F131" i="8"/>
  <c r="H131" i="8" s="1"/>
  <c r="E131" i="8"/>
  <c r="E27" i="8"/>
  <c r="Q25" i="20" s="1"/>
  <c r="D49" i="23"/>
  <c r="J14" i="15"/>
  <c r="K14" i="15"/>
  <c r="H49" i="23" s="1"/>
  <c r="X26" i="22"/>
  <c r="Y22" i="15"/>
  <c r="AN21" i="15" s="1"/>
  <c r="U24" i="20"/>
  <c r="AG22" i="15"/>
  <c r="X14" i="15"/>
  <c r="O14" i="15"/>
  <c r="T14" i="15" s="1"/>
  <c r="S12" i="15"/>
  <c r="C132" i="8"/>
  <c r="AN87" i="8"/>
  <c r="AG87" i="8"/>
  <c r="AA87" i="8"/>
  <c r="O87" i="8"/>
  <c r="I87" i="8"/>
  <c r="A87" i="8"/>
  <c r="V86" i="8"/>
  <c r="C86" i="8"/>
  <c r="B29" i="8"/>
  <c r="N28" i="8"/>
  <c r="I28" i="8"/>
  <c r="C28" i="8"/>
  <c r="AT11" i="15"/>
  <c r="H92" i="15"/>
  <c r="G92" i="15"/>
  <c r="F92" i="15"/>
  <c r="AJ85" i="8"/>
  <c r="T85" i="8"/>
  <c r="AP12" i="15"/>
  <c r="AB1546" i="6"/>
  <c r="AD1546" i="6"/>
  <c r="AQ85" i="8"/>
  <c r="P16" i="20"/>
  <c r="Y1548" i="6"/>
  <c r="AH1547" i="6"/>
  <c r="AE1547" i="6"/>
  <c r="AF1547" i="6" s="1"/>
  <c r="AC1547" i="6"/>
  <c r="AA1547" i="6"/>
  <c r="Z1547" i="6" s="1"/>
  <c r="AG1547" i="6"/>
  <c r="G48" i="23"/>
  <c r="H81" i="22"/>
  <c r="G81" i="22"/>
  <c r="F81" i="22"/>
  <c r="T84" i="8"/>
  <c r="M85" i="8"/>
  <c r="L130" i="8"/>
  <c r="G84" i="8"/>
  <c r="K25" i="15" s="1"/>
  <c r="H60" i="23" s="1"/>
  <c r="AA13" i="15"/>
  <c r="AI13" i="15"/>
  <c r="R24" i="20"/>
  <c r="H24" i="15"/>
  <c r="F59" i="23" s="1"/>
  <c r="G24" i="15"/>
  <c r="H26" i="8"/>
  <c r="X25" i="8"/>
  <c r="U12" i="1"/>
  <c r="R11" i="1"/>
  <c r="P11" i="1" s="1"/>
  <c r="S11" i="1" s="1"/>
  <c r="AI11" i="1"/>
  <c r="X25" i="22"/>
  <c r="M84" i="8"/>
  <c r="B50" i="23"/>
  <c r="C15" i="15"/>
  <c r="AF15" i="15"/>
  <c r="AQ15" i="15" s="1"/>
  <c r="E16" i="15"/>
  <c r="M15" i="15"/>
  <c r="D15" i="15"/>
  <c r="F15" i="15" s="1"/>
  <c r="AL15" i="15"/>
  <c r="AM15" i="15" s="1"/>
  <c r="E112" i="20"/>
  <c r="E93" i="15"/>
  <c r="AO11" i="1"/>
  <c r="AG11" i="1"/>
  <c r="AA11" i="1" s="1"/>
  <c r="E16" i="22"/>
  <c r="E82" i="22"/>
  <c r="L15" i="22"/>
  <c r="W15" i="22" s="1"/>
  <c r="J15" i="22"/>
  <c r="C15" i="22"/>
  <c r="U28" i="8" a="1"/>
  <c r="E28" i="8" a="1"/>
  <c r="E132" i="8" a="1"/>
  <c r="P28" i="8" a="1"/>
  <c r="E87" i="8" a="1"/>
  <c r="V28" i="8" a="1"/>
  <c r="R87" i="8" a="1"/>
  <c r="F132" i="8" a="1"/>
  <c r="Y86" i="8" a="1"/>
  <c r="K87" i="8" a="1"/>
  <c r="Q87" i="8" a="1"/>
  <c r="AC87" i="8" a="1"/>
  <c r="X86" i="8" a="1"/>
  <c r="Q28" i="8" a="1"/>
  <c r="AD87" i="8" a="1"/>
  <c r="K28" i="8" a="1"/>
  <c r="AC10" i="15" l="1"/>
  <c r="AD10" i="15" s="1"/>
  <c r="F107" i="20" s="1"/>
  <c r="V11" i="15"/>
  <c r="I81" i="22"/>
  <c r="B14" i="22" s="1"/>
  <c r="M14" i="22" s="1"/>
  <c r="O14" i="22" s="1"/>
  <c r="U12" i="15"/>
  <c r="J47" i="23" s="1"/>
  <c r="I92" i="15"/>
  <c r="B14" i="15" s="1"/>
  <c r="AO14" i="15" s="1"/>
  <c r="U13" i="22"/>
  <c r="AR12" i="15"/>
  <c r="AT12" i="15" s="1"/>
  <c r="Z14" i="15"/>
  <c r="AH14" i="15"/>
  <c r="Q14" i="22"/>
  <c r="T14" i="22" s="1"/>
  <c r="U14" i="22" s="1"/>
  <c r="Y14" i="22"/>
  <c r="AA14" i="22" s="1"/>
  <c r="N14" i="15"/>
  <c r="P14" i="15" s="1"/>
  <c r="I49" i="23" s="1"/>
  <c r="AS85" i="8"/>
  <c r="AO13" i="15"/>
  <c r="Z13" i="15"/>
  <c r="AB13" i="15" s="1"/>
  <c r="N13" i="15"/>
  <c r="P13" i="15" s="1"/>
  <c r="I48" i="23" s="1"/>
  <c r="AH13" i="15"/>
  <c r="AJ13" i="15" s="1"/>
  <c r="R13" i="15"/>
  <c r="AQ86" i="8"/>
  <c r="AP87" i="8"/>
  <c r="F132" i="8"/>
  <c r="H132" i="8" s="1"/>
  <c r="E132" i="8"/>
  <c r="AI87" i="8"/>
  <c r="E28" i="8"/>
  <c r="Q26" i="20" s="1"/>
  <c r="V28" i="8"/>
  <c r="U28" i="8"/>
  <c r="K28" i="8"/>
  <c r="T26" i="20" s="1"/>
  <c r="Z28" i="8"/>
  <c r="Y28" i="8" s="1"/>
  <c r="Q28" i="8"/>
  <c r="P28" i="8"/>
  <c r="K132" i="8"/>
  <c r="Y86" i="8"/>
  <c r="X86" i="8"/>
  <c r="E87" i="8"/>
  <c r="W27" i="20" s="1"/>
  <c r="K87" i="8"/>
  <c r="X27" i="20" s="1"/>
  <c r="R87" i="8"/>
  <c r="Q87" i="8"/>
  <c r="AD87" i="8"/>
  <c r="AC87" i="8"/>
  <c r="H27" i="8"/>
  <c r="X26" i="8"/>
  <c r="AG1548" i="6"/>
  <c r="Y1549" i="6"/>
  <c r="AH1548" i="6"/>
  <c r="AE1548" i="6"/>
  <c r="AF1548" i="6" s="1"/>
  <c r="AA1548" i="6"/>
  <c r="Z1548" i="6" s="1"/>
  <c r="AC1548" i="6"/>
  <c r="S86" i="8"/>
  <c r="T86" i="8" s="1"/>
  <c r="P17" i="20"/>
  <c r="E59" i="23"/>
  <c r="J24" i="15"/>
  <c r="H82" i="22"/>
  <c r="G82" i="22"/>
  <c r="F82" i="22"/>
  <c r="AP13" i="15"/>
  <c r="AA14" i="15"/>
  <c r="AI14" i="15"/>
  <c r="C16" i="22"/>
  <c r="E17" i="22"/>
  <c r="L16" i="22"/>
  <c r="W16" i="22" s="1"/>
  <c r="J16" i="22"/>
  <c r="E83" i="22"/>
  <c r="M86" i="8"/>
  <c r="D50" i="23"/>
  <c r="J15" i="15"/>
  <c r="K15" i="15"/>
  <c r="H50" i="23" s="1"/>
  <c r="G49" i="23"/>
  <c r="O15" i="15"/>
  <c r="T15" i="15" s="1"/>
  <c r="X15" i="15"/>
  <c r="S13" i="15"/>
  <c r="AJ86" i="8"/>
  <c r="Y26" i="20"/>
  <c r="H93" i="15"/>
  <c r="G93" i="15"/>
  <c r="F93" i="15"/>
  <c r="B51" i="23"/>
  <c r="E17" i="15"/>
  <c r="D16" i="15"/>
  <c r="F16" i="15" s="1"/>
  <c r="C16" i="15"/>
  <c r="AL16" i="15"/>
  <c r="AM16" i="15" s="1"/>
  <c r="AF16" i="15"/>
  <c r="AQ16" i="15" s="1"/>
  <c r="E113" i="20"/>
  <c r="M16" i="15"/>
  <c r="E94" i="15"/>
  <c r="L131" i="8"/>
  <c r="G85" i="8"/>
  <c r="K26" i="15" s="1"/>
  <c r="H61" i="23" s="1"/>
  <c r="C133" i="8"/>
  <c r="AN88" i="8"/>
  <c r="AG88" i="8"/>
  <c r="AA88" i="8"/>
  <c r="O88" i="8"/>
  <c r="I88" i="8"/>
  <c r="A88" i="8"/>
  <c r="V87" i="8"/>
  <c r="C87" i="8"/>
  <c r="B30" i="8"/>
  <c r="N29" i="8"/>
  <c r="I29" i="8"/>
  <c r="C29" i="8"/>
  <c r="AP11" i="1"/>
  <c r="X11" i="1" s="1"/>
  <c r="H25" i="15"/>
  <c r="F60" i="23" s="1"/>
  <c r="R25" i="20"/>
  <c r="G25" i="15"/>
  <c r="Y23" i="15"/>
  <c r="AN22" i="15" s="1"/>
  <c r="X27" i="22"/>
  <c r="U25" i="20"/>
  <c r="AG23" i="15"/>
  <c r="AD1547" i="6"/>
  <c r="AB1547" i="6"/>
  <c r="V12" i="1"/>
  <c r="AQ12" i="1"/>
  <c r="AH12" i="1"/>
  <c r="P29" i="8" a="1"/>
  <c r="Y87" i="8" a="1"/>
  <c r="U29" i="8" a="1"/>
  <c r="AC88" i="8" a="1"/>
  <c r="K88" i="8" a="1"/>
  <c r="E29" i="8" a="1"/>
  <c r="Q88" i="8" a="1"/>
  <c r="E88" i="8" a="1"/>
  <c r="E133" i="8" a="1"/>
  <c r="K29" i="8" a="1"/>
  <c r="R88" i="8" a="1"/>
  <c r="Q29" i="8" a="1"/>
  <c r="X87" i="8" a="1"/>
  <c r="F133" i="8" a="1"/>
  <c r="V29" i="8" a="1"/>
  <c r="AD88" i="8" a="1"/>
  <c r="R14" i="15" l="1"/>
  <c r="I107" i="20"/>
  <c r="V12" i="15"/>
  <c r="AC11" i="15"/>
  <c r="AD11" i="15" s="1"/>
  <c r="F108" i="20" s="1"/>
  <c r="AR13" i="15"/>
  <c r="AT13" i="15" s="1"/>
  <c r="AB13" i="22"/>
  <c r="AC13" i="22" s="1"/>
  <c r="AB14" i="15"/>
  <c r="AS86" i="8"/>
  <c r="Y27" i="20"/>
  <c r="I82" i="22"/>
  <c r="B15" i="22" s="1"/>
  <c r="U13" i="15"/>
  <c r="AJ87" i="8"/>
  <c r="K133" i="8"/>
  <c r="K88" i="8"/>
  <c r="X28" i="20" s="1"/>
  <c r="Y87" i="8"/>
  <c r="X87" i="8"/>
  <c r="E29" i="8"/>
  <c r="Q27" i="20" s="1"/>
  <c r="V29" i="8"/>
  <c r="U29" i="8"/>
  <c r="K29" i="8"/>
  <c r="T27" i="20" s="1"/>
  <c r="Q29" i="8"/>
  <c r="P29" i="8"/>
  <c r="R88" i="8"/>
  <c r="S88" i="8" s="1"/>
  <c r="Q88" i="8"/>
  <c r="AD88" i="8"/>
  <c r="AC88" i="8"/>
  <c r="AP88" i="8"/>
  <c r="F133" i="8"/>
  <c r="H133" i="8" s="1"/>
  <c r="E133" i="8"/>
  <c r="E88" i="8"/>
  <c r="W28" i="20" s="1"/>
  <c r="AI88" i="8"/>
  <c r="R12" i="1"/>
  <c r="P12" i="1" s="1"/>
  <c r="S12" i="1" s="1"/>
  <c r="U14" i="1"/>
  <c r="AI12" i="1"/>
  <c r="G59" i="23"/>
  <c r="H94" i="15"/>
  <c r="F94" i="15"/>
  <c r="G94" i="15"/>
  <c r="E60" i="23"/>
  <c r="J25" i="15"/>
  <c r="L132" i="8"/>
  <c r="G86" i="8"/>
  <c r="K27" i="15" s="1"/>
  <c r="H62" i="23" s="1"/>
  <c r="X16" i="15"/>
  <c r="O16" i="15"/>
  <c r="T16" i="15" s="1"/>
  <c r="S14" i="15"/>
  <c r="U14" i="15" s="1"/>
  <c r="V14" i="15" s="1"/>
  <c r="P18" i="20"/>
  <c r="U26" i="20"/>
  <c r="AG24" i="15"/>
  <c r="Y1550" i="6"/>
  <c r="AH1549" i="6"/>
  <c r="AG1549" i="6"/>
  <c r="AE1549" i="6"/>
  <c r="AF1549" i="6" s="1"/>
  <c r="AC1549" i="6"/>
  <c r="AA1549" i="6"/>
  <c r="Z1549" i="6" s="1"/>
  <c r="AD1548" i="6"/>
  <c r="AB1548" i="6"/>
  <c r="I93" i="15"/>
  <c r="B15" i="15" s="1"/>
  <c r="H28" i="8"/>
  <c r="X27" i="8"/>
  <c r="L17" i="22"/>
  <c r="W17" i="22" s="1"/>
  <c r="J17" i="22"/>
  <c r="C17" i="22"/>
  <c r="E84" i="22"/>
  <c r="E18" i="22"/>
  <c r="H26" i="15"/>
  <c r="F61" i="23" s="1"/>
  <c r="R26" i="20"/>
  <c r="G26" i="15"/>
  <c r="G50" i="23"/>
  <c r="Z11" i="1"/>
  <c r="AB11" i="1" s="1"/>
  <c r="O11" i="1" s="1"/>
  <c r="D51" i="23"/>
  <c r="J16" i="15"/>
  <c r="K16" i="15"/>
  <c r="H51" i="23" s="1"/>
  <c r="B52" i="23"/>
  <c r="C17" i="15"/>
  <c r="AL17" i="15"/>
  <c r="AM17" i="15" s="1"/>
  <c r="E95" i="15"/>
  <c r="AF17" i="15"/>
  <c r="AQ17" i="15" s="1"/>
  <c r="M17" i="15"/>
  <c r="E18" i="15"/>
  <c r="E114" i="20"/>
  <c r="C134" i="8"/>
  <c r="AN89" i="8"/>
  <c r="AG89" i="8"/>
  <c r="AA89" i="8"/>
  <c r="O89" i="8"/>
  <c r="I89" i="8"/>
  <c r="A89" i="8"/>
  <c r="V88" i="8"/>
  <c r="C88" i="8"/>
  <c r="B31" i="8"/>
  <c r="N30" i="8"/>
  <c r="I30" i="8"/>
  <c r="C30" i="8"/>
  <c r="G83" i="22"/>
  <c r="H83" i="22"/>
  <c r="F83" i="22"/>
  <c r="AJ14" i="15"/>
  <c r="AP14" i="15"/>
  <c r="AR14" i="15" s="1"/>
  <c r="S87" i="8"/>
  <c r="T87" i="8" s="1"/>
  <c r="AG12" i="1"/>
  <c r="AA12" i="1" s="1"/>
  <c r="AO12" i="1"/>
  <c r="AI15" i="15"/>
  <c r="AA15" i="15"/>
  <c r="AQ87" i="8"/>
  <c r="AC89" i="8" a="1"/>
  <c r="E30" i="8" a="1"/>
  <c r="E89" i="8" a="1"/>
  <c r="Q30" i="8" a="1"/>
  <c r="X88" i="8" a="1"/>
  <c r="P30" i="8" a="1"/>
  <c r="F134" i="8" a="1"/>
  <c r="U30" i="8" a="1"/>
  <c r="R89" i="8" a="1"/>
  <c r="Q89" i="8" a="1"/>
  <c r="K30" i="8" a="1"/>
  <c r="E134" i="8" a="1"/>
  <c r="V30" i="8" a="1"/>
  <c r="Y88" i="8" a="1"/>
  <c r="AD89" i="8" a="1"/>
  <c r="K89" i="8" a="1"/>
  <c r="I108" i="20" l="1"/>
  <c r="I94" i="15"/>
  <c r="B16" i="15" s="1"/>
  <c r="Y28" i="20"/>
  <c r="AS87" i="8"/>
  <c r="AO16" i="15"/>
  <c r="AH16" i="15"/>
  <c r="N16" i="15"/>
  <c r="R16" i="15"/>
  <c r="AO15" i="15"/>
  <c r="Z15" i="15"/>
  <c r="AB15" i="15" s="1"/>
  <c r="N15" i="15"/>
  <c r="P15" i="15" s="1"/>
  <c r="I50" i="23" s="1"/>
  <c r="R15" i="15"/>
  <c r="AH15" i="15"/>
  <c r="I83" i="22"/>
  <c r="B16" i="22" s="1"/>
  <c r="J49" i="23"/>
  <c r="AC13" i="15"/>
  <c r="AD13" i="15" s="1"/>
  <c r="I110" i="20" s="1"/>
  <c r="J48" i="23"/>
  <c r="AC12" i="15"/>
  <c r="AD12" i="15" s="1"/>
  <c r="F109" i="20" s="1"/>
  <c r="V13" i="15"/>
  <c r="Y15" i="22"/>
  <c r="AA15" i="22" s="1"/>
  <c r="M15" i="22"/>
  <c r="O15" i="22" s="1"/>
  <c r="Q15" i="22"/>
  <c r="T15" i="22" s="1"/>
  <c r="AJ88" i="8"/>
  <c r="AT14" i="15"/>
  <c r="F134" i="8"/>
  <c r="H134" i="8" s="1"/>
  <c r="E134" i="8"/>
  <c r="AI89" i="8"/>
  <c r="AP89" i="8"/>
  <c r="V30" i="8"/>
  <c r="U30" i="8"/>
  <c r="K30" i="8"/>
  <c r="T28" i="20" s="1"/>
  <c r="Q30" i="8"/>
  <c r="P30" i="8"/>
  <c r="K134" i="8"/>
  <c r="E89" i="8"/>
  <c r="W29" i="20" s="1"/>
  <c r="E30" i="8"/>
  <c r="Q28" i="20" s="1"/>
  <c r="Y88" i="8"/>
  <c r="X88" i="8"/>
  <c r="K89" i="8"/>
  <c r="X29" i="20" s="1"/>
  <c r="R89" i="8"/>
  <c r="Q89" i="8"/>
  <c r="AD89" i="8"/>
  <c r="AC89" i="8"/>
  <c r="H84" i="22"/>
  <c r="G84" i="22"/>
  <c r="F84" i="22"/>
  <c r="AP15" i="15"/>
  <c r="AR15" i="15" s="1"/>
  <c r="AJ15" i="15"/>
  <c r="G60" i="23"/>
  <c r="T88" i="8"/>
  <c r="O17" i="15"/>
  <c r="T17" i="15" s="1"/>
  <c r="X17" i="15"/>
  <c r="S15" i="15"/>
  <c r="Y25" i="15"/>
  <c r="AN24" i="15" s="1"/>
  <c r="X29" i="22"/>
  <c r="U27" i="20"/>
  <c r="AG25" i="15"/>
  <c r="AI16" i="15"/>
  <c r="AA16" i="15"/>
  <c r="H29" i="8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X28" i="8"/>
  <c r="E85" i="22"/>
  <c r="L18" i="22"/>
  <c r="W18" i="22" s="1"/>
  <c r="C18" i="22"/>
  <c r="E19" i="22"/>
  <c r="J18" i="22"/>
  <c r="G51" i="23"/>
  <c r="P16" i="15"/>
  <c r="I51" i="23" s="1"/>
  <c r="R27" i="20"/>
  <c r="H27" i="15"/>
  <c r="F62" i="23" s="1"/>
  <c r="G27" i="15"/>
  <c r="B53" i="23"/>
  <c r="E96" i="15"/>
  <c r="AF18" i="15"/>
  <c r="AQ18" i="15" s="1"/>
  <c r="M18" i="15"/>
  <c r="AL18" i="15"/>
  <c r="AM18" i="15" s="1"/>
  <c r="E115" i="20"/>
  <c r="C18" i="15"/>
  <c r="E19" i="15"/>
  <c r="M87" i="8"/>
  <c r="Y24" i="15"/>
  <c r="V14" i="1"/>
  <c r="AQ14" i="1"/>
  <c r="AH14" i="1"/>
  <c r="X28" i="22"/>
  <c r="AP12" i="1"/>
  <c r="X12" i="1" s="1"/>
  <c r="M88" i="8"/>
  <c r="G95" i="15"/>
  <c r="F95" i="15"/>
  <c r="H95" i="15"/>
  <c r="E61" i="23"/>
  <c r="J26" i="15"/>
  <c r="P19" i="20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P37" i="20" s="1"/>
  <c r="P38" i="20" s="1"/>
  <c r="P39" i="20" s="1"/>
  <c r="P40" i="20" s="1"/>
  <c r="P41" i="20" s="1"/>
  <c r="AB8" i="20" s="1"/>
  <c r="C135" i="8"/>
  <c r="AN90" i="8"/>
  <c r="AG90" i="8"/>
  <c r="AA90" i="8"/>
  <c r="O90" i="8"/>
  <c r="I90" i="8"/>
  <c r="A90" i="8"/>
  <c r="V89" i="8"/>
  <c r="C89" i="8"/>
  <c r="B32" i="8"/>
  <c r="N31" i="8"/>
  <c r="I31" i="8"/>
  <c r="C31" i="8"/>
  <c r="L133" i="8"/>
  <c r="G87" i="8"/>
  <c r="K28" i="15" s="1"/>
  <c r="H63" i="23" s="1"/>
  <c r="AG1550" i="6"/>
  <c r="Y1551" i="6"/>
  <c r="AH1550" i="6"/>
  <c r="AE1550" i="6"/>
  <c r="AF1550" i="6" s="1"/>
  <c r="AC1550" i="6"/>
  <c r="AA1550" i="6"/>
  <c r="Z1550" i="6" s="1"/>
  <c r="AB1549" i="6"/>
  <c r="AD1549" i="6"/>
  <c r="AQ88" i="8"/>
  <c r="P31" i="8" a="1"/>
  <c r="K31" i="8" a="1"/>
  <c r="E31" i="8" a="1"/>
  <c r="R90" i="8" a="1"/>
  <c r="AD90" i="8" a="1"/>
  <c r="E135" i="8" a="1"/>
  <c r="Q90" i="8" a="1"/>
  <c r="U31" i="8" a="1"/>
  <c r="Y89" i="8" a="1"/>
  <c r="E90" i="8" a="1"/>
  <c r="X89" i="8" a="1"/>
  <c r="AC90" i="8" a="1"/>
  <c r="V31" i="8" a="1"/>
  <c r="K90" i="8" a="1"/>
  <c r="Q31" i="8" a="1"/>
  <c r="F135" i="8" a="1"/>
  <c r="S4" i="15" l="1"/>
  <c r="U4" i="15" s="1"/>
  <c r="J39" i="23" s="1"/>
  <c r="S5" i="15"/>
  <c r="U5" i="15" s="1"/>
  <c r="Y29" i="20"/>
  <c r="AS88" i="8"/>
  <c r="AB9" i="20"/>
  <c r="AB11" i="20"/>
  <c r="AB10" i="20"/>
  <c r="AB13" i="20"/>
  <c r="AB12" i="20"/>
  <c r="AB18" i="20"/>
  <c r="AB14" i="20"/>
  <c r="AB16" i="20"/>
  <c r="AB15" i="20"/>
  <c r="I95" i="15"/>
  <c r="B17" i="15" s="1"/>
  <c r="U15" i="22"/>
  <c r="AB14" i="22"/>
  <c r="AC14" i="22" s="1"/>
  <c r="I84" i="22"/>
  <c r="B17" i="22" s="1"/>
  <c r="U15" i="15"/>
  <c r="I109" i="20"/>
  <c r="F110" i="20"/>
  <c r="Q16" i="22"/>
  <c r="T16" i="22" s="1"/>
  <c r="M16" i="22"/>
  <c r="O16" i="22" s="1"/>
  <c r="Z12" i="1"/>
  <c r="AB12" i="1" s="1"/>
  <c r="O12" i="1" s="1"/>
  <c r="AB41" i="20"/>
  <c r="AB39" i="20"/>
  <c r="AT15" i="15"/>
  <c r="E31" i="8"/>
  <c r="Q29" i="20" s="1"/>
  <c r="Q31" i="8"/>
  <c r="P31" i="8"/>
  <c r="E90" i="8"/>
  <c r="W30" i="20" s="1"/>
  <c r="K135" i="8"/>
  <c r="Y89" i="8"/>
  <c r="X89" i="8"/>
  <c r="K90" i="8"/>
  <c r="X30" i="20" s="1"/>
  <c r="AD90" i="8"/>
  <c r="AC90" i="8"/>
  <c r="V31" i="8"/>
  <c r="U31" i="8"/>
  <c r="K31" i="8"/>
  <c r="T29" i="20" s="1"/>
  <c r="R90" i="8"/>
  <c r="S90" i="8" s="1"/>
  <c r="Q90" i="8"/>
  <c r="AI90" i="8"/>
  <c r="AP90" i="8"/>
  <c r="F135" i="8"/>
  <c r="H135" i="8" s="1"/>
  <c r="E135" i="8"/>
  <c r="H96" i="15"/>
  <c r="G96" i="15"/>
  <c r="F96" i="15"/>
  <c r="G61" i="23"/>
  <c r="E62" i="23"/>
  <c r="J27" i="15"/>
  <c r="AI17" i="15"/>
  <c r="AA17" i="15"/>
  <c r="L134" i="8"/>
  <c r="G88" i="8"/>
  <c r="K29" i="15" s="1"/>
  <c r="H64" i="23" s="1"/>
  <c r="H28" i="15"/>
  <c r="F63" i="23" s="1"/>
  <c r="R28" i="20"/>
  <c r="G28" i="15"/>
  <c r="AG1551" i="6"/>
  <c r="AA1551" i="6"/>
  <c r="Z1551" i="6" s="1"/>
  <c r="Y1552" i="6"/>
  <c r="AH1551" i="6"/>
  <c r="AE1551" i="6"/>
  <c r="AF1551" i="6" s="1"/>
  <c r="AC1551" i="6"/>
  <c r="AG14" i="1"/>
  <c r="AA14" i="1" s="1"/>
  <c r="AO14" i="1"/>
  <c r="R14" i="1"/>
  <c r="P14" i="1" s="1"/>
  <c r="S14" i="1" s="1"/>
  <c r="U15" i="1"/>
  <c r="AI14" i="1"/>
  <c r="U28" i="20"/>
  <c r="AG26" i="15"/>
  <c r="X18" i="15"/>
  <c r="O18" i="15"/>
  <c r="T18" i="15" s="1"/>
  <c r="S16" i="15"/>
  <c r="U16" i="15" s="1"/>
  <c r="C136" i="8"/>
  <c r="AN91" i="8"/>
  <c r="AG91" i="8"/>
  <c r="AA91" i="8"/>
  <c r="O91" i="8"/>
  <c r="I91" i="8"/>
  <c r="A91" i="8"/>
  <c r="V90" i="8"/>
  <c r="C90" i="8"/>
  <c r="B33" i="8"/>
  <c r="N32" i="8"/>
  <c r="I32" i="8"/>
  <c r="C32" i="8"/>
  <c r="E20" i="22"/>
  <c r="E86" i="22"/>
  <c r="L19" i="22"/>
  <c r="W19" i="22" s="1"/>
  <c r="J19" i="22"/>
  <c r="C19" i="22"/>
  <c r="AD1550" i="6"/>
  <c r="AB1550" i="6"/>
  <c r="H85" i="22"/>
  <c r="G85" i="22"/>
  <c r="F85" i="22"/>
  <c r="AN23" i="15"/>
  <c r="AQ89" i="8"/>
  <c r="B54" i="23"/>
  <c r="AF19" i="15"/>
  <c r="AQ19" i="15" s="1"/>
  <c r="L73" i="18"/>
  <c r="E97" i="15"/>
  <c r="E20" i="15"/>
  <c r="M19" i="15"/>
  <c r="E116" i="20"/>
  <c r="AL19" i="15"/>
  <c r="AM19" i="15" s="1"/>
  <c r="C19" i="15"/>
  <c r="AJ89" i="8"/>
  <c r="AP16" i="15"/>
  <c r="AR16" i="15" s="1"/>
  <c r="AJ16" i="15"/>
  <c r="S89" i="8"/>
  <c r="AD91" i="8" a="1"/>
  <c r="AC91" i="8" a="1"/>
  <c r="E91" i="8" a="1"/>
  <c r="Q91" i="8" a="1"/>
  <c r="P32" i="8" a="1"/>
  <c r="K91" i="8" a="1"/>
  <c r="U32" i="8" a="1"/>
  <c r="Y90" i="8" a="1"/>
  <c r="F136" i="8" a="1"/>
  <c r="R91" i="8" a="1"/>
  <c r="X90" i="8" a="1"/>
  <c r="K32" i="8" a="1"/>
  <c r="E136" i="8" a="1"/>
  <c r="Q32" i="8" a="1"/>
  <c r="E32" i="8" a="1"/>
  <c r="V32" i="8" a="1"/>
  <c r="I85" i="22" l="1"/>
  <c r="B18" i="22" s="1"/>
  <c r="M18" i="22" s="1"/>
  <c r="O18" i="22" s="1"/>
  <c r="V4" i="15"/>
  <c r="E101" i="20" s="1"/>
  <c r="J40" i="23"/>
  <c r="AC4" i="15"/>
  <c r="AD4" i="15" s="1"/>
  <c r="F101" i="20" s="1"/>
  <c r="V5" i="15"/>
  <c r="J51" i="23"/>
  <c r="AC15" i="15"/>
  <c r="AD15" i="15" s="1"/>
  <c r="Q18" i="22"/>
  <c r="T18" i="22" s="1"/>
  <c r="U18" i="22" s="1"/>
  <c r="I96" i="15"/>
  <c r="B18" i="15" s="1"/>
  <c r="V16" i="15"/>
  <c r="Y17" i="22"/>
  <c r="AA17" i="22" s="1"/>
  <c r="M17" i="22"/>
  <c r="O17" i="22" s="1"/>
  <c r="Y16" i="22"/>
  <c r="AA16" i="22" s="1"/>
  <c r="Q17" i="22"/>
  <c r="T17" i="22" s="1"/>
  <c r="AH17" i="15"/>
  <c r="N17" i="15"/>
  <c r="D17" i="15"/>
  <c r="F17" i="15" s="1"/>
  <c r="Z16" i="15"/>
  <c r="AB16" i="15" s="1"/>
  <c r="R17" i="15"/>
  <c r="AO17" i="15"/>
  <c r="U16" i="22"/>
  <c r="AB15" i="22"/>
  <c r="AC15" i="22" s="1"/>
  <c r="AC14" i="15"/>
  <c r="AD14" i="15" s="1"/>
  <c r="F111" i="20" s="1"/>
  <c r="J50" i="23"/>
  <c r="V15" i="15"/>
  <c r="AJ90" i="8"/>
  <c r="AT16" i="15"/>
  <c r="AP91" i="8"/>
  <c r="F136" i="8"/>
  <c r="H136" i="8" s="1"/>
  <c r="E136" i="8"/>
  <c r="AD91" i="8"/>
  <c r="AC91" i="8"/>
  <c r="R91" i="8"/>
  <c r="S91" i="8" s="1"/>
  <c r="Q91" i="8"/>
  <c r="AI91" i="8"/>
  <c r="E32" i="8"/>
  <c r="Q30" i="20" s="1"/>
  <c r="V32" i="8"/>
  <c r="U32" i="8"/>
  <c r="M90" i="8"/>
  <c r="K32" i="8"/>
  <c r="T30" i="20" s="1"/>
  <c r="Q32" i="8"/>
  <c r="P32" i="8"/>
  <c r="K136" i="8"/>
  <c r="Y90" i="8"/>
  <c r="X90" i="8"/>
  <c r="E91" i="8"/>
  <c r="W31" i="20" s="1"/>
  <c r="K91" i="8"/>
  <c r="X31" i="20" s="1"/>
  <c r="E63" i="23"/>
  <c r="J28" i="15"/>
  <c r="U29" i="20"/>
  <c r="AG27" i="15"/>
  <c r="G62" i="23"/>
  <c r="AP14" i="1"/>
  <c r="X14" i="1" s="1"/>
  <c r="AQ15" i="1"/>
  <c r="AH15" i="1"/>
  <c r="V15" i="1"/>
  <c r="Y26" i="15"/>
  <c r="T89" i="8"/>
  <c r="AP17" i="15"/>
  <c r="AA18" i="15"/>
  <c r="AI18" i="15"/>
  <c r="H86" i="22"/>
  <c r="G86" i="22"/>
  <c r="F86" i="22"/>
  <c r="E87" i="22"/>
  <c r="L20" i="22"/>
  <c r="W20" i="22" s="1"/>
  <c r="J20" i="22"/>
  <c r="C20" i="22"/>
  <c r="E21" i="22"/>
  <c r="M89" i="8"/>
  <c r="L135" i="8"/>
  <c r="G89" i="8"/>
  <c r="K30" i="15" s="1"/>
  <c r="H65" i="23" s="1"/>
  <c r="AD1551" i="6"/>
  <c r="AB1551" i="6"/>
  <c r="Y30" i="20"/>
  <c r="X19" i="15"/>
  <c r="O19" i="15"/>
  <c r="T19" i="15" s="1"/>
  <c r="S17" i="15"/>
  <c r="B55" i="23"/>
  <c r="E21" i="15"/>
  <c r="M20" i="15"/>
  <c r="L74" i="18"/>
  <c r="C20" i="15"/>
  <c r="AL20" i="15"/>
  <c r="AM20" i="15" s="1"/>
  <c r="E98" i="15"/>
  <c r="E117" i="20"/>
  <c r="AF20" i="15"/>
  <c r="AQ20" i="15" s="1"/>
  <c r="F97" i="15"/>
  <c r="H97" i="15"/>
  <c r="G97" i="15"/>
  <c r="C137" i="8"/>
  <c r="AN92" i="8"/>
  <c r="AG92" i="8"/>
  <c r="AA92" i="8"/>
  <c r="O92" i="8"/>
  <c r="I92" i="8"/>
  <c r="A92" i="8"/>
  <c r="V91" i="8"/>
  <c r="C91" i="8"/>
  <c r="B34" i="8"/>
  <c r="N33" i="8"/>
  <c r="I33" i="8"/>
  <c r="C33" i="8"/>
  <c r="K73" i="18"/>
  <c r="I73" i="18" s="1"/>
  <c r="J73" i="18"/>
  <c r="AE1552" i="6"/>
  <c r="AF1552" i="6" s="1"/>
  <c r="AC1552" i="6"/>
  <c r="AA1552" i="6"/>
  <c r="Z1552" i="6" s="1"/>
  <c r="Y1553" i="6"/>
  <c r="AH1552" i="6"/>
  <c r="AG1552" i="6"/>
  <c r="AQ90" i="8"/>
  <c r="H29" i="15"/>
  <c r="F64" i="23" s="1"/>
  <c r="R29" i="20"/>
  <c r="G29" i="15"/>
  <c r="AS89" i="8"/>
  <c r="R92" i="8" a="1"/>
  <c r="AD92" i="8" a="1"/>
  <c r="P33" i="8" a="1"/>
  <c r="AC92" i="8" a="1"/>
  <c r="E33" i="8" a="1"/>
  <c r="K92" i="8" a="1"/>
  <c r="F137" i="8" a="1"/>
  <c r="X91" i="8" a="1"/>
  <c r="Q92" i="8" a="1"/>
  <c r="K33" i="8" a="1"/>
  <c r="E92" i="8" a="1"/>
  <c r="V33" i="8" a="1"/>
  <c r="E137" i="8" a="1"/>
  <c r="U33" i="8" a="1"/>
  <c r="Q33" i="8" a="1"/>
  <c r="Y91" i="8" a="1"/>
  <c r="I97" i="15" l="1"/>
  <c r="B19" i="15" s="1"/>
  <c r="R19" i="15" s="1"/>
  <c r="E102" i="20"/>
  <c r="I101" i="20"/>
  <c r="I112" i="20"/>
  <c r="AB17" i="22"/>
  <c r="AC17" i="22" s="1"/>
  <c r="I111" i="20"/>
  <c r="U17" i="15"/>
  <c r="D52" i="23"/>
  <c r="K17" i="15"/>
  <c r="H52" i="23" s="1"/>
  <c r="J17" i="15"/>
  <c r="D19" i="15"/>
  <c r="F19" i="15" s="1"/>
  <c r="D54" i="23" s="1"/>
  <c r="R18" i="15"/>
  <c r="AO18" i="15"/>
  <c r="D18" i="15"/>
  <c r="F18" i="15" s="1"/>
  <c r="Z17" i="15"/>
  <c r="N18" i="15"/>
  <c r="AH18" i="15"/>
  <c r="AO19" i="15"/>
  <c r="AH19" i="15"/>
  <c r="F112" i="20"/>
  <c r="U17" i="22"/>
  <c r="AB16" i="22"/>
  <c r="AC16" i="22" s="1"/>
  <c r="AR17" i="15"/>
  <c r="AS90" i="8"/>
  <c r="M73" i="18"/>
  <c r="N19" i="15"/>
  <c r="Z18" i="15"/>
  <c r="F137" i="8"/>
  <c r="H137" i="8" s="1"/>
  <c r="E137" i="8"/>
  <c r="E33" i="8"/>
  <c r="Q31" i="20" s="1"/>
  <c r="V33" i="8"/>
  <c r="U33" i="8"/>
  <c r="Y28" i="15"/>
  <c r="K33" i="8"/>
  <c r="T31" i="20" s="1"/>
  <c r="Q33" i="8"/>
  <c r="P33" i="8"/>
  <c r="E92" i="8"/>
  <c r="W32" i="20" s="1"/>
  <c r="Y91" i="8"/>
  <c r="X91" i="8"/>
  <c r="R92" i="8"/>
  <c r="Q92" i="8"/>
  <c r="K92" i="8"/>
  <c r="X32" i="20" s="1"/>
  <c r="K137" i="8"/>
  <c r="AD92" i="8"/>
  <c r="AC92" i="8"/>
  <c r="AI92" i="8"/>
  <c r="AP92" i="8"/>
  <c r="AI15" i="1"/>
  <c r="R15" i="1"/>
  <c r="P15" i="1" s="1"/>
  <c r="S15" i="1" s="1"/>
  <c r="U16" i="1"/>
  <c r="L136" i="8"/>
  <c r="G90" i="8"/>
  <c r="K31" i="15" s="1"/>
  <c r="H66" i="23" s="1"/>
  <c r="L21" i="22"/>
  <c r="W21" i="22" s="1"/>
  <c r="J21" i="22"/>
  <c r="E88" i="22"/>
  <c r="E22" i="22"/>
  <c r="C21" i="22"/>
  <c r="E64" i="23"/>
  <c r="J29" i="15"/>
  <c r="AO15" i="1"/>
  <c r="AG15" i="1"/>
  <c r="AA15" i="1" s="1"/>
  <c r="H98" i="15"/>
  <c r="G98" i="15"/>
  <c r="F98" i="15"/>
  <c r="G87" i="22"/>
  <c r="F87" i="22"/>
  <c r="H87" i="22"/>
  <c r="AN25" i="15"/>
  <c r="U30" i="20"/>
  <c r="AG28" i="15"/>
  <c r="I86" i="22"/>
  <c r="B19" i="22" s="1"/>
  <c r="Z14" i="1"/>
  <c r="AB14" i="1" s="1"/>
  <c r="O14" i="1" s="1"/>
  <c r="O20" i="15"/>
  <c r="T20" i="15" s="1"/>
  <c r="X20" i="15"/>
  <c r="S18" i="15"/>
  <c r="AB1552" i="6"/>
  <c r="AD1552" i="6"/>
  <c r="B56" i="23"/>
  <c r="M21" i="15"/>
  <c r="E22" i="15"/>
  <c r="L75" i="18"/>
  <c r="C21" i="15"/>
  <c r="AL21" i="15"/>
  <c r="AM21" i="15" s="1"/>
  <c r="AF21" i="15"/>
  <c r="AQ21" i="15" s="1"/>
  <c r="E99" i="15"/>
  <c r="E118" i="20"/>
  <c r="H30" i="15"/>
  <c r="F65" i="23" s="1"/>
  <c r="R30" i="20"/>
  <c r="G30" i="15"/>
  <c r="AP18" i="15"/>
  <c r="K74" i="18"/>
  <c r="I74" i="18" s="1"/>
  <c r="J74" i="18"/>
  <c r="AJ91" i="8"/>
  <c r="AE1553" i="6"/>
  <c r="AF1553" i="6" s="1"/>
  <c r="Y1554" i="6"/>
  <c r="AH1553" i="6"/>
  <c r="AG1553" i="6"/>
  <c r="AC1553" i="6"/>
  <c r="AA1553" i="6"/>
  <c r="Z1553" i="6" s="1"/>
  <c r="AI19" i="15"/>
  <c r="AA19" i="15"/>
  <c r="Y27" i="15"/>
  <c r="G63" i="23"/>
  <c r="T90" i="8"/>
  <c r="M91" i="8"/>
  <c r="C138" i="8"/>
  <c r="AN93" i="8"/>
  <c r="AG93" i="8"/>
  <c r="AA93" i="8"/>
  <c r="O93" i="8"/>
  <c r="I93" i="8"/>
  <c r="A93" i="8"/>
  <c r="V92" i="8"/>
  <c r="C92" i="8"/>
  <c r="B35" i="8"/>
  <c r="N34" i="8"/>
  <c r="I34" i="8"/>
  <c r="C34" i="8"/>
  <c r="Y31" i="20"/>
  <c r="AQ91" i="8"/>
  <c r="AD93" i="8" a="1"/>
  <c r="R93" i="8" a="1"/>
  <c r="Q93" i="8" a="1"/>
  <c r="E138" i="8" a="1"/>
  <c r="K34" i="8" a="1"/>
  <c r="Q34" i="8" a="1"/>
  <c r="F138" i="8" a="1"/>
  <c r="X92" i="8" a="1"/>
  <c r="P34" i="8" a="1"/>
  <c r="V34" i="8" a="1"/>
  <c r="K93" i="8" a="1"/>
  <c r="AC93" i="8" a="1"/>
  <c r="E93" i="8" a="1"/>
  <c r="Y92" i="8" a="1"/>
  <c r="E34" i="8" a="1"/>
  <c r="U34" i="8" a="1"/>
  <c r="I98" i="15" l="1"/>
  <c r="B20" i="15" s="1"/>
  <c r="J19" i="15"/>
  <c r="K19" i="15"/>
  <c r="H54" i="23" s="1"/>
  <c r="M74" i="18"/>
  <c r="AR18" i="15"/>
  <c r="D20" i="15"/>
  <c r="F20" i="15" s="1"/>
  <c r="J20" i="15" s="1"/>
  <c r="Z19" i="15"/>
  <c r="AB19" i="15" s="1"/>
  <c r="AO20" i="15"/>
  <c r="N20" i="15"/>
  <c r="R20" i="15"/>
  <c r="AH20" i="15"/>
  <c r="Y18" i="22"/>
  <c r="AA18" i="22" s="1"/>
  <c r="M19" i="22"/>
  <c r="O19" i="22" s="1"/>
  <c r="Q19" i="22"/>
  <c r="T19" i="22" s="1"/>
  <c r="AJ17" i="15"/>
  <c r="AT17" i="15" s="1"/>
  <c r="P17" i="15"/>
  <c r="G52" i="23"/>
  <c r="AB17" i="15"/>
  <c r="U18" i="15"/>
  <c r="K18" i="15"/>
  <c r="H53" i="23" s="1"/>
  <c r="J18" i="15"/>
  <c r="D53" i="23"/>
  <c r="AC16" i="15"/>
  <c r="AD16" i="15" s="1"/>
  <c r="F113" i="20" s="1"/>
  <c r="J52" i="23"/>
  <c r="K138" i="8"/>
  <c r="AD93" i="8"/>
  <c r="AC93" i="8"/>
  <c r="AP93" i="8"/>
  <c r="F138" i="8"/>
  <c r="H138" i="8" s="1"/>
  <c r="E138" i="8"/>
  <c r="E93" i="8"/>
  <c r="W33" i="20" s="1"/>
  <c r="AI93" i="8"/>
  <c r="K93" i="8"/>
  <c r="X33" i="20" s="1"/>
  <c r="Y92" i="8"/>
  <c r="X92" i="8"/>
  <c r="E34" i="8"/>
  <c r="Q32" i="20" s="1"/>
  <c r="V34" i="8"/>
  <c r="U34" i="8"/>
  <c r="K34" i="8"/>
  <c r="T32" i="20" s="1"/>
  <c r="R93" i="8"/>
  <c r="Q93" i="8"/>
  <c r="Q34" i="8"/>
  <c r="P34" i="8"/>
  <c r="AN27" i="15"/>
  <c r="G64" i="23"/>
  <c r="AD1553" i="6"/>
  <c r="AB1553" i="6"/>
  <c r="S92" i="8"/>
  <c r="E23" i="22"/>
  <c r="E89" i="22"/>
  <c r="L22" i="22"/>
  <c r="W22" i="22" s="1"/>
  <c r="J22" i="22"/>
  <c r="C22" i="22"/>
  <c r="AG1554" i="6"/>
  <c r="Y1555" i="6"/>
  <c r="AH1554" i="6"/>
  <c r="AE1554" i="6"/>
  <c r="AF1554" i="6" s="1"/>
  <c r="AC1554" i="6"/>
  <c r="AA1554" i="6"/>
  <c r="Z1554" i="6" s="1"/>
  <c r="O21" i="15"/>
  <c r="T21" i="15" s="1"/>
  <c r="X21" i="15"/>
  <c r="S19" i="15"/>
  <c r="U19" i="15" s="1"/>
  <c r="AC18" i="15" s="1"/>
  <c r="AP19" i="15"/>
  <c r="AR19" i="15" s="1"/>
  <c r="AJ19" i="15"/>
  <c r="E65" i="23"/>
  <c r="J30" i="15"/>
  <c r="AP15" i="1"/>
  <c r="X15" i="1" s="1"/>
  <c r="Y32" i="20"/>
  <c r="Y29" i="15"/>
  <c r="AN28" i="15" s="1"/>
  <c r="U31" i="20"/>
  <c r="AG29" i="15"/>
  <c r="H99" i="15"/>
  <c r="G99" i="15"/>
  <c r="F99" i="15"/>
  <c r="AS91" i="8"/>
  <c r="AQ92" i="8"/>
  <c r="H31" i="15"/>
  <c r="F66" i="23" s="1"/>
  <c r="R31" i="20"/>
  <c r="G31" i="15"/>
  <c r="AN26" i="15"/>
  <c r="I87" i="22"/>
  <c r="B20" i="22" s="1"/>
  <c r="AQ16" i="1"/>
  <c r="V16" i="1"/>
  <c r="AH16" i="1"/>
  <c r="AJ92" i="8"/>
  <c r="C139" i="8"/>
  <c r="AN94" i="8"/>
  <c r="AG94" i="8"/>
  <c r="AA94" i="8"/>
  <c r="O94" i="8"/>
  <c r="I94" i="8"/>
  <c r="A94" i="8"/>
  <c r="V93" i="8"/>
  <c r="C93" i="8"/>
  <c r="B36" i="8"/>
  <c r="N35" i="8"/>
  <c r="I35" i="8"/>
  <c r="C35" i="8"/>
  <c r="L137" i="8"/>
  <c r="G91" i="8"/>
  <c r="K32" i="15" s="1"/>
  <c r="H67" i="23" s="1"/>
  <c r="AA20" i="15"/>
  <c r="AI20" i="15"/>
  <c r="F88" i="22"/>
  <c r="H88" i="22"/>
  <c r="G88" i="22"/>
  <c r="G54" i="23"/>
  <c r="P19" i="15"/>
  <c r="K75" i="18"/>
  <c r="I75" i="18" s="1"/>
  <c r="J75" i="18"/>
  <c r="T91" i="8"/>
  <c r="B57" i="23"/>
  <c r="C22" i="15"/>
  <c r="AF22" i="15"/>
  <c r="AQ22" i="15" s="1"/>
  <c r="L76" i="18"/>
  <c r="AL22" i="15"/>
  <c r="AM22" i="15" s="1"/>
  <c r="E100" i="15"/>
  <c r="E23" i="15"/>
  <c r="M22" i="15"/>
  <c r="F139" i="8" a="1"/>
  <c r="Q94" i="8" a="1"/>
  <c r="P35" i="8" a="1"/>
  <c r="V35" i="8" a="1"/>
  <c r="E35" i="8" a="1"/>
  <c r="E139" i="8" a="1"/>
  <c r="AD94" i="8" a="1"/>
  <c r="R94" i="8" a="1"/>
  <c r="X93" i="8" a="1"/>
  <c r="AC94" i="8" a="1"/>
  <c r="Q35" i="8" a="1"/>
  <c r="K35" i="8" a="1"/>
  <c r="Y93" i="8" a="1"/>
  <c r="U35" i="8" a="1"/>
  <c r="K94" i="8" a="1"/>
  <c r="E94" i="8" a="1"/>
  <c r="D55" i="23" l="1"/>
  <c r="I88" i="22"/>
  <c r="B21" i="22" s="1"/>
  <c r="M21" i="22" s="1"/>
  <c r="O21" i="22" s="1"/>
  <c r="Q21" i="22"/>
  <c r="T21" i="22" s="1"/>
  <c r="Y20" i="22"/>
  <c r="AA20" i="22" s="1"/>
  <c r="K20" i="15"/>
  <c r="H55" i="23" s="1"/>
  <c r="Y33" i="20"/>
  <c r="J54" i="23"/>
  <c r="I52" i="23"/>
  <c r="V17" i="15"/>
  <c r="AC17" i="15"/>
  <c r="AD17" i="15" s="1"/>
  <c r="J53" i="23"/>
  <c r="U19" i="22"/>
  <c r="AB18" i="22"/>
  <c r="AC18" i="22" s="1"/>
  <c r="M20" i="22"/>
  <c r="O20" i="22" s="1"/>
  <c r="Q20" i="22"/>
  <c r="T20" i="22" s="1"/>
  <c r="Y19" i="22"/>
  <c r="AA19" i="22" s="1"/>
  <c r="AJ18" i="15"/>
  <c r="AT18" i="15" s="1"/>
  <c r="P18" i="15"/>
  <c r="I53" i="23" s="1"/>
  <c r="AB18" i="15"/>
  <c r="AD18" i="15" s="1"/>
  <c r="G53" i="23"/>
  <c r="AT19" i="15"/>
  <c r="V35" i="8"/>
  <c r="U35" i="8"/>
  <c r="K35" i="8"/>
  <c r="T33" i="20" s="1"/>
  <c r="Q35" i="8"/>
  <c r="P35" i="8"/>
  <c r="E35" i="8"/>
  <c r="Q33" i="20" s="1"/>
  <c r="R94" i="8"/>
  <c r="Q94" i="8"/>
  <c r="AD94" i="8"/>
  <c r="AC94" i="8"/>
  <c r="K139" i="8"/>
  <c r="Y93" i="8"/>
  <c r="X93" i="8"/>
  <c r="E94" i="8"/>
  <c r="W34" i="20" s="1"/>
  <c r="K94" i="8"/>
  <c r="X34" i="20" s="1"/>
  <c r="AI94" i="8"/>
  <c r="AP94" i="8"/>
  <c r="F139" i="8"/>
  <c r="H139" i="8" s="1"/>
  <c r="E139" i="8"/>
  <c r="Y30" i="15"/>
  <c r="AN29" i="15" s="1"/>
  <c r="U32" i="20"/>
  <c r="AG30" i="15"/>
  <c r="I99" i="15"/>
  <c r="B21" i="15" s="1"/>
  <c r="E66" i="23"/>
  <c r="J31" i="15"/>
  <c r="H100" i="15"/>
  <c r="G100" i="15"/>
  <c r="F100" i="15"/>
  <c r="H32" i="15"/>
  <c r="F67" i="23" s="1"/>
  <c r="R32" i="20"/>
  <c r="G32" i="15"/>
  <c r="C140" i="8"/>
  <c r="AN95" i="8"/>
  <c r="AG95" i="8"/>
  <c r="AA95" i="8"/>
  <c r="O95" i="8"/>
  <c r="I95" i="8"/>
  <c r="A95" i="8"/>
  <c r="V94" i="8"/>
  <c r="C94" i="8"/>
  <c r="B37" i="8"/>
  <c r="N36" i="8"/>
  <c r="I36" i="8"/>
  <c r="C36" i="8"/>
  <c r="G89" i="22"/>
  <c r="F89" i="22"/>
  <c r="H89" i="22"/>
  <c r="U21" i="22"/>
  <c r="AB20" i="22"/>
  <c r="K76" i="18"/>
  <c r="I76" i="18" s="1"/>
  <c r="J76" i="18"/>
  <c r="C23" i="22"/>
  <c r="E24" i="22"/>
  <c r="E90" i="22"/>
  <c r="L23" i="22"/>
  <c r="W23" i="22" s="1"/>
  <c r="J23" i="22"/>
  <c r="M92" i="8"/>
  <c r="Z15" i="1"/>
  <c r="AB15" i="1" s="1"/>
  <c r="O15" i="1" s="1"/>
  <c r="T92" i="8"/>
  <c r="G55" i="23"/>
  <c r="P20" i="15"/>
  <c r="I55" i="23" s="1"/>
  <c r="M93" i="8"/>
  <c r="X22" i="15"/>
  <c r="O22" i="15"/>
  <c r="T22" i="15" s="1"/>
  <c r="S20" i="15"/>
  <c r="U20" i="15" s="1"/>
  <c r="J55" i="23" s="1"/>
  <c r="AP20" i="15"/>
  <c r="AR20" i="15" s="1"/>
  <c r="AJ20" i="15"/>
  <c r="AO16" i="1"/>
  <c r="AG16" i="1"/>
  <c r="AA16" i="1" s="1"/>
  <c r="AJ93" i="8"/>
  <c r="B58" i="23"/>
  <c r="E24" i="15"/>
  <c r="L77" i="18"/>
  <c r="E101" i="15"/>
  <c r="M23" i="15"/>
  <c r="C23" i="15"/>
  <c r="AL23" i="15"/>
  <c r="AM23" i="15" s="1"/>
  <c r="AF23" i="15"/>
  <c r="AQ23" i="15" s="1"/>
  <c r="M75" i="18"/>
  <c r="G65" i="23"/>
  <c r="R16" i="1"/>
  <c r="P16" i="1" s="1"/>
  <c r="S16" i="1" s="1"/>
  <c r="AI16" i="1"/>
  <c r="U17" i="1"/>
  <c r="I54" i="23"/>
  <c r="V19" i="15"/>
  <c r="AI21" i="15"/>
  <c r="AA21" i="15"/>
  <c r="AQ93" i="8"/>
  <c r="AD1554" i="6"/>
  <c r="AB1554" i="6"/>
  <c r="S93" i="8"/>
  <c r="T93" i="8" s="1"/>
  <c r="AS92" i="8"/>
  <c r="Y1556" i="6"/>
  <c r="AH1555" i="6"/>
  <c r="AG1555" i="6"/>
  <c r="AC1555" i="6"/>
  <c r="AA1555" i="6"/>
  <c r="Z1555" i="6" s="1"/>
  <c r="AE1555" i="6"/>
  <c r="AF1555" i="6" s="1"/>
  <c r="L138" i="8"/>
  <c r="G92" i="8"/>
  <c r="K33" i="15" s="1"/>
  <c r="H68" i="23" s="1"/>
  <c r="E36" i="8" a="1"/>
  <c r="P36" i="8" a="1"/>
  <c r="Q95" i="8" a="1"/>
  <c r="Y94" i="8" a="1"/>
  <c r="K95" i="8" a="1"/>
  <c r="Q36" i="8" a="1"/>
  <c r="AC95" i="8" a="1"/>
  <c r="E95" i="8" a="1"/>
  <c r="F140" i="8" a="1"/>
  <c r="X94" i="8" a="1"/>
  <c r="V36" i="8" a="1"/>
  <c r="AD95" i="8" a="1"/>
  <c r="E140" i="8" a="1"/>
  <c r="U36" i="8" a="1"/>
  <c r="K36" i="8" a="1"/>
  <c r="R95" i="8" a="1"/>
  <c r="AC20" i="22" l="1"/>
  <c r="V18" i="15"/>
  <c r="I114" i="20" s="1"/>
  <c r="M76" i="18"/>
  <c r="AC19" i="15"/>
  <c r="AD19" i="15" s="1"/>
  <c r="F116" i="20" s="1"/>
  <c r="I100" i="15"/>
  <c r="B22" i="15" s="1"/>
  <c r="I89" i="22"/>
  <c r="B22" i="22" s="1"/>
  <c r="U20" i="22"/>
  <c r="AB19" i="22"/>
  <c r="AC19" i="22" s="1"/>
  <c r="I113" i="20"/>
  <c r="F114" i="20"/>
  <c r="D21" i="15"/>
  <c r="F21" i="15" s="1"/>
  <c r="AO21" i="15"/>
  <c r="AH21" i="15"/>
  <c r="N21" i="15"/>
  <c r="R21" i="15"/>
  <c r="Z20" i="15"/>
  <c r="AB20" i="15" s="1"/>
  <c r="AJ94" i="8"/>
  <c r="V20" i="15"/>
  <c r="AD95" i="8"/>
  <c r="AC95" i="8"/>
  <c r="AI95" i="8"/>
  <c r="AP95" i="8"/>
  <c r="F140" i="8"/>
  <c r="H140" i="8" s="1"/>
  <c r="E140" i="8"/>
  <c r="E36" i="8"/>
  <c r="Q34" i="20" s="1"/>
  <c r="Q36" i="8"/>
  <c r="P36" i="8"/>
  <c r="V36" i="8"/>
  <c r="U36" i="8"/>
  <c r="K36" i="8"/>
  <c r="T34" i="20" s="1"/>
  <c r="K140" i="8"/>
  <c r="Y94" i="8"/>
  <c r="X94" i="8"/>
  <c r="K95" i="8"/>
  <c r="X35" i="20" s="1"/>
  <c r="E95" i="8"/>
  <c r="W35" i="20" s="1"/>
  <c r="R95" i="8"/>
  <c r="Q95" i="8"/>
  <c r="X23" i="15"/>
  <c r="O23" i="15"/>
  <c r="T23" i="15" s="1"/>
  <c r="S21" i="15"/>
  <c r="E67" i="23"/>
  <c r="J32" i="15"/>
  <c r="Y34" i="20"/>
  <c r="H101" i="15"/>
  <c r="G101" i="15"/>
  <c r="F101" i="15"/>
  <c r="B59" i="23"/>
  <c r="AL24" i="15"/>
  <c r="AM24" i="15" s="1"/>
  <c r="E102" i="15"/>
  <c r="C24" i="15"/>
  <c r="L78" i="18"/>
  <c r="AF24" i="15"/>
  <c r="AQ24" i="15" s="1"/>
  <c r="E25" i="15"/>
  <c r="M24" i="15"/>
  <c r="H90" i="22"/>
  <c r="F90" i="22"/>
  <c r="G90" i="22"/>
  <c r="L139" i="8"/>
  <c r="G93" i="8"/>
  <c r="K34" i="15" s="1"/>
  <c r="H69" i="23" s="1"/>
  <c r="I115" i="20"/>
  <c r="AS93" i="8"/>
  <c r="K77" i="18"/>
  <c r="I77" i="18" s="1"/>
  <c r="J77" i="18"/>
  <c r="G66" i="23"/>
  <c r="L24" i="22"/>
  <c r="W24" i="22" s="1"/>
  <c r="J24" i="22"/>
  <c r="E91" i="22"/>
  <c r="C24" i="22"/>
  <c r="E25" i="22"/>
  <c r="S94" i="8"/>
  <c r="AP16" i="1"/>
  <c r="X16" i="1" s="1"/>
  <c r="AP21" i="15"/>
  <c r="AQ17" i="1"/>
  <c r="AH17" i="1"/>
  <c r="V17" i="1"/>
  <c r="AT20" i="15"/>
  <c r="H33" i="15"/>
  <c r="F68" i="23" s="1"/>
  <c r="R33" i="20"/>
  <c r="G33" i="15"/>
  <c r="C141" i="8"/>
  <c r="AN96" i="8"/>
  <c r="AG96" i="8"/>
  <c r="AA96" i="8"/>
  <c r="O96" i="8"/>
  <c r="I96" i="8"/>
  <c r="A96" i="8"/>
  <c r="V95" i="8"/>
  <c r="C95" i="8"/>
  <c r="B38" i="8"/>
  <c r="N37" i="8"/>
  <c r="I37" i="8"/>
  <c r="C37" i="8"/>
  <c r="AI22" i="15"/>
  <c r="AA22" i="15"/>
  <c r="AB1555" i="6"/>
  <c r="AD1555" i="6"/>
  <c r="Y31" i="15"/>
  <c r="AN30" i="15" s="1"/>
  <c r="U33" i="20"/>
  <c r="AG31" i="15"/>
  <c r="AQ94" i="8"/>
  <c r="AC1556" i="6"/>
  <c r="Y1557" i="6"/>
  <c r="AH1556" i="6"/>
  <c r="AG1556" i="6"/>
  <c r="AE1556" i="6"/>
  <c r="AF1556" i="6" s="1"/>
  <c r="AA1556" i="6"/>
  <c r="Z1556" i="6" s="1"/>
  <c r="K96" i="8" a="1"/>
  <c r="R96" i="8" a="1"/>
  <c r="E37" i="8" a="1"/>
  <c r="F141" i="8" a="1"/>
  <c r="Q96" i="8" a="1"/>
  <c r="AD96" i="8" a="1"/>
  <c r="V37" i="8" a="1"/>
  <c r="E96" i="8" a="1"/>
  <c r="U37" i="8" a="1"/>
  <c r="AC96" i="8" a="1"/>
  <c r="Q37" i="8" a="1"/>
  <c r="X95" i="8" a="1"/>
  <c r="P37" i="8" a="1"/>
  <c r="E141" i="8" a="1"/>
  <c r="Y95" i="8" a="1"/>
  <c r="K37" i="8" a="1"/>
  <c r="Z16" i="1" l="1"/>
  <c r="AR21" i="15"/>
  <c r="F115" i="20"/>
  <c r="I90" i="22"/>
  <c r="B23" i="22" s="1"/>
  <c r="M23" i="22" s="1"/>
  <c r="O23" i="22" s="1"/>
  <c r="Y35" i="20"/>
  <c r="U21" i="15"/>
  <c r="AS94" i="8"/>
  <c r="D56" i="23"/>
  <c r="J21" i="15"/>
  <c r="K21" i="15"/>
  <c r="H56" i="23" s="1"/>
  <c r="Q22" i="22"/>
  <c r="T22" i="22" s="1"/>
  <c r="Y21" i="22"/>
  <c r="AA21" i="22" s="1"/>
  <c r="M22" i="22"/>
  <c r="O22" i="22" s="1"/>
  <c r="M77" i="18"/>
  <c r="AB16" i="1"/>
  <c r="O16" i="1" s="1"/>
  <c r="Z21" i="15"/>
  <c r="N22" i="15"/>
  <c r="R22" i="15"/>
  <c r="D22" i="15"/>
  <c r="F22" i="15" s="1"/>
  <c r="AH22" i="15"/>
  <c r="AO22" i="15"/>
  <c r="I116" i="20"/>
  <c r="AJ95" i="8"/>
  <c r="AD96" i="8"/>
  <c r="AC96" i="8"/>
  <c r="AP96" i="8"/>
  <c r="AI96" i="8"/>
  <c r="F141" i="8"/>
  <c r="H141" i="8" s="1"/>
  <c r="E141" i="8"/>
  <c r="E37" i="8"/>
  <c r="Q35" i="20" s="1"/>
  <c r="V37" i="8"/>
  <c r="U37" i="8"/>
  <c r="K37" i="8"/>
  <c r="T35" i="20" s="1"/>
  <c r="Q37" i="8"/>
  <c r="P37" i="8"/>
  <c r="K141" i="8"/>
  <c r="E96" i="8"/>
  <c r="W36" i="20" s="1"/>
  <c r="Y95" i="8"/>
  <c r="X95" i="8"/>
  <c r="K96" i="8"/>
  <c r="X36" i="20" s="1"/>
  <c r="R96" i="8"/>
  <c r="S96" i="8" s="1"/>
  <c r="Q96" i="8"/>
  <c r="U18" i="1"/>
  <c r="R17" i="1"/>
  <c r="P17" i="1" s="1"/>
  <c r="S17" i="1" s="1"/>
  <c r="AI17" i="1"/>
  <c r="B60" i="23"/>
  <c r="E26" i="15"/>
  <c r="L79" i="18"/>
  <c r="AF25" i="15"/>
  <c r="AQ25" i="15" s="1"/>
  <c r="E103" i="15"/>
  <c r="C25" i="15"/>
  <c r="AL25" i="15"/>
  <c r="AM25" i="15" s="1"/>
  <c r="M25" i="15"/>
  <c r="M95" i="8"/>
  <c r="E26" i="22"/>
  <c r="E92" i="22"/>
  <c r="C25" i="22"/>
  <c r="J25" i="22"/>
  <c r="L25" i="22"/>
  <c r="W25" i="22" s="1"/>
  <c r="J78" i="18"/>
  <c r="K78" i="18"/>
  <c r="I78" i="18" s="1"/>
  <c r="E68" i="23"/>
  <c r="J33" i="15"/>
  <c r="G102" i="15"/>
  <c r="F102" i="15"/>
  <c r="H102" i="15"/>
  <c r="H91" i="22"/>
  <c r="F91" i="22"/>
  <c r="G91" i="22"/>
  <c r="I91" i="22" s="1"/>
  <c r="B24" i="22" s="1"/>
  <c r="Q24" i="22" s="1"/>
  <c r="T24" i="22" s="1"/>
  <c r="L140" i="8"/>
  <c r="G94" i="8"/>
  <c r="K35" i="15" s="1"/>
  <c r="H70" i="23" s="1"/>
  <c r="AB1556" i="6"/>
  <c r="AD1556" i="6"/>
  <c r="I101" i="15"/>
  <c r="B23" i="15" s="1"/>
  <c r="Y32" i="15"/>
  <c r="AN31" i="15" s="1"/>
  <c r="U34" i="20"/>
  <c r="AG32" i="15"/>
  <c r="AO17" i="1"/>
  <c r="AG17" i="1"/>
  <c r="AA17" i="1" s="1"/>
  <c r="G67" i="23"/>
  <c r="M94" i="8"/>
  <c r="H34" i="15"/>
  <c r="F69" i="23" s="1"/>
  <c r="R34" i="20"/>
  <c r="G34" i="15"/>
  <c r="AP22" i="15"/>
  <c r="AI23" i="15"/>
  <c r="AA23" i="15"/>
  <c r="AG1557" i="6"/>
  <c r="Y1558" i="6"/>
  <c r="AH1557" i="6"/>
  <c r="AE1557" i="6"/>
  <c r="AF1557" i="6" s="1"/>
  <c r="AC1557" i="6"/>
  <c r="AA1557" i="6"/>
  <c r="Z1557" i="6" s="1"/>
  <c r="C142" i="8"/>
  <c r="AN97" i="8"/>
  <c r="AG97" i="8"/>
  <c r="AA97" i="8"/>
  <c r="O97" i="8"/>
  <c r="I97" i="8"/>
  <c r="A97" i="8"/>
  <c r="V96" i="8"/>
  <c r="C96" i="8"/>
  <c r="B39" i="8"/>
  <c r="N38" i="8"/>
  <c r="I38" i="8"/>
  <c r="C38" i="8"/>
  <c r="AQ95" i="8"/>
  <c r="S95" i="8"/>
  <c r="T95" i="8" s="1"/>
  <c r="T94" i="8"/>
  <c r="X24" i="15"/>
  <c r="O24" i="15"/>
  <c r="T24" i="15" s="1"/>
  <c r="S22" i="15"/>
  <c r="AD97" i="8" a="1"/>
  <c r="E142" i="8" a="1"/>
  <c r="Q38" i="8" a="1"/>
  <c r="K97" i="8" a="1"/>
  <c r="X96" i="8" a="1"/>
  <c r="E97" i="8" a="1"/>
  <c r="K38" i="8" a="1"/>
  <c r="F142" i="8" a="1"/>
  <c r="U38" i="8" a="1"/>
  <c r="R97" i="8" a="1"/>
  <c r="Y96" i="8" a="1"/>
  <c r="V38" i="8" a="1"/>
  <c r="Q97" i="8" a="1"/>
  <c r="AC97" i="8" a="1"/>
  <c r="E38" i="8" a="1"/>
  <c r="P38" i="8" a="1"/>
  <c r="Y22" i="22" l="1"/>
  <c r="AA22" i="22" s="1"/>
  <c r="Q23" i="22"/>
  <c r="T23" i="22" s="1"/>
  <c r="AB22" i="22" s="1"/>
  <c r="Y36" i="20"/>
  <c r="Y23" i="22"/>
  <c r="AA23" i="22" s="1"/>
  <c r="M24" i="22"/>
  <c r="O24" i="22" s="1"/>
  <c r="U24" i="22" s="1"/>
  <c r="AR22" i="15"/>
  <c r="AB21" i="22"/>
  <c r="AC21" i="22" s="1"/>
  <c r="U22" i="22"/>
  <c r="AC20" i="15"/>
  <c r="AD20" i="15" s="1"/>
  <c r="F117" i="20" s="1"/>
  <c r="J56" i="23"/>
  <c r="D57" i="23"/>
  <c r="J22" i="15"/>
  <c r="K22" i="15"/>
  <c r="H57" i="23" s="1"/>
  <c r="I102" i="15"/>
  <c r="B24" i="15" s="1"/>
  <c r="G56" i="23"/>
  <c r="AJ21" i="15"/>
  <c r="AT21" i="15" s="1"/>
  <c r="P21" i="15"/>
  <c r="AB21" i="15"/>
  <c r="R23" i="15"/>
  <c r="AH23" i="15"/>
  <c r="N23" i="15"/>
  <c r="AO23" i="15"/>
  <c r="Z22" i="15"/>
  <c r="D23" i="15"/>
  <c r="F23" i="15" s="1"/>
  <c r="U22" i="15"/>
  <c r="AS95" i="8"/>
  <c r="AQ96" i="8"/>
  <c r="V38" i="8"/>
  <c r="U38" i="8"/>
  <c r="K38" i="8"/>
  <c r="T36" i="20" s="1"/>
  <c r="Q38" i="8"/>
  <c r="P38" i="8"/>
  <c r="E38" i="8"/>
  <c r="Q36" i="20" s="1"/>
  <c r="Y96" i="8"/>
  <c r="X96" i="8"/>
  <c r="E97" i="8"/>
  <c r="W37" i="20" s="1"/>
  <c r="K142" i="8"/>
  <c r="R97" i="8"/>
  <c r="S97" i="8" s="1"/>
  <c r="Q97" i="8"/>
  <c r="AI97" i="8"/>
  <c r="AD97" i="8"/>
  <c r="AC97" i="8"/>
  <c r="AP97" i="8"/>
  <c r="K97" i="8"/>
  <c r="X37" i="20" s="1"/>
  <c r="F142" i="8"/>
  <c r="H142" i="8" s="1"/>
  <c r="E142" i="8"/>
  <c r="M78" i="18"/>
  <c r="AD1557" i="6"/>
  <c r="AB1557" i="6"/>
  <c r="Q25" i="22"/>
  <c r="T25" i="22" s="1"/>
  <c r="M25" i="22"/>
  <c r="O25" i="22" s="1"/>
  <c r="Y24" i="22"/>
  <c r="AA24" i="22" s="1"/>
  <c r="H92" i="22"/>
  <c r="G92" i="22"/>
  <c r="F92" i="22"/>
  <c r="L141" i="8"/>
  <c r="G95" i="8"/>
  <c r="K36" i="15" s="1"/>
  <c r="H71" i="23" s="1"/>
  <c r="X25" i="15"/>
  <c r="O25" i="15"/>
  <c r="T25" i="15" s="1"/>
  <c r="S23" i="15"/>
  <c r="AI24" i="15"/>
  <c r="AA24" i="15"/>
  <c r="AH25" i="15"/>
  <c r="Z24" i="15"/>
  <c r="N25" i="15"/>
  <c r="R25" i="15"/>
  <c r="U35" i="20"/>
  <c r="AG33" i="15"/>
  <c r="H103" i="15"/>
  <c r="G103" i="15"/>
  <c r="F103" i="15"/>
  <c r="K79" i="18"/>
  <c r="I79" i="18" s="1"/>
  <c r="J79" i="18"/>
  <c r="AC1558" i="6"/>
  <c r="AA1558" i="6"/>
  <c r="Z1558" i="6" s="1"/>
  <c r="AH1558" i="6"/>
  <c r="Y1559" i="6"/>
  <c r="AG1558" i="6"/>
  <c r="AE1558" i="6"/>
  <c r="AF1558" i="6" s="1"/>
  <c r="B61" i="23"/>
  <c r="E27" i="15"/>
  <c r="M26" i="15"/>
  <c r="L80" i="18"/>
  <c r="AF26" i="15"/>
  <c r="AQ26" i="15" s="1"/>
  <c r="E104" i="15"/>
  <c r="AL26" i="15"/>
  <c r="AM26" i="15" s="1"/>
  <c r="C26" i="15"/>
  <c r="AP23" i="15"/>
  <c r="H35" i="15"/>
  <c r="F70" i="23" s="1"/>
  <c r="R35" i="20"/>
  <c r="G35" i="15"/>
  <c r="E69" i="23"/>
  <c r="J34" i="15"/>
  <c r="AP17" i="1"/>
  <c r="X17" i="1" s="1"/>
  <c r="E93" i="22"/>
  <c r="C26" i="22"/>
  <c r="E27" i="22"/>
  <c r="L26" i="22"/>
  <c r="W26" i="22" s="1"/>
  <c r="J26" i="22"/>
  <c r="AJ96" i="8"/>
  <c r="V18" i="1"/>
  <c r="AQ18" i="1"/>
  <c r="AH18" i="1"/>
  <c r="T96" i="8"/>
  <c r="C143" i="8"/>
  <c r="AN98" i="8"/>
  <c r="AG98" i="8"/>
  <c r="AA98" i="8"/>
  <c r="O98" i="8"/>
  <c r="I98" i="8"/>
  <c r="A98" i="8"/>
  <c r="V97" i="8"/>
  <c r="C97" i="8"/>
  <c r="B40" i="8"/>
  <c r="N39" i="8"/>
  <c r="I39" i="8"/>
  <c r="C39" i="8"/>
  <c r="AB23" i="22"/>
  <c r="G68" i="23"/>
  <c r="M96" i="8"/>
  <c r="AD98" i="8" a="1"/>
  <c r="X97" i="8" a="1"/>
  <c r="Q98" i="8" a="1"/>
  <c r="Y97" i="8" a="1"/>
  <c r="E39" i="8" a="1"/>
  <c r="Q39" i="8" a="1"/>
  <c r="K39" i="8" a="1"/>
  <c r="U39" i="8" a="1"/>
  <c r="E143" i="8" a="1"/>
  <c r="P39" i="8" a="1"/>
  <c r="F143" i="8" a="1"/>
  <c r="E98" i="8" a="1"/>
  <c r="V39" i="8" a="1"/>
  <c r="K98" i="8" a="1"/>
  <c r="AC98" i="8" a="1"/>
  <c r="R98" i="8" a="1"/>
  <c r="AC22" i="22" l="1"/>
  <c r="U23" i="22"/>
  <c r="AC23" i="22"/>
  <c r="P25" i="15"/>
  <c r="I60" i="23" s="1"/>
  <c r="U23" i="15"/>
  <c r="AC22" i="15" s="1"/>
  <c r="AS96" i="8"/>
  <c r="Y37" i="20"/>
  <c r="I103" i="15"/>
  <c r="Z17" i="1"/>
  <c r="AB17" i="1" s="1"/>
  <c r="O17" i="1" s="1"/>
  <c r="AO24" i="15"/>
  <c r="Z23" i="15"/>
  <c r="R24" i="15"/>
  <c r="N24" i="15"/>
  <c r="P24" i="15" s="1"/>
  <c r="I59" i="23" s="1"/>
  <c r="AH24" i="15"/>
  <c r="AJ24" i="15" s="1"/>
  <c r="AJ22" i="15"/>
  <c r="AT22" i="15" s="1"/>
  <c r="G57" i="23"/>
  <c r="P22" i="15"/>
  <c r="I57" i="23" s="1"/>
  <c r="AB22" i="15"/>
  <c r="AR23" i="15"/>
  <c r="AC21" i="15"/>
  <c r="AD21" i="15" s="1"/>
  <c r="J57" i="23"/>
  <c r="D58" i="23"/>
  <c r="J23" i="15"/>
  <c r="K23" i="15"/>
  <c r="H58" i="23" s="1"/>
  <c r="I56" i="23"/>
  <c r="V21" i="15"/>
  <c r="AB24" i="15"/>
  <c r="AP98" i="8"/>
  <c r="F143" i="8"/>
  <c r="H143" i="8" s="1"/>
  <c r="E143" i="8"/>
  <c r="V39" i="8"/>
  <c r="U39" i="8"/>
  <c r="K39" i="8"/>
  <c r="T37" i="20" s="1"/>
  <c r="Y97" i="8"/>
  <c r="X97" i="8"/>
  <c r="Q39" i="8"/>
  <c r="P39" i="8"/>
  <c r="E98" i="8"/>
  <c r="W38" i="20" s="1"/>
  <c r="K98" i="8"/>
  <c r="X38" i="20" s="1"/>
  <c r="K143" i="8"/>
  <c r="AD98" i="8"/>
  <c r="AC98" i="8"/>
  <c r="E39" i="8"/>
  <c r="Q37" i="20" s="1"/>
  <c r="R98" i="8"/>
  <c r="Q98" i="8"/>
  <c r="AI98" i="8"/>
  <c r="AP24" i="15"/>
  <c r="AR24" i="15" s="1"/>
  <c r="AO18" i="1"/>
  <c r="AG18" i="1"/>
  <c r="AA18" i="1" s="1"/>
  <c r="AJ97" i="8"/>
  <c r="AQ97" i="8"/>
  <c r="Z25" i="15"/>
  <c r="N26" i="15"/>
  <c r="R26" i="15"/>
  <c r="AH26" i="15"/>
  <c r="I92" i="22"/>
  <c r="T97" i="8"/>
  <c r="B62" i="23"/>
  <c r="C27" i="15"/>
  <c r="AF27" i="15"/>
  <c r="AQ27" i="15" s="1"/>
  <c r="L81" i="18"/>
  <c r="AL27" i="15"/>
  <c r="AM27" i="15" s="1"/>
  <c r="M27" i="15"/>
  <c r="E28" i="15"/>
  <c r="E105" i="15"/>
  <c r="L27" i="22"/>
  <c r="W27" i="22" s="1"/>
  <c r="J27" i="22"/>
  <c r="C27" i="22"/>
  <c r="E94" i="22"/>
  <c r="E28" i="22"/>
  <c r="H36" i="15"/>
  <c r="F71" i="23" s="1"/>
  <c r="R36" i="20"/>
  <c r="G36" i="15"/>
  <c r="Y25" i="22"/>
  <c r="AA25" i="22" s="1"/>
  <c r="Q26" i="22"/>
  <c r="T26" i="22" s="1"/>
  <c r="M26" i="22"/>
  <c r="O26" i="22" s="1"/>
  <c r="R18" i="1"/>
  <c r="P18" i="1" s="1"/>
  <c r="S18" i="1" s="1"/>
  <c r="AI18" i="1"/>
  <c r="H104" i="15"/>
  <c r="G104" i="15"/>
  <c r="F104" i="15"/>
  <c r="K80" i="18"/>
  <c r="I80" i="18" s="1"/>
  <c r="J80" i="18"/>
  <c r="L142" i="8"/>
  <c r="G96" i="8"/>
  <c r="K37" i="15" s="1"/>
  <c r="H72" i="23" s="1"/>
  <c r="AA1559" i="6"/>
  <c r="Z1559" i="6" s="1"/>
  <c r="AE1559" i="6"/>
  <c r="AF1559" i="6" s="1"/>
  <c r="AC1559" i="6"/>
  <c r="Y1560" i="6"/>
  <c r="AH1559" i="6"/>
  <c r="AG1559" i="6"/>
  <c r="C144" i="8"/>
  <c r="AN99" i="8"/>
  <c r="AG99" i="8"/>
  <c r="AA99" i="8"/>
  <c r="O99" i="8"/>
  <c r="I99" i="8"/>
  <c r="A99" i="8"/>
  <c r="V98" i="8"/>
  <c r="C98" i="8"/>
  <c r="B41" i="8"/>
  <c r="N40" i="8"/>
  <c r="I40" i="8"/>
  <c r="C40" i="8"/>
  <c r="H93" i="22"/>
  <c r="G93" i="22"/>
  <c r="F93" i="22"/>
  <c r="G69" i="23"/>
  <c r="E70" i="23"/>
  <c r="J35" i="15"/>
  <c r="U36" i="20"/>
  <c r="AG34" i="15"/>
  <c r="O26" i="15"/>
  <c r="T26" i="15" s="1"/>
  <c r="X26" i="15"/>
  <c r="S24" i="15"/>
  <c r="AB24" i="22"/>
  <c r="AC24" i="22" s="1"/>
  <c r="U25" i="22"/>
  <c r="AB1558" i="6"/>
  <c r="AD1558" i="6"/>
  <c r="Y33" i="15"/>
  <c r="AA25" i="15"/>
  <c r="AI25" i="15"/>
  <c r="M79" i="18"/>
  <c r="M97" i="8"/>
  <c r="V40" i="8" a="1"/>
  <c r="X98" i="8" a="1"/>
  <c r="U40" i="8" a="1"/>
  <c r="Y98" i="8" a="1"/>
  <c r="Q99" i="8" a="1"/>
  <c r="E144" i="8" a="1"/>
  <c r="K99" i="8" a="1"/>
  <c r="AD99" i="8" a="1"/>
  <c r="E40" i="8" a="1"/>
  <c r="K40" i="8" a="1"/>
  <c r="Q40" i="8" a="1"/>
  <c r="AC99" i="8" a="1"/>
  <c r="R99" i="8" a="1"/>
  <c r="P40" i="8" a="1"/>
  <c r="F144" i="8" a="1"/>
  <c r="E99" i="8" a="1"/>
  <c r="J58" i="23" l="1"/>
  <c r="AD22" i="15"/>
  <c r="I104" i="15"/>
  <c r="M80" i="18"/>
  <c r="V22" i="15"/>
  <c r="I118" i="20" s="1"/>
  <c r="Y38" i="20"/>
  <c r="AS97" i="8"/>
  <c r="P23" i="15"/>
  <c r="G58" i="23"/>
  <c r="AB23" i="15"/>
  <c r="AJ23" i="15"/>
  <c r="AT23" i="15" s="1"/>
  <c r="U24" i="15"/>
  <c r="I93" i="22"/>
  <c r="I117" i="20"/>
  <c r="F118" i="20"/>
  <c r="AB25" i="15"/>
  <c r="AJ98" i="8"/>
  <c r="Q40" i="8"/>
  <c r="P40" i="8"/>
  <c r="K144" i="8"/>
  <c r="V40" i="8"/>
  <c r="U40" i="8"/>
  <c r="K40" i="8"/>
  <c r="T38" i="20" s="1"/>
  <c r="K99" i="8"/>
  <c r="X39" i="20" s="1"/>
  <c r="Y98" i="8"/>
  <c r="X98" i="8"/>
  <c r="E99" i="8"/>
  <c r="W39" i="20" s="1"/>
  <c r="R99" i="8"/>
  <c r="S99" i="8" s="1"/>
  <c r="Q99" i="8"/>
  <c r="AI99" i="8"/>
  <c r="AP99" i="8"/>
  <c r="E40" i="8"/>
  <c r="Q38" i="20" s="1"/>
  <c r="AD99" i="8"/>
  <c r="AC99" i="8"/>
  <c r="F144" i="8"/>
  <c r="H144" i="8" s="1"/>
  <c r="E144" i="8"/>
  <c r="AG1560" i="6"/>
  <c r="Y1561" i="6"/>
  <c r="AE1560" i="6"/>
  <c r="AF1560" i="6" s="1"/>
  <c r="AH1560" i="6"/>
  <c r="AC1560" i="6"/>
  <c r="AA1560" i="6"/>
  <c r="Z1560" i="6" s="1"/>
  <c r="H105" i="15"/>
  <c r="G105" i="15"/>
  <c r="F105" i="15"/>
  <c r="H37" i="15"/>
  <c r="F72" i="23" s="1"/>
  <c r="R37" i="20"/>
  <c r="G37" i="15"/>
  <c r="AD1559" i="6"/>
  <c r="AB1559" i="6"/>
  <c r="B63" i="23"/>
  <c r="L82" i="18"/>
  <c r="E106" i="15"/>
  <c r="AF28" i="15"/>
  <c r="AQ28" i="15" s="1"/>
  <c r="M28" i="15"/>
  <c r="AL28" i="15"/>
  <c r="AM28" i="15" s="1"/>
  <c r="C28" i="15"/>
  <c r="E29" i="15"/>
  <c r="L143" i="8"/>
  <c r="G97" i="8"/>
  <c r="K38" i="15" s="1"/>
  <c r="H73" i="23" s="1"/>
  <c r="G70" i="23"/>
  <c r="P26" i="15"/>
  <c r="I61" i="23" s="1"/>
  <c r="X27" i="15"/>
  <c r="O27" i="15"/>
  <c r="T27" i="15" s="1"/>
  <c r="S25" i="15"/>
  <c r="U25" i="15" s="1"/>
  <c r="AB25" i="22"/>
  <c r="AC25" i="22" s="1"/>
  <c r="U26" i="22"/>
  <c r="K81" i="18"/>
  <c r="I81" i="18" s="1"/>
  <c r="J81" i="18"/>
  <c r="E71" i="23"/>
  <c r="J36" i="15"/>
  <c r="Y34" i="15"/>
  <c r="U37" i="20"/>
  <c r="AG35" i="15"/>
  <c r="AA26" i="15"/>
  <c r="AI26" i="15"/>
  <c r="AT24" i="15"/>
  <c r="AH27" i="15"/>
  <c r="Z26" i="15"/>
  <c r="R27" i="15"/>
  <c r="N27" i="15"/>
  <c r="AJ25" i="15"/>
  <c r="AP25" i="15"/>
  <c r="AR25" i="15" s="1"/>
  <c r="AP18" i="1"/>
  <c r="X18" i="1" s="1"/>
  <c r="AN32" i="15"/>
  <c r="L28" i="22"/>
  <c r="W28" i="22" s="1"/>
  <c r="E29" i="22"/>
  <c r="E95" i="22"/>
  <c r="J28" i="22"/>
  <c r="C28" i="22"/>
  <c r="H94" i="22"/>
  <c r="G94" i="22"/>
  <c r="F94" i="22"/>
  <c r="C145" i="8"/>
  <c r="AN100" i="8"/>
  <c r="AG100" i="8"/>
  <c r="AA100" i="8"/>
  <c r="O100" i="8"/>
  <c r="I100" i="8"/>
  <c r="A100" i="8"/>
  <c r="V99" i="8"/>
  <c r="C99" i="8"/>
  <c r="B42" i="8"/>
  <c r="N41" i="8"/>
  <c r="I41" i="8"/>
  <c r="C41" i="8"/>
  <c r="Q27" i="22"/>
  <c r="T27" i="22" s="1"/>
  <c r="M27" i="22"/>
  <c r="O27" i="22" s="1"/>
  <c r="Y26" i="22"/>
  <c r="AA26" i="22" s="1"/>
  <c r="S98" i="8"/>
  <c r="AQ98" i="8"/>
  <c r="U41" i="8" a="1"/>
  <c r="X99" i="8" a="1"/>
  <c r="R100" i="8" a="1"/>
  <c r="Q100" i="8" a="1"/>
  <c r="V41" i="8" a="1"/>
  <c r="E41" i="8" a="1"/>
  <c r="Q41" i="8" a="1"/>
  <c r="E100" i="8" a="1"/>
  <c r="Y99" i="8" a="1"/>
  <c r="AD100" i="8" a="1"/>
  <c r="E145" i="8" a="1"/>
  <c r="AC100" i="8" a="1"/>
  <c r="K41" i="8" a="1"/>
  <c r="P41" i="8" a="1"/>
  <c r="F145" i="8" a="1"/>
  <c r="K100" i="8" a="1"/>
  <c r="M81" i="18" l="1"/>
  <c r="Y39" i="20"/>
  <c r="AS98" i="8"/>
  <c r="J59" i="23"/>
  <c r="AC23" i="15"/>
  <c r="AD23" i="15" s="1"/>
  <c r="V24" i="15"/>
  <c r="I58" i="23"/>
  <c r="V23" i="15"/>
  <c r="K100" i="8"/>
  <c r="X40" i="20" s="1"/>
  <c r="Y99" i="8"/>
  <c r="X99" i="8"/>
  <c r="AD100" i="8"/>
  <c r="AC100" i="8"/>
  <c r="F145" i="8"/>
  <c r="H145" i="8" s="1"/>
  <c r="E145" i="8"/>
  <c r="E100" i="8"/>
  <c r="W40" i="20" s="1"/>
  <c r="Q41" i="8"/>
  <c r="P41" i="8"/>
  <c r="K145" i="8"/>
  <c r="AP100" i="8"/>
  <c r="R100" i="8"/>
  <c r="S100" i="8" s="1"/>
  <c r="Q100" i="8"/>
  <c r="E41" i="8"/>
  <c r="Q39" i="20" s="1"/>
  <c r="AI100" i="8"/>
  <c r="V41" i="8"/>
  <c r="U41" i="8"/>
  <c r="K41" i="8"/>
  <c r="T39" i="20" s="1"/>
  <c r="K82" i="18"/>
  <c r="I82" i="18" s="1"/>
  <c r="J82" i="18"/>
  <c r="N28" i="15"/>
  <c r="Z27" i="15"/>
  <c r="AH28" i="15"/>
  <c r="R28" i="15"/>
  <c r="C146" i="8"/>
  <c r="I101" i="8"/>
  <c r="A101" i="8"/>
  <c r="V100" i="8"/>
  <c r="C100" i="8"/>
  <c r="B43" i="8"/>
  <c r="N42" i="8"/>
  <c r="I42" i="8"/>
  <c r="C42" i="8"/>
  <c r="R38" i="20"/>
  <c r="H38" i="15"/>
  <c r="F73" i="23" s="1"/>
  <c r="G38" i="15"/>
  <c r="T99" i="8"/>
  <c r="X28" i="15"/>
  <c r="O28" i="15"/>
  <c r="T28" i="15" s="1"/>
  <c r="S26" i="15"/>
  <c r="U26" i="15" s="1"/>
  <c r="H106" i="15"/>
  <c r="F106" i="15"/>
  <c r="G106" i="15"/>
  <c r="AN33" i="15"/>
  <c r="I105" i="15"/>
  <c r="Q28" i="22"/>
  <c r="T28" i="22" s="1"/>
  <c r="M28" i="22"/>
  <c r="O28" i="22" s="1"/>
  <c r="Y27" i="22"/>
  <c r="AA27" i="22" s="1"/>
  <c r="AD1560" i="6"/>
  <c r="AB1560" i="6"/>
  <c r="M99" i="8"/>
  <c r="C29" i="22"/>
  <c r="E96" i="22"/>
  <c r="L29" i="22"/>
  <c r="W29" i="22" s="1"/>
  <c r="J29" i="22"/>
  <c r="Y35" i="15"/>
  <c r="U38" i="20"/>
  <c r="AG36" i="15"/>
  <c r="E72" i="23"/>
  <c r="J37" i="15"/>
  <c r="AJ26" i="15"/>
  <c r="AP26" i="15"/>
  <c r="AR26" i="15" s="1"/>
  <c r="AQ99" i="8"/>
  <c r="AJ99" i="8"/>
  <c r="G71" i="23"/>
  <c r="H95" i="22"/>
  <c r="G95" i="22"/>
  <c r="F95" i="22"/>
  <c r="Y1562" i="6"/>
  <c r="AH1561" i="6"/>
  <c r="AG1561" i="6"/>
  <c r="AE1561" i="6"/>
  <c r="AF1561" i="6" s="1"/>
  <c r="AC1561" i="6"/>
  <c r="AA1561" i="6"/>
  <c r="Z1561" i="6" s="1"/>
  <c r="T98" i="8"/>
  <c r="J60" i="23"/>
  <c r="V25" i="15"/>
  <c r="AC24" i="15"/>
  <c r="AD24" i="15" s="1"/>
  <c r="M98" i="8"/>
  <c r="L144" i="8"/>
  <c r="G98" i="8"/>
  <c r="K39" i="15" s="1"/>
  <c r="H74" i="23" s="1"/>
  <c r="I94" i="22"/>
  <c r="AI27" i="15"/>
  <c r="AA27" i="15"/>
  <c r="Z18" i="1"/>
  <c r="AB18" i="1" s="1"/>
  <c r="O18" i="1" s="1"/>
  <c r="O19" i="1" s="1"/>
  <c r="AT25" i="15"/>
  <c r="AB26" i="22"/>
  <c r="AC26" i="22" s="1"/>
  <c r="U27" i="22"/>
  <c r="P27" i="15"/>
  <c r="I62" i="23" s="1"/>
  <c r="AB26" i="15"/>
  <c r="B64" i="23"/>
  <c r="M29" i="15"/>
  <c r="L83" i="18"/>
  <c r="K83" i="18" s="1"/>
  <c r="E107" i="15"/>
  <c r="AL29" i="15"/>
  <c r="AM29" i="15" s="1"/>
  <c r="E30" i="15"/>
  <c r="AF29" i="15"/>
  <c r="AQ29" i="15" s="1"/>
  <c r="C29" i="15"/>
  <c r="P42" i="8" a="1"/>
  <c r="X100" i="8" a="1"/>
  <c r="Q42" i="8" a="1"/>
  <c r="E101" i="8" a="1"/>
  <c r="K101" i="8" a="1"/>
  <c r="K42" i="8" a="1"/>
  <c r="E146" i="8" a="1"/>
  <c r="U42" i="8" a="1"/>
  <c r="Y100" i="8" a="1"/>
  <c r="V42" i="8" a="1"/>
  <c r="F146" i="8" a="1"/>
  <c r="E42" i="8" a="1"/>
  <c r="Y40" i="20" l="1"/>
  <c r="P28" i="15"/>
  <c r="I63" i="23" s="1"/>
  <c r="E42" i="8"/>
  <c r="Q40" i="20" s="1"/>
  <c r="V42" i="8"/>
  <c r="U42" i="8"/>
  <c r="K42" i="8"/>
  <c r="T40" i="20" s="1"/>
  <c r="Q42" i="8"/>
  <c r="P42" i="8"/>
  <c r="K146" i="8"/>
  <c r="Y100" i="8"/>
  <c r="X100" i="8"/>
  <c r="E101" i="8"/>
  <c r="W41" i="20" s="1"/>
  <c r="K101" i="8"/>
  <c r="X41" i="20" s="1"/>
  <c r="F146" i="8"/>
  <c r="H146" i="8" s="1"/>
  <c r="E146" i="8"/>
  <c r="AA28" i="15"/>
  <c r="AI28" i="15"/>
  <c r="AJ100" i="8"/>
  <c r="E73" i="23"/>
  <c r="J38" i="15"/>
  <c r="H39" i="15"/>
  <c r="F74" i="23" s="1"/>
  <c r="R39" i="20"/>
  <c r="G39" i="15"/>
  <c r="AN34" i="15"/>
  <c r="T100" i="8"/>
  <c r="AS99" i="8"/>
  <c r="AA29" i="22"/>
  <c r="AC29" i="22" s="1"/>
  <c r="V101" i="8"/>
  <c r="C101" i="8"/>
  <c r="B44" i="8"/>
  <c r="N43" i="8"/>
  <c r="I43" i="8"/>
  <c r="C43" i="8"/>
  <c r="AQ100" i="8"/>
  <c r="H96" i="22"/>
  <c r="G96" i="22"/>
  <c r="F96" i="22"/>
  <c r="L145" i="8"/>
  <c r="G99" i="8"/>
  <c r="K40" i="15" s="1"/>
  <c r="H75" i="23" s="1"/>
  <c r="Y28" i="22"/>
  <c r="AA28" i="22" s="1"/>
  <c r="Q29" i="22"/>
  <c r="T29" i="22" s="1"/>
  <c r="M29" i="22"/>
  <c r="O29" i="22" s="1"/>
  <c r="AB1561" i="6"/>
  <c r="AD1561" i="6"/>
  <c r="AB27" i="15"/>
  <c r="AJ27" i="15"/>
  <c r="AP27" i="15"/>
  <c r="AR27" i="15" s="1"/>
  <c r="N29" i="15"/>
  <c r="AH29" i="15"/>
  <c r="Z28" i="15"/>
  <c r="R29" i="15"/>
  <c r="G72" i="23"/>
  <c r="AT26" i="15"/>
  <c r="M82" i="18"/>
  <c r="B65" i="23"/>
  <c r="L84" i="18"/>
  <c r="K84" i="18" s="1"/>
  <c r="AF30" i="15"/>
  <c r="AQ30" i="15" s="1"/>
  <c r="M30" i="15"/>
  <c r="E31" i="15"/>
  <c r="E108" i="15"/>
  <c r="C30" i="15"/>
  <c r="AL30" i="15"/>
  <c r="AM30" i="15" s="1"/>
  <c r="U28" i="22"/>
  <c r="AB27" i="22"/>
  <c r="AC27" i="22" s="1"/>
  <c r="Y1563" i="6"/>
  <c r="AH1562" i="6"/>
  <c r="AG1562" i="6"/>
  <c r="AE1562" i="6"/>
  <c r="AF1562" i="6" s="1"/>
  <c r="AC1562" i="6"/>
  <c r="AA1562" i="6"/>
  <c r="Z1562" i="6" s="1"/>
  <c r="X29" i="15"/>
  <c r="O29" i="15"/>
  <c r="T29" i="15" s="1"/>
  <c r="S27" i="15"/>
  <c r="U27" i="15" s="1"/>
  <c r="I95" i="22"/>
  <c r="I106" i="15"/>
  <c r="Y36" i="15"/>
  <c r="U39" i="20"/>
  <c r="AG37" i="15"/>
  <c r="J61" i="23"/>
  <c r="AC25" i="15"/>
  <c r="AD25" i="15" s="1"/>
  <c r="V26" i="15"/>
  <c r="H107" i="15"/>
  <c r="G107" i="15"/>
  <c r="F107" i="15"/>
  <c r="M100" i="8"/>
  <c r="Y101" i="8" a="1"/>
  <c r="E43" i="8" a="1"/>
  <c r="K43" i="8" a="1"/>
  <c r="P43" i="8" a="1"/>
  <c r="V43" i="8" a="1"/>
  <c r="X101" i="8" a="1"/>
  <c r="U43" i="8" a="1"/>
  <c r="Q43" i="8" a="1"/>
  <c r="I96" i="22" l="1"/>
  <c r="I110" i="8"/>
  <c r="I117" i="8"/>
  <c r="I115" i="8"/>
  <c r="I121" i="8"/>
  <c r="P29" i="15"/>
  <c r="I64" i="23" s="1"/>
  <c r="R41" i="20"/>
  <c r="E43" i="8"/>
  <c r="Q41" i="20" s="1"/>
  <c r="V43" i="8"/>
  <c r="U43" i="8"/>
  <c r="M101" i="8"/>
  <c r="K43" i="8"/>
  <c r="T41" i="20" s="1"/>
  <c r="K147" i="8"/>
  <c r="I146" i="8" s="1"/>
  <c r="Y101" i="8"/>
  <c r="X101" i="8"/>
  <c r="Q43" i="8"/>
  <c r="P43" i="8"/>
  <c r="AG1563" i="6"/>
  <c r="Y1564" i="6"/>
  <c r="AE1563" i="6"/>
  <c r="AF1563" i="6" s="1"/>
  <c r="AH1563" i="6"/>
  <c r="AC1563" i="6"/>
  <c r="AA1563" i="6"/>
  <c r="Z1563" i="6" s="1"/>
  <c r="E52" i="1"/>
  <c r="F52" i="1"/>
  <c r="F51" i="1"/>
  <c r="E50" i="1"/>
  <c r="D50" i="1"/>
  <c r="F53" i="1"/>
  <c r="D51" i="1"/>
  <c r="D53" i="1"/>
  <c r="F50" i="1"/>
  <c r="E53" i="1"/>
  <c r="D52" i="1"/>
  <c r="E51" i="1"/>
  <c r="BS21" i="1" s="1"/>
  <c r="G52" i="1"/>
  <c r="G51" i="1"/>
  <c r="G50" i="1"/>
  <c r="G53" i="1"/>
  <c r="AH30" i="15"/>
  <c r="Z29" i="15"/>
  <c r="R30" i="15"/>
  <c r="N30" i="15"/>
  <c r="X30" i="15"/>
  <c r="O30" i="15"/>
  <c r="T30" i="15" s="1"/>
  <c r="S28" i="15"/>
  <c r="U28" i="15" s="1"/>
  <c r="V102" i="8"/>
  <c r="B45" i="8"/>
  <c r="N44" i="8"/>
  <c r="I44" i="8"/>
  <c r="C44" i="8"/>
  <c r="AD1562" i="6"/>
  <c r="AB1562" i="6"/>
  <c r="AB28" i="22"/>
  <c r="AC28" i="22" s="1"/>
  <c r="U29" i="22"/>
  <c r="Y41" i="20"/>
  <c r="I107" i="15"/>
  <c r="U40" i="20"/>
  <c r="AG38" i="15"/>
  <c r="H108" i="15"/>
  <c r="G108" i="15"/>
  <c r="F108" i="15"/>
  <c r="L146" i="8"/>
  <c r="G100" i="8"/>
  <c r="AN35" i="15"/>
  <c r="AJ28" i="15"/>
  <c r="AP28" i="15"/>
  <c r="AR28" i="15" s="1"/>
  <c r="B66" i="23"/>
  <c r="M31" i="15"/>
  <c r="E109" i="15"/>
  <c r="E32" i="15"/>
  <c r="L85" i="18"/>
  <c r="K85" i="18" s="1"/>
  <c r="AF31" i="15"/>
  <c r="AQ31" i="15" s="1"/>
  <c r="AL31" i="15"/>
  <c r="AM31" i="15" s="1"/>
  <c r="C31" i="15"/>
  <c r="AB28" i="15"/>
  <c r="J62" i="23"/>
  <c r="AC26" i="15"/>
  <c r="AD26" i="15" s="1"/>
  <c r="V27" i="15"/>
  <c r="E74" i="23"/>
  <c r="J39" i="15"/>
  <c r="AA29" i="15"/>
  <c r="AI29" i="15"/>
  <c r="AT27" i="15"/>
  <c r="H40" i="15"/>
  <c r="F75" i="23" s="1"/>
  <c r="R40" i="20"/>
  <c r="G40" i="15"/>
  <c r="G73" i="23"/>
  <c r="E44" i="8" a="1"/>
  <c r="V44" i="8" a="1"/>
  <c r="Y102" i="8" a="1"/>
  <c r="U44" i="8" a="1"/>
  <c r="P44" i="8" a="1"/>
  <c r="Q44" i="8" a="1"/>
  <c r="K44" i="8" a="1"/>
  <c r="X102" i="8" a="1"/>
  <c r="I119" i="8" l="1"/>
  <c r="I123" i="8"/>
  <c r="I135" i="8"/>
  <c r="I128" i="8"/>
  <c r="I132" i="8"/>
  <c r="I125" i="8"/>
  <c r="I126" i="8"/>
  <c r="I134" i="8"/>
  <c r="I129" i="8"/>
  <c r="I131" i="8"/>
  <c r="I108" i="15"/>
  <c r="I112" i="8"/>
  <c r="I124" i="8"/>
  <c r="I137" i="8"/>
  <c r="I111" i="8"/>
  <c r="I118" i="8"/>
  <c r="I116" i="8"/>
  <c r="I145" i="8"/>
  <c r="I120" i="8"/>
  <c r="I122" i="8"/>
  <c r="I144" i="8"/>
  <c r="I139" i="8"/>
  <c r="I143" i="8"/>
  <c r="I114" i="8"/>
  <c r="I113" i="8"/>
  <c r="I142" i="8"/>
  <c r="I138" i="8"/>
  <c r="I141" i="8"/>
  <c r="I127" i="8"/>
  <c r="I133" i="8"/>
  <c r="I109" i="8"/>
  <c r="P30" i="15"/>
  <c r="I65" i="23" s="1"/>
  <c r="AB29" i="15"/>
  <c r="AT28" i="15"/>
  <c r="E44" i="8"/>
  <c r="Q44" i="8"/>
  <c r="P44" i="8"/>
  <c r="V44" i="8"/>
  <c r="U44" i="8"/>
  <c r="K44" i="8"/>
  <c r="Y102" i="8"/>
  <c r="X102" i="8"/>
  <c r="AD1563" i="6"/>
  <c r="AB1563" i="6"/>
  <c r="V103" i="8"/>
  <c r="B46" i="8"/>
  <c r="N45" i="8"/>
  <c r="I45" i="8"/>
  <c r="C45" i="8"/>
  <c r="AG1564" i="6"/>
  <c r="Y1565" i="6"/>
  <c r="AH1564" i="6"/>
  <c r="AE1564" i="6"/>
  <c r="AF1564" i="6" s="1"/>
  <c r="AC1564" i="6"/>
  <c r="AA1564" i="6"/>
  <c r="Z1564" i="6" s="1"/>
  <c r="B67" i="23"/>
  <c r="AL32" i="15"/>
  <c r="AM32" i="15" s="1"/>
  <c r="C32" i="15"/>
  <c r="AF32" i="15"/>
  <c r="AQ32" i="15" s="1"/>
  <c r="L86" i="18"/>
  <c r="K86" i="18" s="1"/>
  <c r="E110" i="15"/>
  <c r="M32" i="15"/>
  <c r="E33" i="15"/>
  <c r="L147" i="8"/>
  <c r="G101" i="8"/>
  <c r="G109" i="15"/>
  <c r="F109" i="15"/>
  <c r="H109" i="15"/>
  <c r="O31" i="15"/>
  <c r="T31" i="15" s="1"/>
  <c r="X31" i="15"/>
  <c r="S29" i="15"/>
  <c r="U29" i="15" s="1"/>
  <c r="AA30" i="15"/>
  <c r="AI30" i="15"/>
  <c r="E75" i="23"/>
  <c r="J40" i="15"/>
  <c r="Y38" i="15"/>
  <c r="U41" i="20"/>
  <c r="AG39" i="15"/>
  <c r="R31" i="15"/>
  <c r="Z30" i="15"/>
  <c r="AH31" i="15"/>
  <c r="N31" i="15"/>
  <c r="J63" i="23"/>
  <c r="V28" i="15"/>
  <c r="AC27" i="15"/>
  <c r="AD27" i="15" s="1"/>
  <c r="AP29" i="15"/>
  <c r="AR29" i="15" s="1"/>
  <c r="AJ29" i="15"/>
  <c r="Y37" i="15"/>
  <c r="G74" i="23"/>
  <c r="AB17" i="20"/>
  <c r="AB37" i="20"/>
  <c r="AB33" i="20"/>
  <c r="AB28" i="20"/>
  <c r="AB5" i="20"/>
  <c r="AB30" i="20"/>
  <c r="AB31" i="20"/>
  <c r="AB32" i="20"/>
  <c r="AB19" i="20"/>
  <c r="AB25" i="20"/>
  <c r="AB7" i="20"/>
  <c r="AB29" i="20"/>
  <c r="AB6" i="20"/>
  <c r="AB20" i="20"/>
  <c r="AB34" i="20"/>
  <c r="AB35" i="20"/>
  <c r="AB40" i="20"/>
  <c r="AB36" i="20"/>
  <c r="AB38" i="20"/>
  <c r="V45" i="8" a="1"/>
  <c r="U45" i="8" a="1"/>
  <c r="Y103" i="8" a="1"/>
  <c r="P45" i="8" a="1"/>
  <c r="K45" i="8" a="1"/>
  <c r="X103" i="8" a="1"/>
  <c r="Q45" i="8" a="1"/>
  <c r="E45" i="8" a="1"/>
  <c r="AB30" i="15" l="1"/>
  <c r="I109" i="15"/>
  <c r="I130" i="8"/>
  <c r="I136" i="8"/>
  <c r="I140" i="8"/>
  <c r="P31" i="15"/>
  <c r="I66" i="23" s="1"/>
  <c r="AT29" i="15"/>
  <c r="E45" i="8"/>
  <c r="Q45" i="8"/>
  <c r="P45" i="8"/>
  <c r="V45" i="8"/>
  <c r="U45" i="8"/>
  <c r="K45" i="8"/>
  <c r="Y103" i="8"/>
  <c r="X103" i="8"/>
  <c r="B47" i="8"/>
  <c r="N46" i="8"/>
  <c r="I46" i="8"/>
  <c r="C46" i="8"/>
  <c r="AB1564" i="6"/>
  <c r="AD1564" i="6"/>
  <c r="J64" i="23"/>
  <c r="AC28" i="15"/>
  <c r="AD28" i="15" s="1"/>
  <c r="V29" i="15"/>
  <c r="AE1565" i="6"/>
  <c r="AF1565" i="6" s="1"/>
  <c r="AC1565" i="6"/>
  <c r="AA1565" i="6"/>
  <c r="Z1565" i="6" s="1"/>
  <c r="Y1566" i="6"/>
  <c r="AH1565" i="6"/>
  <c r="AG1565" i="6"/>
  <c r="AA31" i="15"/>
  <c r="AI31" i="15"/>
  <c r="G75" i="23"/>
  <c r="B68" i="23"/>
  <c r="AF33" i="15"/>
  <c r="AQ33" i="15" s="1"/>
  <c r="E111" i="15"/>
  <c r="E34" i="15"/>
  <c r="AL33" i="15"/>
  <c r="AM33" i="15" s="1"/>
  <c r="M33" i="15"/>
  <c r="C33" i="15"/>
  <c r="H110" i="15"/>
  <c r="G110" i="15"/>
  <c r="F110" i="15"/>
  <c r="AP30" i="15"/>
  <c r="AR30" i="15" s="1"/>
  <c r="AJ30" i="15"/>
  <c r="Y39" i="15"/>
  <c r="AG40" i="15"/>
  <c r="AN36" i="15"/>
  <c r="X32" i="15"/>
  <c r="O32" i="15"/>
  <c r="T32" i="15" s="1"/>
  <c r="S30" i="15"/>
  <c r="U30" i="15" s="1"/>
  <c r="Z31" i="15"/>
  <c r="R32" i="15"/>
  <c r="N32" i="15"/>
  <c r="AH32" i="15"/>
  <c r="AN37" i="15"/>
  <c r="P46" i="8" a="1"/>
  <c r="E46" i="8" a="1"/>
  <c r="V46" i="8" a="1"/>
  <c r="K46" i="8" a="1"/>
  <c r="U46" i="8" a="1"/>
  <c r="Q46" i="8" a="1"/>
  <c r="I110" i="15" l="1"/>
  <c r="AB31" i="15"/>
  <c r="V46" i="8"/>
  <c r="U46" i="8"/>
  <c r="K46" i="8"/>
  <c r="E46" i="8"/>
  <c r="Q46" i="8"/>
  <c r="P46" i="8"/>
  <c r="B48" i="8"/>
  <c r="N47" i="8"/>
  <c r="I47" i="8"/>
  <c r="C47" i="8"/>
  <c r="AD1565" i="6"/>
  <c r="AB1565" i="6"/>
  <c r="AI32" i="15"/>
  <c r="AA32" i="15"/>
  <c r="B69" i="23"/>
  <c r="E112" i="15"/>
  <c r="E35" i="15"/>
  <c r="M34" i="15"/>
  <c r="AL34" i="15"/>
  <c r="AM34" i="15" s="1"/>
  <c r="AF34" i="15"/>
  <c r="AQ34" i="15" s="1"/>
  <c r="C34" i="15"/>
  <c r="AT30" i="15"/>
  <c r="Z32" i="15"/>
  <c r="R33" i="15"/>
  <c r="N33" i="15"/>
  <c r="AH33" i="15"/>
  <c r="H111" i="15"/>
  <c r="G111" i="15"/>
  <c r="F111" i="15"/>
  <c r="AP31" i="15"/>
  <c r="AR31" i="15" s="1"/>
  <c r="AJ31" i="15"/>
  <c r="J65" i="23"/>
  <c r="V30" i="15"/>
  <c r="AC29" i="15"/>
  <c r="AD29" i="15" s="1"/>
  <c r="X33" i="15"/>
  <c r="O33" i="15"/>
  <c r="T33" i="15" s="1"/>
  <c r="S31" i="15"/>
  <c r="U31" i="15" s="1"/>
  <c r="Y40" i="15"/>
  <c r="AN38" i="15"/>
  <c r="P32" i="15"/>
  <c r="I67" i="23" s="1"/>
  <c r="AG1566" i="6"/>
  <c r="AE1566" i="6"/>
  <c r="AF1566" i="6" s="1"/>
  <c r="AC1566" i="6"/>
  <c r="AA1566" i="6"/>
  <c r="Z1566" i="6" s="1"/>
  <c r="Y1567" i="6"/>
  <c r="AH1566" i="6"/>
  <c r="V47" i="8" a="1"/>
  <c r="U47" i="8" a="1"/>
  <c r="Q47" i="8" a="1"/>
  <c r="E47" i="8" a="1"/>
  <c r="P47" i="8" a="1"/>
  <c r="K47" i="8" a="1"/>
  <c r="I111" i="15" l="1"/>
  <c r="V47" i="8"/>
  <c r="U47" i="8"/>
  <c r="K47" i="8"/>
  <c r="Q47" i="8"/>
  <c r="P47" i="8"/>
  <c r="E47" i="8"/>
  <c r="R34" i="15"/>
  <c r="Z33" i="15"/>
  <c r="N34" i="15"/>
  <c r="AH34" i="15"/>
  <c r="AD1566" i="6"/>
  <c r="AB1566" i="6"/>
  <c r="O34" i="15"/>
  <c r="T34" i="15" s="1"/>
  <c r="X34" i="15"/>
  <c r="S32" i="15"/>
  <c r="U32" i="15" s="1"/>
  <c r="B70" i="23"/>
  <c r="AL35" i="15"/>
  <c r="AM35" i="15" s="1"/>
  <c r="C35" i="15"/>
  <c r="M35" i="15"/>
  <c r="AF35" i="15"/>
  <c r="AQ35" i="15" s="1"/>
  <c r="E113" i="15"/>
  <c r="E36" i="15"/>
  <c r="AN39" i="15"/>
  <c r="AP32" i="15"/>
  <c r="AR32" i="15" s="1"/>
  <c r="AJ32" i="15"/>
  <c r="AT31" i="15"/>
  <c r="P33" i="15"/>
  <c r="I68" i="23" s="1"/>
  <c r="G112" i="15"/>
  <c r="F112" i="15"/>
  <c r="H112" i="15"/>
  <c r="J66" i="23"/>
  <c r="V31" i="15"/>
  <c r="AC30" i="15"/>
  <c r="AD30" i="15" s="1"/>
  <c r="AA33" i="15"/>
  <c r="AI33" i="15"/>
  <c r="B49" i="8"/>
  <c r="N48" i="8"/>
  <c r="I48" i="8"/>
  <c r="C48" i="8"/>
  <c r="AB32" i="15"/>
  <c r="AE1567" i="6"/>
  <c r="AF1567" i="6" s="1"/>
  <c r="AG1567" i="6"/>
  <c r="Y1568" i="6"/>
  <c r="AH1567" i="6"/>
  <c r="AC1567" i="6"/>
  <c r="AA1567" i="6"/>
  <c r="Z1567" i="6" s="1"/>
  <c r="Q48" i="8" a="1"/>
  <c r="U48" i="8" a="1"/>
  <c r="E48" i="8" a="1"/>
  <c r="K48" i="8" a="1"/>
  <c r="V48" i="8" a="1"/>
  <c r="P48" i="8" a="1"/>
  <c r="AT32" i="15" l="1"/>
  <c r="AB33" i="15"/>
  <c r="V48" i="8"/>
  <c r="U48" i="8"/>
  <c r="K48" i="8"/>
  <c r="E48" i="8"/>
  <c r="Q48" i="8"/>
  <c r="P48" i="8"/>
  <c r="Z34" i="15"/>
  <c r="R35" i="15"/>
  <c r="N35" i="15"/>
  <c r="AH35" i="15"/>
  <c r="H113" i="15"/>
  <c r="G113" i="15"/>
  <c r="F113" i="15"/>
  <c r="X35" i="15"/>
  <c r="O35" i="15"/>
  <c r="T35" i="15" s="1"/>
  <c r="S33" i="15"/>
  <c r="U33" i="15" s="1"/>
  <c r="J67" i="23"/>
  <c r="AC31" i="15"/>
  <c r="AD31" i="15" s="1"/>
  <c r="V32" i="15"/>
  <c r="P34" i="15"/>
  <c r="I69" i="23" s="1"/>
  <c r="B50" i="8"/>
  <c r="N49" i="8"/>
  <c r="I49" i="8"/>
  <c r="C49" i="8"/>
  <c r="AP33" i="15"/>
  <c r="AR33" i="15" s="1"/>
  <c r="AJ33" i="15"/>
  <c r="I112" i="15"/>
  <c r="AD1567" i="6"/>
  <c r="AB1567" i="6"/>
  <c r="Y1569" i="6"/>
  <c r="AH1568" i="6"/>
  <c r="AG1568" i="6"/>
  <c r="AE1568" i="6"/>
  <c r="AF1568" i="6" s="1"/>
  <c r="AC1568" i="6"/>
  <c r="AA1568" i="6"/>
  <c r="Z1568" i="6" s="1"/>
  <c r="AA34" i="15"/>
  <c r="AI34" i="15"/>
  <c r="B71" i="23"/>
  <c r="AF36" i="15"/>
  <c r="AQ36" i="15" s="1"/>
  <c r="E37" i="15"/>
  <c r="E114" i="15"/>
  <c r="AL36" i="15"/>
  <c r="AM36" i="15" s="1"/>
  <c r="M36" i="15"/>
  <c r="C36" i="15"/>
  <c r="U49" i="8" a="1"/>
  <c r="Q49" i="8" a="1"/>
  <c r="K49" i="8" a="1"/>
  <c r="V49" i="8" a="1"/>
  <c r="P49" i="8" a="1"/>
  <c r="E49" i="8" a="1"/>
  <c r="AB34" i="15" l="1"/>
  <c r="AT33" i="15"/>
  <c r="E49" i="8"/>
  <c r="V49" i="8"/>
  <c r="U49" i="8"/>
  <c r="K49" i="8"/>
  <c r="Q49" i="8"/>
  <c r="P49" i="8"/>
  <c r="R36" i="15"/>
  <c r="AH36" i="15"/>
  <c r="Z35" i="15"/>
  <c r="N36" i="15"/>
  <c r="AP34" i="15"/>
  <c r="AR34" i="15" s="1"/>
  <c r="AJ34" i="15"/>
  <c r="AD1568" i="6"/>
  <c r="AB1568" i="6"/>
  <c r="X36" i="15"/>
  <c r="O36" i="15"/>
  <c r="T36" i="15" s="1"/>
  <c r="S34" i="15"/>
  <c r="U34" i="15" s="1"/>
  <c r="H114" i="15"/>
  <c r="G114" i="15"/>
  <c r="F114" i="15"/>
  <c r="AI35" i="15"/>
  <c r="AA35" i="15"/>
  <c r="I113" i="15"/>
  <c r="P35" i="15"/>
  <c r="I70" i="23" s="1"/>
  <c r="AG1569" i="6"/>
  <c r="Y1570" i="6"/>
  <c r="AE1569" i="6"/>
  <c r="AF1569" i="6" s="1"/>
  <c r="AH1569" i="6"/>
  <c r="AC1569" i="6"/>
  <c r="AA1569" i="6"/>
  <c r="Z1569" i="6" s="1"/>
  <c r="J68" i="23"/>
  <c r="V33" i="15"/>
  <c r="AC32" i="15"/>
  <c r="AD32" i="15" s="1"/>
  <c r="B72" i="23"/>
  <c r="E38" i="15"/>
  <c r="M37" i="15"/>
  <c r="E115" i="15"/>
  <c r="AF37" i="15"/>
  <c r="AQ37" i="15" s="1"/>
  <c r="AL37" i="15"/>
  <c r="AM37" i="15" s="1"/>
  <c r="C37" i="15"/>
  <c r="B51" i="8"/>
  <c r="N50" i="8"/>
  <c r="I50" i="8"/>
  <c r="C50" i="8"/>
  <c r="V50" i="8" a="1"/>
  <c r="K50" i="8" a="1"/>
  <c r="E50" i="8" a="1"/>
  <c r="Q50" i="8" a="1"/>
  <c r="U50" i="8" a="1"/>
  <c r="P50" i="8" a="1"/>
  <c r="I114" i="15" l="1"/>
  <c r="AT34" i="15"/>
  <c r="AB35" i="15"/>
  <c r="Q50" i="8"/>
  <c r="P50" i="8"/>
  <c r="E50" i="8"/>
  <c r="V50" i="8"/>
  <c r="U50" i="8"/>
  <c r="K50" i="8"/>
  <c r="J69" i="23"/>
  <c r="AC33" i="15"/>
  <c r="AD33" i="15" s="1"/>
  <c r="V34" i="15"/>
  <c r="B73" i="23"/>
  <c r="AL38" i="15"/>
  <c r="AM38" i="15" s="1"/>
  <c r="C38" i="15"/>
  <c r="E116" i="15"/>
  <c r="AF38" i="15"/>
  <c r="AQ38" i="15" s="1"/>
  <c r="M38" i="15"/>
  <c r="E39" i="15"/>
  <c r="P36" i="15"/>
  <c r="I71" i="23" s="1"/>
  <c r="B52" i="8"/>
  <c r="N51" i="8"/>
  <c r="I51" i="8"/>
  <c r="C51" i="8"/>
  <c r="R37" i="15"/>
  <c r="Z36" i="15"/>
  <c r="N37" i="15"/>
  <c r="AH37" i="15"/>
  <c r="O37" i="15"/>
  <c r="T37" i="15" s="1"/>
  <c r="X37" i="15"/>
  <c r="S35" i="15"/>
  <c r="U35" i="15" s="1"/>
  <c r="H115" i="15"/>
  <c r="G115" i="15"/>
  <c r="F115" i="15"/>
  <c r="AA36" i="15"/>
  <c r="AI36" i="15"/>
  <c r="AD1569" i="6"/>
  <c r="AB1569" i="6"/>
  <c r="AJ35" i="15"/>
  <c r="AP35" i="15"/>
  <c r="AR35" i="15" s="1"/>
  <c r="AC1570" i="6"/>
  <c r="AE1570" i="6"/>
  <c r="AF1570" i="6" s="1"/>
  <c r="AA1570" i="6"/>
  <c r="Z1570" i="6" s="1"/>
  <c r="Y1571" i="6"/>
  <c r="AH1570" i="6"/>
  <c r="AG1570" i="6"/>
  <c r="V51" i="8" a="1"/>
  <c r="Q51" i="8" a="1"/>
  <c r="U51" i="8" a="1"/>
  <c r="E51" i="8" a="1"/>
  <c r="P51" i="8" a="1"/>
  <c r="K51" i="8" a="1"/>
  <c r="I115" i="15" l="1"/>
  <c r="P37" i="15"/>
  <c r="I72" i="23" s="1"/>
  <c r="V51" i="8"/>
  <c r="U51" i="8"/>
  <c r="K51" i="8"/>
  <c r="E51" i="8"/>
  <c r="Q51" i="8"/>
  <c r="P51" i="8"/>
  <c r="AH38" i="15"/>
  <c r="Z37" i="15"/>
  <c r="N38" i="15"/>
  <c r="R38" i="15"/>
  <c r="AB1570" i="6"/>
  <c r="AD1570" i="6"/>
  <c r="H116" i="15"/>
  <c r="G116" i="15"/>
  <c r="F116" i="15"/>
  <c r="AT35" i="15"/>
  <c r="J70" i="23"/>
  <c r="AC34" i="15"/>
  <c r="AD34" i="15" s="1"/>
  <c r="V35" i="15"/>
  <c r="AA37" i="15"/>
  <c r="AI37" i="15"/>
  <c r="B53" i="8"/>
  <c r="N52" i="8"/>
  <c r="I52" i="8"/>
  <c r="C52" i="8"/>
  <c r="B74" i="23"/>
  <c r="E117" i="15"/>
  <c r="E40" i="15"/>
  <c r="AL39" i="15"/>
  <c r="AM39" i="15" s="1"/>
  <c r="AF39" i="15"/>
  <c r="AQ39" i="15" s="1"/>
  <c r="M39" i="15"/>
  <c r="C39" i="15"/>
  <c r="AP36" i="15"/>
  <c r="AR36" i="15" s="1"/>
  <c r="AJ36" i="15"/>
  <c r="Y1572" i="6"/>
  <c r="AH1571" i="6"/>
  <c r="AG1571" i="6"/>
  <c r="AE1571" i="6"/>
  <c r="AF1571" i="6" s="1"/>
  <c r="AC1571" i="6"/>
  <c r="AA1571" i="6"/>
  <c r="Z1571" i="6" s="1"/>
  <c r="X38" i="15"/>
  <c r="O38" i="15"/>
  <c r="T38" i="15" s="1"/>
  <c r="S36" i="15"/>
  <c r="U36" i="15" s="1"/>
  <c r="AB36" i="15"/>
  <c r="Q52" i="8" a="1"/>
  <c r="V52" i="8" a="1"/>
  <c r="U52" i="8" a="1"/>
  <c r="K52" i="8" a="1"/>
  <c r="E52" i="8" a="1"/>
  <c r="P52" i="8" a="1"/>
  <c r="I116" i="15" l="1"/>
  <c r="AT36" i="15"/>
  <c r="E52" i="8"/>
  <c r="V52" i="8"/>
  <c r="U52" i="8"/>
  <c r="K52" i="8"/>
  <c r="Q52" i="8"/>
  <c r="P52" i="8"/>
  <c r="AP37" i="15"/>
  <c r="AR37" i="15" s="1"/>
  <c r="AJ37" i="15"/>
  <c r="J71" i="23"/>
  <c r="AC35" i="15"/>
  <c r="AD35" i="15" s="1"/>
  <c r="V36" i="15"/>
  <c r="AI38" i="15"/>
  <c r="AA38" i="15"/>
  <c r="AG1572" i="6"/>
  <c r="AH1572" i="6"/>
  <c r="AE1572" i="6"/>
  <c r="AF1572" i="6" s="1"/>
  <c r="AC1572" i="6"/>
  <c r="AA1572" i="6"/>
  <c r="Z1572" i="6" s="1"/>
  <c r="Y1573" i="6"/>
  <c r="AD1571" i="6"/>
  <c r="AB1571" i="6"/>
  <c r="P38" i="15"/>
  <c r="I73" i="23" s="1"/>
  <c r="H117" i="15"/>
  <c r="G117" i="15"/>
  <c r="F117" i="15"/>
  <c r="AB37" i="15"/>
  <c r="Z38" i="15"/>
  <c r="AH39" i="15"/>
  <c r="R39" i="15"/>
  <c r="N39" i="15"/>
  <c r="X39" i="15"/>
  <c r="S39" i="15"/>
  <c r="O39" i="15"/>
  <c r="T39" i="15" s="1"/>
  <c r="S37" i="15"/>
  <c r="U37" i="15" s="1"/>
  <c r="B75" i="23"/>
  <c r="M40" i="15"/>
  <c r="AL40" i="15"/>
  <c r="AM40" i="15" s="1"/>
  <c r="AF40" i="15"/>
  <c r="AQ40" i="15" s="1"/>
  <c r="E118" i="15"/>
  <c r="C40" i="15"/>
  <c r="N53" i="8"/>
  <c r="I53" i="8"/>
  <c r="C53" i="8"/>
  <c r="Q53" i="8" a="1"/>
  <c r="V53" i="8" a="1"/>
  <c r="P53" i="8" a="1"/>
  <c r="K53" i="8" a="1"/>
  <c r="U53" i="8" a="1"/>
  <c r="E53" i="8" a="1"/>
  <c r="I117" i="15" l="1"/>
  <c r="P39" i="15"/>
  <c r="I74" i="23" s="1"/>
  <c r="E53" i="8"/>
  <c r="V53" i="8"/>
  <c r="U53" i="8"/>
  <c r="K53" i="8"/>
  <c r="Q53" i="8"/>
  <c r="P53" i="8"/>
  <c r="Z39" i="15"/>
  <c r="N40" i="15"/>
  <c r="AH40" i="15"/>
  <c r="R40" i="15"/>
  <c r="AA1573" i="6"/>
  <c r="Z1573" i="6" s="1"/>
  <c r="Y1574" i="6"/>
  <c r="AH1573" i="6"/>
  <c r="AG1573" i="6"/>
  <c r="AE1573" i="6"/>
  <c r="AF1573" i="6" s="1"/>
  <c r="AC1573" i="6"/>
  <c r="H118" i="15"/>
  <c r="F118" i="15"/>
  <c r="G118" i="15"/>
  <c r="J72" i="23"/>
  <c r="AC36" i="15"/>
  <c r="AD36" i="15" s="1"/>
  <c r="V37" i="15"/>
  <c r="U39" i="15"/>
  <c r="AJ38" i="15"/>
  <c r="AP38" i="15"/>
  <c r="AR38" i="15" s="1"/>
  <c r="AD1572" i="6"/>
  <c r="AB1572" i="6"/>
  <c r="AA39" i="15"/>
  <c r="AI39" i="15"/>
  <c r="O40" i="15"/>
  <c r="T40" i="15" s="1"/>
  <c r="X40" i="15"/>
  <c r="S40" i="15"/>
  <c r="S38" i="15"/>
  <c r="U38" i="15" s="1"/>
  <c r="AT37" i="15"/>
  <c r="AB38" i="15"/>
  <c r="AB39" i="15" l="1"/>
  <c r="P40" i="15"/>
  <c r="I75" i="23" s="1"/>
  <c r="U40" i="15"/>
  <c r="J75" i="23" s="1"/>
  <c r="AD1573" i="6"/>
  <c r="AB1573" i="6"/>
  <c r="I118" i="15"/>
  <c r="Y1575" i="6"/>
  <c r="AH1574" i="6"/>
  <c r="AG1574" i="6"/>
  <c r="AA1574" i="6"/>
  <c r="Z1574" i="6" s="1"/>
  <c r="AE1574" i="6"/>
  <c r="AF1574" i="6" s="1"/>
  <c r="AC1574" i="6"/>
  <c r="J73" i="23"/>
  <c r="AC37" i="15"/>
  <c r="AD37" i="15" s="1"/>
  <c r="V38" i="15"/>
  <c r="AI40" i="15"/>
  <c r="AA40" i="15"/>
  <c r="AB40" i="15" s="1"/>
  <c r="AD40" i="15" s="1"/>
  <c r="AT38" i="15"/>
  <c r="AJ39" i="15"/>
  <c r="AP39" i="15"/>
  <c r="AR39" i="15" s="1"/>
  <c r="J74" i="23"/>
  <c r="V39" i="15"/>
  <c r="AC38" i="15"/>
  <c r="AD38" i="15" s="1"/>
  <c r="V40" i="15" l="1"/>
  <c r="AC39" i="15"/>
  <c r="AD39" i="15" s="1"/>
  <c r="AT39" i="15"/>
  <c r="AP40" i="15"/>
  <c r="AR40" i="15" s="1"/>
  <c r="AJ40" i="15"/>
  <c r="Y1576" i="6"/>
  <c r="AH1575" i="6"/>
  <c r="AG1575" i="6"/>
  <c r="AE1575" i="6"/>
  <c r="AF1575" i="6" s="1"/>
  <c r="AC1575" i="6"/>
  <c r="AA1575" i="6"/>
  <c r="Z1575" i="6" s="1"/>
  <c r="AD1574" i="6"/>
  <c r="AB1574" i="6"/>
  <c r="AD1575" i="6" l="1"/>
  <c r="AB1575" i="6"/>
  <c r="AG1576" i="6"/>
  <c r="AE1576" i="6"/>
  <c r="AF1576" i="6" s="1"/>
  <c r="AC1576" i="6"/>
  <c r="AA1576" i="6"/>
  <c r="Z1576" i="6" s="1"/>
  <c r="Y1577" i="6"/>
  <c r="AH1576" i="6"/>
  <c r="AT40" i="15"/>
  <c r="AE1577" i="6" l="1"/>
  <c r="AF1577" i="6" s="1"/>
  <c r="AC1577" i="6"/>
  <c r="AA1577" i="6"/>
  <c r="Z1577" i="6" s="1"/>
  <c r="Y1578" i="6"/>
  <c r="AH1577" i="6"/>
  <c r="AG1577" i="6"/>
  <c r="AD1576" i="6"/>
  <c r="AB1576" i="6"/>
  <c r="AG1578" i="6" l="1"/>
  <c r="Y1579" i="6"/>
  <c r="AH1578" i="6"/>
  <c r="AE1578" i="6"/>
  <c r="AF1578" i="6" s="1"/>
  <c r="AC1578" i="6"/>
  <c r="AA1578" i="6"/>
  <c r="Z1578" i="6" s="1"/>
  <c r="AD1577" i="6"/>
  <c r="AB1577" i="6"/>
  <c r="AD1578" i="6" l="1"/>
  <c r="AB1578" i="6"/>
  <c r="Y1580" i="6"/>
  <c r="AH1579" i="6"/>
  <c r="AG1579" i="6"/>
  <c r="AE1579" i="6"/>
  <c r="AF1579" i="6" s="1"/>
  <c r="AC1579" i="6"/>
  <c r="AA1579" i="6"/>
  <c r="Z1579" i="6" s="1"/>
  <c r="AD1579" i="6" l="1"/>
  <c r="AB1579" i="6"/>
  <c r="AA1580" i="6"/>
  <c r="Z1580" i="6" s="1"/>
  <c r="Y1581" i="6"/>
  <c r="AH1580" i="6"/>
  <c r="AG1580" i="6"/>
  <c r="AE1580" i="6"/>
  <c r="AF1580" i="6" s="1"/>
  <c r="AC1580" i="6"/>
  <c r="AB1580" i="6" l="1"/>
  <c r="AD1580" i="6"/>
  <c r="AE1581" i="6"/>
  <c r="AF1581" i="6" s="1"/>
  <c r="Y1582" i="6"/>
  <c r="AH1581" i="6"/>
  <c r="AG1581" i="6"/>
  <c r="AA1581" i="6"/>
  <c r="Z1581" i="6" s="1"/>
  <c r="AC1581" i="6"/>
  <c r="AD1581" i="6" l="1"/>
  <c r="AB1581" i="6"/>
  <c r="Y1583" i="6"/>
  <c r="AH1582" i="6"/>
  <c r="AG1582" i="6"/>
  <c r="AE1582" i="6"/>
  <c r="AF1582" i="6" s="1"/>
  <c r="AC1582" i="6"/>
  <c r="AA1582" i="6"/>
  <c r="Z1582" i="6" s="1"/>
  <c r="AD1582" i="6" l="1"/>
  <c r="AB1582" i="6"/>
  <c r="AG1583" i="6"/>
  <c r="AE1583" i="6"/>
  <c r="AF1583" i="6" s="1"/>
  <c r="AC1583" i="6"/>
  <c r="AA1583" i="6"/>
  <c r="Z1583" i="6" s="1"/>
  <c r="AH1583" i="6"/>
  <c r="Y1584" i="6"/>
  <c r="AC1584" i="6" l="1"/>
  <c r="Y1585" i="6"/>
  <c r="AH1584" i="6"/>
  <c r="AG1584" i="6"/>
  <c r="AE1584" i="6"/>
  <c r="AF1584" i="6" s="1"/>
  <c r="AA1584" i="6"/>
  <c r="Z1584" i="6" s="1"/>
  <c r="AD1583" i="6"/>
  <c r="AB1583" i="6"/>
  <c r="Y1586" i="6" l="1"/>
  <c r="AH1585" i="6"/>
  <c r="AA1585" i="6"/>
  <c r="Z1585" i="6" s="1"/>
  <c r="AG1585" i="6"/>
  <c r="AC1585" i="6"/>
  <c r="AE1585" i="6"/>
  <c r="AF1585" i="6" s="1"/>
  <c r="AB1584" i="6"/>
  <c r="AD1584" i="6"/>
  <c r="AD1585" i="6" l="1"/>
  <c r="AB1585" i="6"/>
  <c r="Y1587" i="6"/>
  <c r="AH1586" i="6"/>
  <c r="AG1586" i="6"/>
  <c r="AE1586" i="6"/>
  <c r="AF1586" i="6" s="1"/>
  <c r="AC1586" i="6"/>
  <c r="AA1586" i="6"/>
  <c r="Z1586" i="6" s="1"/>
  <c r="AD1586" i="6" l="1"/>
  <c r="AB1586" i="6"/>
  <c r="AA1587" i="6"/>
  <c r="Z1587" i="6" s="1"/>
  <c r="Y1588" i="6"/>
  <c r="AH1587" i="6"/>
  <c r="AC1587" i="6"/>
  <c r="AE1587" i="6"/>
  <c r="AF1587" i="6" s="1"/>
  <c r="AG1587" i="6"/>
  <c r="AD1587" i="6" l="1"/>
  <c r="AB1587" i="6"/>
  <c r="Y1589" i="6"/>
  <c r="AH1588" i="6"/>
  <c r="AG1588" i="6"/>
  <c r="AC1588" i="6"/>
  <c r="AE1588" i="6"/>
  <c r="AF1588" i="6" s="1"/>
  <c r="AA1588" i="6"/>
  <c r="Z1588" i="6" s="1"/>
  <c r="Y1590" i="6" l="1"/>
  <c r="AH1589" i="6"/>
  <c r="AG1589" i="6"/>
  <c r="AE1589" i="6"/>
  <c r="AF1589" i="6" s="1"/>
  <c r="AC1589" i="6"/>
  <c r="AA1589" i="6"/>
  <c r="Z1589" i="6" s="1"/>
  <c r="AD1588" i="6"/>
  <c r="AB1588" i="6"/>
  <c r="AD1589" i="6" l="1"/>
  <c r="AB1589" i="6"/>
  <c r="Y1591" i="6"/>
  <c r="AH1590" i="6"/>
  <c r="AC1590" i="6"/>
  <c r="AG1590" i="6"/>
  <c r="AE1590" i="6"/>
  <c r="AF1590" i="6" s="1"/>
  <c r="AA1590" i="6"/>
  <c r="Z1590" i="6" s="1"/>
  <c r="AE1591" i="6" l="1"/>
  <c r="AF1591" i="6" s="1"/>
  <c r="AC1591" i="6"/>
  <c r="AA1591" i="6"/>
  <c r="Z1591" i="6" s="1"/>
  <c r="Y1592" i="6"/>
  <c r="AH1591" i="6"/>
  <c r="AG1591" i="6"/>
  <c r="AD1590" i="6"/>
  <c r="AB1590" i="6"/>
  <c r="AG1592" i="6" l="1"/>
  <c r="AE1592" i="6"/>
  <c r="AF1592" i="6" s="1"/>
  <c r="AC1592" i="6"/>
  <c r="Y1593" i="6"/>
  <c r="AH1592" i="6"/>
  <c r="AA1592" i="6"/>
  <c r="Z1592" i="6" s="1"/>
  <c r="AD1591" i="6"/>
  <c r="AB1591" i="6"/>
  <c r="Y1594" i="6" l="1"/>
  <c r="AH1593" i="6"/>
  <c r="AC1593" i="6"/>
  <c r="AG1593" i="6"/>
  <c r="AE1593" i="6"/>
  <c r="AF1593" i="6" s="1"/>
  <c r="AA1593" i="6"/>
  <c r="Z1593" i="6" s="1"/>
  <c r="AD1592" i="6"/>
  <c r="AB1592" i="6"/>
  <c r="AD1593" i="6" l="1"/>
  <c r="AB1593" i="6"/>
  <c r="Y1595" i="6"/>
  <c r="AH1594" i="6"/>
  <c r="AG1594" i="6"/>
  <c r="AE1594" i="6"/>
  <c r="AF1594" i="6" s="1"/>
  <c r="AC1594" i="6"/>
  <c r="AA1594" i="6"/>
  <c r="Z1594" i="6" s="1"/>
  <c r="AD1594" i="6" l="1"/>
  <c r="AB1594" i="6"/>
  <c r="AE1595" i="6"/>
  <c r="AF1595" i="6" s="1"/>
  <c r="AA1595" i="6"/>
  <c r="Z1595" i="6" s="1"/>
  <c r="AH1595" i="6"/>
  <c r="Y1596" i="6"/>
  <c r="AG1595" i="6"/>
  <c r="AC1595" i="6"/>
  <c r="AD1595" i="6" l="1"/>
  <c r="AB1595" i="6"/>
  <c r="Y1597" i="6"/>
  <c r="AH1596" i="6"/>
  <c r="AC1596" i="6"/>
  <c r="AG1596" i="6"/>
  <c r="AA1596" i="6"/>
  <c r="Z1596" i="6" s="1"/>
  <c r="AE1596" i="6"/>
  <c r="AF1596" i="6" s="1"/>
  <c r="AD1596" i="6" l="1"/>
  <c r="AB1596" i="6"/>
  <c r="Y1598" i="6"/>
  <c r="AH1597" i="6"/>
  <c r="AG1597" i="6"/>
  <c r="AE1597" i="6"/>
  <c r="AF1597" i="6" s="1"/>
  <c r="AC1597" i="6"/>
  <c r="AA1597" i="6"/>
  <c r="Z1597" i="6" s="1"/>
  <c r="AC1598" i="6" l="1"/>
  <c r="Y1599" i="6"/>
  <c r="AH1598" i="6"/>
  <c r="AG1598" i="6"/>
  <c r="AE1598" i="6"/>
  <c r="AF1598" i="6" s="1"/>
  <c r="AA1598" i="6"/>
  <c r="Z1598" i="6" s="1"/>
  <c r="AD1597" i="6"/>
  <c r="AB1597" i="6"/>
  <c r="Y1600" i="6" l="1"/>
  <c r="AH1599" i="6"/>
  <c r="AC1599" i="6"/>
  <c r="AE1599" i="6"/>
  <c r="AF1599" i="6" s="1"/>
  <c r="AA1599" i="6"/>
  <c r="Z1599" i="6" s="1"/>
  <c r="AG1599" i="6"/>
  <c r="AB1598" i="6"/>
  <c r="AD1598" i="6"/>
  <c r="AD1599" i="6" l="1"/>
  <c r="AB1599" i="6"/>
  <c r="Y1601" i="6"/>
  <c r="AC1600" i="6"/>
  <c r="AA1600" i="6"/>
  <c r="Z1600" i="6" s="1"/>
  <c r="AH1600" i="6"/>
  <c r="AG1600" i="6"/>
  <c r="AE1600" i="6"/>
  <c r="AF1600" i="6" s="1"/>
  <c r="AD1600" i="6" l="1"/>
  <c r="AB1600" i="6"/>
  <c r="AA1601" i="6"/>
  <c r="Z1601" i="6" s="1"/>
  <c r="Y1602" i="6"/>
  <c r="AH1601" i="6"/>
  <c r="AG1601" i="6"/>
  <c r="AE1601" i="6"/>
  <c r="AF1601" i="6" s="1"/>
  <c r="AC1601" i="6"/>
  <c r="AD1601" i="6" l="1"/>
  <c r="AB1601" i="6"/>
  <c r="Y1603" i="6"/>
  <c r="AG1602" i="6"/>
  <c r="AH1602" i="6"/>
  <c r="AE1602" i="6"/>
  <c r="AF1602" i="6" s="1"/>
  <c r="AC1602" i="6"/>
  <c r="AA1602" i="6"/>
  <c r="Z1602" i="6" s="1"/>
  <c r="Y1604" i="6" l="1"/>
  <c r="AH1603" i="6"/>
  <c r="AG1603" i="6"/>
  <c r="AE1603" i="6"/>
  <c r="AF1603" i="6" s="1"/>
  <c r="AC1603" i="6"/>
  <c r="AA1603" i="6"/>
  <c r="Z1603" i="6" s="1"/>
  <c r="AD1602" i="6"/>
  <c r="AB1602" i="6"/>
  <c r="AD1603" i="6" l="1"/>
  <c r="AB1603" i="6"/>
  <c r="Y1605" i="6"/>
  <c r="AH1604" i="6"/>
  <c r="AG1604" i="6"/>
  <c r="AC1604" i="6"/>
  <c r="AE1604" i="6"/>
  <c r="AF1604" i="6" s="1"/>
  <c r="AA1604" i="6"/>
  <c r="Z1604" i="6" s="1"/>
  <c r="AD1604" i="6" l="1"/>
  <c r="AB1604" i="6"/>
  <c r="AH1605" i="6"/>
  <c r="AE1605" i="6"/>
  <c r="AF1605" i="6" s="1"/>
  <c r="Y1606" i="6"/>
  <c r="AG1605" i="6"/>
  <c r="AC1605" i="6"/>
  <c r="AA1605" i="6"/>
  <c r="Z1605" i="6" s="1"/>
  <c r="AD1605" i="6" l="1"/>
  <c r="AB1605" i="6"/>
  <c r="AG1606" i="6"/>
  <c r="AE1606" i="6"/>
  <c r="AF1606" i="6" s="1"/>
  <c r="Y1607" i="6"/>
  <c r="AH1606" i="6"/>
  <c r="AC1606" i="6"/>
  <c r="AA1606" i="6"/>
  <c r="Z1606" i="6" s="1"/>
  <c r="AD1606" i="6" l="1"/>
  <c r="AB1606" i="6"/>
  <c r="Y1608" i="6"/>
  <c r="AH1607" i="6"/>
  <c r="AG1607" i="6"/>
  <c r="AE1607" i="6"/>
  <c r="AF1607" i="6" s="1"/>
  <c r="AC1607" i="6"/>
  <c r="AA1607" i="6"/>
  <c r="Z1607" i="6" s="1"/>
  <c r="AD1607" i="6" l="1"/>
  <c r="AB1607" i="6"/>
  <c r="AH1608" i="6"/>
  <c r="Y1609" i="6"/>
  <c r="AG1608" i="6"/>
  <c r="AE1608" i="6"/>
  <c r="AF1608" i="6" s="1"/>
  <c r="AC1608" i="6"/>
  <c r="AA1608" i="6"/>
  <c r="Z1608" i="6" s="1"/>
  <c r="AD1608" i="6" l="1"/>
  <c r="AB1608" i="6"/>
  <c r="AE1609" i="6"/>
  <c r="AF1609" i="6" s="1"/>
  <c r="Y1610" i="6"/>
  <c r="AH1609" i="6"/>
  <c r="AC1609" i="6"/>
  <c r="AG1609" i="6"/>
  <c r="AA1609" i="6"/>
  <c r="Z1609" i="6" s="1"/>
  <c r="AD1609" i="6" l="1"/>
  <c r="AB1609" i="6"/>
  <c r="AA1610" i="6"/>
  <c r="Z1610" i="6" s="1"/>
  <c r="Y1611" i="6"/>
  <c r="AH1610" i="6"/>
  <c r="AG1610" i="6"/>
  <c r="AE1610" i="6"/>
  <c r="AF1610" i="6" s="1"/>
  <c r="AC1610" i="6"/>
  <c r="AD1610" i="6" l="1"/>
  <c r="AB1610" i="6"/>
  <c r="Y1612" i="6"/>
  <c r="AH1611" i="6"/>
  <c r="AG1611" i="6"/>
  <c r="AE1611" i="6"/>
  <c r="AF1611" i="6" s="1"/>
  <c r="AC1611" i="6"/>
  <c r="AA1611" i="6"/>
  <c r="Z1611" i="6" s="1"/>
  <c r="AE1612" i="6" l="1"/>
  <c r="AF1612" i="6" s="1"/>
  <c r="AC1612" i="6"/>
  <c r="AH1612" i="6"/>
  <c r="AG1612" i="6"/>
  <c r="AA1612" i="6"/>
  <c r="Z1612" i="6" s="1"/>
  <c r="Y1613" i="6"/>
  <c r="AD1611" i="6"/>
  <c r="AB1611" i="6"/>
  <c r="AC1613" i="6" l="1"/>
  <c r="AA1613" i="6"/>
  <c r="Z1613" i="6" s="1"/>
  <c r="Y1614" i="6"/>
  <c r="AH1613" i="6"/>
  <c r="AG1613" i="6"/>
  <c r="AE1613" i="6"/>
  <c r="AF1613" i="6" s="1"/>
  <c r="AD1612" i="6"/>
  <c r="AB1612" i="6"/>
  <c r="Y1615" i="6" l="1"/>
  <c r="AH1614" i="6"/>
  <c r="AG1614" i="6"/>
  <c r="AE1614" i="6"/>
  <c r="AF1614" i="6" s="1"/>
  <c r="AC1614" i="6"/>
  <c r="AA1614" i="6"/>
  <c r="Z1614" i="6" s="1"/>
  <c r="AB1613" i="6"/>
  <c r="AD1613" i="6"/>
  <c r="AD1614" i="6" l="1"/>
  <c r="AB1614" i="6"/>
  <c r="AC1615" i="6"/>
  <c r="Y1616" i="6"/>
  <c r="AG1615" i="6"/>
  <c r="AA1615" i="6"/>
  <c r="Z1615" i="6" s="1"/>
  <c r="AH1615" i="6"/>
  <c r="AE1615" i="6"/>
  <c r="AF1615" i="6" s="1"/>
  <c r="AE1616" i="6" l="1"/>
  <c r="AF1616" i="6" s="1"/>
  <c r="AC1616" i="6"/>
  <c r="Y1617" i="6"/>
  <c r="AH1616" i="6"/>
  <c r="AG1616" i="6"/>
  <c r="AA1616" i="6"/>
  <c r="Z1616" i="6" s="1"/>
  <c r="AD1615" i="6"/>
  <c r="AB1615" i="6"/>
  <c r="AA1617" i="6" l="1"/>
  <c r="Z1617" i="6" s="1"/>
  <c r="Y1618" i="6"/>
  <c r="AH1617" i="6"/>
  <c r="AG1617" i="6"/>
  <c r="AE1617" i="6"/>
  <c r="AF1617" i="6" s="1"/>
  <c r="AC1617" i="6"/>
  <c r="AD1616" i="6"/>
  <c r="AB1616" i="6"/>
  <c r="AB1617" i="6" l="1"/>
  <c r="AD1617" i="6"/>
  <c r="AC1618" i="6"/>
  <c r="AA1618" i="6"/>
  <c r="Z1618" i="6" s="1"/>
  <c r="Y1619" i="6"/>
  <c r="AH1618" i="6"/>
  <c r="AG1618" i="6"/>
  <c r="AE1618" i="6"/>
  <c r="AF1618" i="6" s="1"/>
  <c r="AB1618" i="6" l="1"/>
  <c r="AD1618" i="6"/>
  <c r="AG1619" i="6"/>
  <c r="AE1619" i="6"/>
  <c r="AF1619" i="6" s="1"/>
  <c r="AA1619" i="6"/>
  <c r="Z1619" i="6" s="1"/>
  <c r="Y1620" i="6"/>
  <c r="AH1619" i="6"/>
  <c r="AC1619" i="6"/>
  <c r="AD1619" i="6" l="1"/>
  <c r="AB1619" i="6"/>
  <c r="Y1621" i="6"/>
  <c r="AH1620" i="6"/>
  <c r="AG1620" i="6"/>
  <c r="AE1620" i="6"/>
  <c r="AF1620" i="6" s="1"/>
  <c r="AC1620" i="6"/>
  <c r="AA1620" i="6"/>
  <c r="Z1620" i="6" s="1"/>
  <c r="AD1620" i="6" l="1"/>
  <c r="AB1620" i="6"/>
  <c r="AA1621" i="6"/>
  <c r="Z1621" i="6" s="1"/>
  <c r="AH1621" i="6"/>
  <c r="AE1621" i="6"/>
  <c r="AF1621" i="6" s="1"/>
  <c r="AC1621" i="6"/>
  <c r="Y1622" i="6"/>
  <c r="AG1621" i="6"/>
  <c r="AB1621" i="6" l="1"/>
  <c r="AD1621" i="6"/>
  <c r="AH1622" i="6"/>
  <c r="Y1623" i="6"/>
  <c r="AG1622" i="6"/>
  <c r="AC1622" i="6"/>
  <c r="AA1622" i="6"/>
  <c r="Z1622" i="6" s="1"/>
  <c r="AE1622" i="6"/>
  <c r="AF1622" i="6" s="1"/>
  <c r="AD1622" i="6" l="1"/>
  <c r="AB1622" i="6"/>
  <c r="Y1624" i="6"/>
  <c r="AH1623" i="6"/>
  <c r="AG1623" i="6"/>
  <c r="AE1623" i="6"/>
  <c r="AF1623" i="6" s="1"/>
  <c r="AC1623" i="6"/>
  <c r="AA1623" i="6"/>
  <c r="Z1623" i="6" s="1"/>
  <c r="AD1623" i="6" l="1"/>
  <c r="AB1623" i="6"/>
  <c r="AA1624" i="6"/>
  <c r="Z1624" i="6" s="1"/>
  <c r="Y1625" i="6"/>
  <c r="AH1624" i="6"/>
  <c r="AG1624" i="6"/>
  <c r="AE1624" i="6"/>
  <c r="AF1624" i="6" s="1"/>
  <c r="AC1624" i="6"/>
  <c r="AD1624" i="6" l="1"/>
  <c r="AB1624" i="6"/>
  <c r="AH1625" i="6"/>
  <c r="AG1625" i="6"/>
  <c r="AE1625" i="6"/>
  <c r="AF1625" i="6" s="1"/>
  <c r="AC1625" i="6"/>
  <c r="Y1626" i="6"/>
  <c r="AA1625" i="6"/>
  <c r="Z1625" i="6" s="1"/>
  <c r="Y1627" i="6" l="1"/>
  <c r="AH1626" i="6"/>
  <c r="AC1626" i="6"/>
  <c r="AA1626" i="6"/>
  <c r="Z1626" i="6" s="1"/>
  <c r="AE1626" i="6"/>
  <c r="AF1626" i="6" s="1"/>
  <c r="AG1626" i="6"/>
  <c r="AD1625" i="6"/>
  <c r="AB1625" i="6"/>
  <c r="AB1626" i="6" l="1"/>
  <c r="AD1626" i="6"/>
  <c r="Y1628" i="6"/>
  <c r="AH1627" i="6"/>
  <c r="AG1627" i="6"/>
  <c r="AE1627" i="6"/>
  <c r="AF1627" i="6" s="1"/>
  <c r="AC1627" i="6"/>
  <c r="AA1627" i="6"/>
  <c r="Z1627" i="6" s="1"/>
  <c r="AD1627" i="6" l="1"/>
  <c r="AB1627" i="6"/>
  <c r="AG1628" i="6"/>
  <c r="AH1628" i="6"/>
  <c r="AC1628" i="6"/>
  <c r="Y1629" i="6"/>
  <c r="AE1628" i="6"/>
  <c r="AF1628" i="6" s="1"/>
  <c r="AA1628" i="6"/>
  <c r="Z1628" i="6" s="1"/>
  <c r="Y1630" i="6" l="1"/>
  <c r="AH1629" i="6"/>
  <c r="AG1629" i="6"/>
  <c r="AE1629" i="6"/>
  <c r="AF1629" i="6" s="1"/>
  <c r="AC1629" i="6"/>
  <c r="AA1629" i="6"/>
  <c r="Z1629" i="6" s="1"/>
  <c r="AD1628" i="6"/>
  <c r="AB1628" i="6"/>
  <c r="AD1629" i="6" l="1"/>
  <c r="AB1629" i="6"/>
  <c r="Y1631" i="6"/>
  <c r="AH1630" i="6"/>
  <c r="AG1630" i="6"/>
  <c r="AE1630" i="6"/>
  <c r="AF1630" i="6" s="1"/>
  <c r="AC1630" i="6"/>
  <c r="AA1630" i="6"/>
  <c r="Z1630" i="6" s="1"/>
  <c r="AD1630" i="6" l="1"/>
  <c r="AB1630" i="6"/>
  <c r="AH1631" i="6"/>
  <c r="Y1632" i="6"/>
  <c r="AG1631" i="6"/>
  <c r="AE1631" i="6"/>
  <c r="AF1631" i="6" s="1"/>
  <c r="AC1631" i="6"/>
  <c r="AA1631" i="6"/>
  <c r="Z1631" i="6" s="1"/>
  <c r="AH1632" i="6" l="1"/>
  <c r="AG1632" i="6"/>
  <c r="Y1633" i="6"/>
  <c r="AC1632" i="6"/>
  <c r="AA1632" i="6"/>
  <c r="Z1632" i="6" s="1"/>
  <c r="AE1632" i="6"/>
  <c r="AF1632" i="6" s="1"/>
  <c r="AB1631" i="6"/>
  <c r="AD1631" i="6"/>
  <c r="AD1632" i="6" l="1"/>
  <c r="AB1632" i="6"/>
  <c r="AA1633" i="6"/>
  <c r="Z1633" i="6" s="1"/>
  <c r="Y1634" i="6"/>
  <c r="AH1633" i="6"/>
  <c r="AG1633" i="6"/>
  <c r="AE1633" i="6"/>
  <c r="AF1633" i="6" s="1"/>
  <c r="AC1633" i="6"/>
  <c r="AB1633" i="6" l="1"/>
  <c r="AD1633" i="6"/>
  <c r="AE1634" i="6"/>
  <c r="AF1634" i="6" s="1"/>
  <c r="Y1635" i="6"/>
  <c r="AH1634" i="6"/>
  <c r="AG1634" i="6"/>
  <c r="AC1634" i="6"/>
  <c r="AA1634" i="6"/>
  <c r="Z1634" i="6" s="1"/>
  <c r="AG1635" i="6" l="1"/>
  <c r="AE1635" i="6"/>
  <c r="AF1635" i="6" s="1"/>
  <c r="Y1636" i="6"/>
  <c r="AA1635" i="6"/>
  <c r="Z1635" i="6" s="1"/>
  <c r="AC1635" i="6"/>
  <c r="AH1635" i="6"/>
  <c r="AD1634" i="6"/>
  <c r="AB1634" i="6"/>
  <c r="AD1635" i="6" l="1"/>
  <c r="AB1635" i="6"/>
  <c r="AH1636" i="6"/>
  <c r="AE1636" i="6"/>
  <c r="AF1636" i="6" s="1"/>
  <c r="AC1636" i="6"/>
  <c r="Y1637" i="6"/>
  <c r="AG1636" i="6"/>
  <c r="AA1636" i="6"/>
  <c r="Z1636" i="6" s="1"/>
  <c r="Y1638" i="6" l="1"/>
  <c r="AH1637" i="6"/>
  <c r="AG1637" i="6"/>
  <c r="AE1637" i="6"/>
  <c r="AF1637" i="6" s="1"/>
  <c r="AC1637" i="6"/>
  <c r="AA1637" i="6"/>
  <c r="Z1637" i="6" s="1"/>
  <c r="AD1636" i="6"/>
  <c r="AB1636" i="6"/>
  <c r="AD1637" i="6" l="1"/>
  <c r="AB1637" i="6"/>
  <c r="AE1638" i="6"/>
  <c r="AF1638" i="6" s="1"/>
  <c r="AG1638" i="6"/>
  <c r="Y1639" i="6"/>
  <c r="AH1638" i="6"/>
  <c r="AC1638" i="6"/>
  <c r="AA1638" i="6"/>
  <c r="Z1638" i="6" s="1"/>
  <c r="AD1638" i="6" l="1"/>
  <c r="AB1638" i="6"/>
  <c r="AA1639" i="6"/>
  <c r="Z1639" i="6" s="1"/>
  <c r="Y1640" i="6"/>
  <c r="AH1639" i="6"/>
  <c r="AG1639" i="6"/>
  <c r="AE1639" i="6"/>
  <c r="AF1639" i="6" s="1"/>
  <c r="AC1639" i="6"/>
  <c r="AD1639" i="6" l="1"/>
  <c r="AB1639" i="6"/>
  <c r="AC1640" i="6"/>
  <c r="AH1640" i="6"/>
  <c r="AG1640" i="6"/>
  <c r="AE1640" i="6"/>
  <c r="AF1640" i="6" s="1"/>
  <c r="AA1640" i="6"/>
  <c r="Z1640" i="6" s="1"/>
  <c r="Y1641" i="6"/>
  <c r="AE1641" i="6" l="1"/>
  <c r="AF1641" i="6" s="1"/>
  <c r="AC1641" i="6"/>
  <c r="Y1642" i="6"/>
  <c r="AH1641" i="6"/>
  <c r="AG1641" i="6"/>
  <c r="AA1641" i="6"/>
  <c r="Z1641" i="6" s="1"/>
  <c r="AD1640" i="6"/>
  <c r="AB1640" i="6"/>
  <c r="AA1642" i="6" l="1"/>
  <c r="Z1642" i="6" s="1"/>
  <c r="Y1643" i="6"/>
  <c r="AG1642" i="6"/>
  <c r="AC1642" i="6"/>
  <c r="AH1642" i="6"/>
  <c r="AE1642" i="6"/>
  <c r="AF1642" i="6" s="1"/>
  <c r="AD1641" i="6"/>
  <c r="AB1641" i="6"/>
  <c r="AD1642" i="6" l="1"/>
  <c r="AB1642" i="6"/>
  <c r="AC1643" i="6"/>
  <c r="AE1643" i="6"/>
  <c r="AF1643" i="6" s="1"/>
  <c r="AA1643" i="6"/>
  <c r="Z1643" i="6" s="1"/>
  <c r="Y1644" i="6"/>
  <c r="AH1643" i="6"/>
  <c r="AG1643" i="6"/>
  <c r="AD1643" i="6" l="1"/>
  <c r="AB1643" i="6"/>
  <c r="Y1645" i="6"/>
  <c r="AE1644" i="6"/>
  <c r="AF1644" i="6" s="1"/>
  <c r="AC1644" i="6"/>
  <c r="AH1644" i="6"/>
  <c r="AG1644" i="6"/>
  <c r="AA1644" i="6"/>
  <c r="Z1644" i="6" s="1"/>
  <c r="AD1644" i="6" l="1"/>
  <c r="AB1644" i="6"/>
  <c r="AC1645" i="6"/>
  <c r="Y1646" i="6"/>
  <c r="AH1645" i="6"/>
  <c r="AG1645" i="6"/>
  <c r="AE1645" i="6"/>
  <c r="AF1645" i="6" s="1"/>
  <c r="AA1645" i="6"/>
  <c r="Z1645" i="6" s="1"/>
  <c r="Y1647" i="6" l="1"/>
  <c r="AH1646" i="6"/>
  <c r="AG1646" i="6"/>
  <c r="AC1646" i="6"/>
  <c r="AE1646" i="6"/>
  <c r="AF1646" i="6" s="1"/>
  <c r="AA1646" i="6"/>
  <c r="Z1646" i="6" s="1"/>
  <c r="AB1645" i="6"/>
  <c r="AD1645" i="6"/>
  <c r="AD1646" i="6" l="1"/>
  <c r="AB1646" i="6"/>
  <c r="AH1647" i="6"/>
  <c r="AC1647" i="6"/>
  <c r="AG1647" i="6"/>
  <c r="AE1647" i="6"/>
  <c r="AF1647" i="6" s="1"/>
  <c r="AA1647" i="6"/>
  <c r="Z1647" i="6" s="1"/>
  <c r="Y1648" i="6"/>
  <c r="Y1649" i="6" l="1"/>
  <c r="AH1648" i="6"/>
  <c r="AG1648" i="6"/>
  <c r="AE1648" i="6"/>
  <c r="AF1648" i="6" s="1"/>
  <c r="AC1648" i="6"/>
  <c r="AA1648" i="6"/>
  <c r="Z1648" i="6" s="1"/>
  <c r="AB1647" i="6"/>
  <c r="AD1647" i="6"/>
  <c r="AD1648" i="6" l="1"/>
  <c r="AB1648" i="6"/>
  <c r="AE1649" i="6"/>
  <c r="AF1649" i="6" s="1"/>
  <c r="AG1649" i="6"/>
  <c r="Y1650" i="6"/>
  <c r="AH1649" i="6"/>
  <c r="AC1649" i="6"/>
  <c r="AA1649" i="6"/>
  <c r="Z1649" i="6" s="1"/>
  <c r="AH1650" i="6" l="1"/>
  <c r="AG1650" i="6"/>
  <c r="Y1651" i="6"/>
  <c r="AE1650" i="6"/>
  <c r="AF1650" i="6" s="1"/>
  <c r="AC1650" i="6"/>
  <c r="AA1650" i="6"/>
  <c r="Z1650" i="6" s="1"/>
  <c r="AD1649" i="6"/>
  <c r="AB1649" i="6"/>
  <c r="AB1650" i="6" l="1"/>
  <c r="AD1650" i="6"/>
  <c r="AE1651" i="6"/>
  <c r="AF1651" i="6" s="1"/>
  <c r="AC1651" i="6"/>
  <c r="AA1651" i="6"/>
  <c r="Z1651" i="6" s="1"/>
  <c r="Y1652" i="6"/>
  <c r="AH1651" i="6"/>
  <c r="AG1651" i="6"/>
  <c r="AD1651" i="6" l="1"/>
  <c r="AB1651" i="6"/>
  <c r="AA1652" i="6"/>
  <c r="Z1652" i="6" s="1"/>
  <c r="Y1653" i="6"/>
  <c r="AH1652" i="6"/>
  <c r="AG1652" i="6"/>
  <c r="AE1652" i="6"/>
  <c r="AF1652" i="6" s="1"/>
  <c r="AC1652" i="6"/>
  <c r="AB1652" i="6" l="1"/>
  <c r="AD1652" i="6"/>
  <c r="AG1653" i="6"/>
  <c r="AA1653" i="6"/>
  <c r="Z1653" i="6" s="1"/>
  <c r="Y1654" i="6"/>
  <c r="AH1653" i="6"/>
  <c r="AE1653" i="6"/>
  <c r="AF1653" i="6" s="1"/>
  <c r="AC1653" i="6"/>
  <c r="AD1653" i="6" l="1"/>
  <c r="AB1653" i="6"/>
  <c r="AG1654" i="6"/>
  <c r="AA1654" i="6"/>
  <c r="Z1654" i="6" s="1"/>
  <c r="Y1655" i="6"/>
  <c r="AH1654" i="6"/>
  <c r="AE1654" i="6"/>
  <c r="AF1654" i="6" s="1"/>
  <c r="AC1654" i="6"/>
  <c r="AD1654" i="6" l="1"/>
  <c r="AB1654" i="6"/>
  <c r="AH1655" i="6"/>
  <c r="AG1655" i="6"/>
  <c r="AA1655" i="6"/>
  <c r="Z1655" i="6" s="1"/>
  <c r="Y1656" i="6"/>
  <c r="AE1655" i="6"/>
  <c r="AF1655" i="6" s="1"/>
  <c r="AC1655" i="6"/>
  <c r="AB1655" i="6" l="1"/>
  <c r="AD1655" i="6"/>
  <c r="Y1657" i="6"/>
  <c r="AH1656" i="6"/>
  <c r="AG1656" i="6"/>
  <c r="AE1656" i="6"/>
  <c r="AF1656" i="6" s="1"/>
  <c r="AC1656" i="6"/>
  <c r="AA1656" i="6"/>
  <c r="Z1656" i="6" s="1"/>
  <c r="AD1656" i="6" l="1"/>
  <c r="AB1656" i="6"/>
  <c r="AH1657" i="6"/>
  <c r="AG1657" i="6"/>
  <c r="AA1657" i="6"/>
  <c r="Z1657" i="6" s="1"/>
  <c r="Y1658" i="6"/>
  <c r="AE1657" i="6"/>
  <c r="AF1657" i="6" s="1"/>
  <c r="AC1657" i="6"/>
  <c r="AB1657" i="6" l="1"/>
  <c r="AD1657" i="6"/>
  <c r="Y1659" i="6"/>
  <c r="AH1658" i="6"/>
  <c r="AG1658" i="6"/>
  <c r="AE1658" i="6"/>
  <c r="AF1658" i="6" s="1"/>
  <c r="AC1658" i="6"/>
  <c r="AA1658" i="6"/>
  <c r="Z1658" i="6" s="1"/>
  <c r="AD1658" i="6" l="1"/>
  <c r="AB1658" i="6"/>
  <c r="AE1659" i="6"/>
  <c r="AF1659" i="6" s="1"/>
  <c r="AC1659" i="6"/>
  <c r="AA1659" i="6"/>
  <c r="Z1659" i="6" s="1"/>
  <c r="Y1660" i="6"/>
  <c r="AH1659" i="6"/>
  <c r="AG1659" i="6"/>
  <c r="Y1661" i="6" l="1"/>
  <c r="AH1660" i="6"/>
  <c r="AC1660" i="6"/>
  <c r="AA1660" i="6"/>
  <c r="Z1660" i="6" s="1"/>
  <c r="AG1660" i="6"/>
  <c r="AE1660" i="6"/>
  <c r="AF1660" i="6" s="1"/>
  <c r="AB1659" i="6"/>
  <c r="AD1659" i="6"/>
  <c r="AB1660" i="6" l="1"/>
  <c r="AD1660" i="6"/>
  <c r="AH1661" i="6"/>
  <c r="AG1661" i="6"/>
  <c r="Y1662" i="6"/>
  <c r="AE1661" i="6"/>
  <c r="AF1661" i="6" s="1"/>
  <c r="AC1661" i="6"/>
  <c r="AA1661" i="6"/>
  <c r="Z1661" i="6" s="1"/>
  <c r="AD1661" i="6" l="1"/>
  <c r="AB1661" i="6"/>
  <c r="AA1662" i="6"/>
  <c r="Z1662" i="6" s="1"/>
  <c r="Y1663" i="6"/>
  <c r="AH1662" i="6"/>
  <c r="AG1662" i="6"/>
  <c r="AE1662" i="6"/>
  <c r="AF1662" i="6" s="1"/>
  <c r="AC1662" i="6"/>
  <c r="AD1662" i="6" l="1"/>
  <c r="AB1662" i="6"/>
  <c r="Y1664" i="6"/>
  <c r="AC1663" i="6"/>
  <c r="AE1663" i="6"/>
  <c r="AF1663" i="6" s="1"/>
  <c r="AA1663" i="6"/>
  <c r="Z1663" i="6" s="1"/>
  <c r="AH1663" i="6"/>
  <c r="AG1663" i="6"/>
  <c r="AD1663" i="6" l="1"/>
  <c r="AB1663" i="6"/>
  <c r="AH1664" i="6"/>
  <c r="AG1664" i="6"/>
  <c r="Y1665" i="6"/>
  <c r="AE1664" i="6"/>
  <c r="AF1664" i="6" s="1"/>
  <c r="AC1664" i="6"/>
  <c r="AA1664" i="6"/>
  <c r="Z1664" i="6" s="1"/>
  <c r="AD1664" i="6" l="1"/>
  <c r="AB1664" i="6"/>
  <c r="AC1665" i="6"/>
  <c r="AA1665" i="6"/>
  <c r="Z1665" i="6" s="1"/>
  <c r="Y1666" i="6"/>
  <c r="AH1665" i="6"/>
  <c r="AG1665" i="6"/>
  <c r="AE1665" i="6"/>
  <c r="AF1665" i="6" s="1"/>
  <c r="AE1666" i="6" l="1"/>
  <c r="AF1666" i="6" s="1"/>
  <c r="AC1666" i="6"/>
  <c r="Y1667" i="6"/>
  <c r="AH1666" i="6"/>
  <c r="AG1666" i="6"/>
  <c r="AA1666" i="6"/>
  <c r="Z1666" i="6" s="1"/>
  <c r="AD1665" i="6"/>
  <c r="AB1665" i="6"/>
  <c r="AG1667" i="6" l="1"/>
  <c r="AA1667" i="6"/>
  <c r="Z1667" i="6" s="1"/>
  <c r="AH1667" i="6"/>
  <c r="AE1667" i="6"/>
  <c r="AF1667" i="6" s="1"/>
  <c r="AC1667" i="6"/>
  <c r="Y1668" i="6"/>
  <c r="AD1666" i="6"/>
  <c r="AB1666" i="6"/>
  <c r="AE1668" i="6" l="1"/>
  <c r="AF1668" i="6" s="1"/>
  <c r="Y1669" i="6"/>
  <c r="AH1668" i="6"/>
  <c r="AG1668" i="6"/>
  <c r="AC1668" i="6"/>
  <c r="AA1668" i="6"/>
  <c r="Z1668" i="6" s="1"/>
  <c r="AD1667" i="6"/>
  <c r="AB1667" i="6"/>
  <c r="AB1668" i="6" l="1"/>
  <c r="AD1668" i="6"/>
  <c r="AE1669" i="6"/>
  <c r="AF1669" i="6" s="1"/>
  <c r="Y1670" i="6"/>
  <c r="AH1669" i="6"/>
  <c r="AG1669" i="6"/>
  <c r="AC1669" i="6"/>
  <c r="AA1669" i="6"/>
  <c r="Z1669" i="6" s="1"/>
  <c r="AD1669" i="6" l="1"/>
  <c r="AB1669" i="6"/>
  <c r="AA1670" i="6"/>
  <c r="Z1670" i="6" s="1"/>
  <c r="Y1671" i="6"/>
  <c r="AH1670" i="6"/>
  <c r="AG1670" i="6"/>
  <c r="AC1670" i="6"/>
  <c r="AE1670" i="6"/>
  <c r="AF1670" i="6" s="1"/>
  <c r="AD1670" i="6" l="1"/>
  <c r="AB1670" i="6"/>
  <c r="AA1671" i="6"/>
  <c r="Z1671" i="6" s="1"/>
  <c r="AE1671" i="6"/>
  <c r="AF1671" i="6" s="1"/>
  <c r="Y1672" i="6"/>
  <c r="AH1671" i="6"/>
  <c r="AG1671" i="6"/>
  <c r="AC1671" i="6"/>
  <c r="AD1671" i="6" l="1"/>
  <c r="AB1671" i="6"/>
  <c r="AG1672" i="6"/>
  <c r="AE1672" i="6"/>
  <c r="AF1672" i="6" s="1"/>
  <c r="AC1672" i="6"/>
  <c r="AA1672" i="6"/>
  <c r="Z1672" i="6" s="1"/>
  <c r="Y1673" i="6"/>
  <c r="AH1672" i="6"/>
  <c r="AE1673" i="6" l="1"/>
  <c r="AF1673" i="6" s="1"/>
  <c r="AC1673" i="6"/>
  <c r="Y1674" i="6"/>
  <c r="AH1673" i="6"/>
  <c r="AG1673" i="6"/>
  <c r="AA1673" i="6"/>
  <c r="Z1673" i="6" s="1"/>
  <c r="AD1672" i="6"/>
  <c r="AB1672" i="6"/>
  <c r="AG1674" i="6" l="1"/>
  <c r="Y1675" i="6"/>
  <c r="AH1674" i="6"/>
  <c r="AE1674" i="6"/>
  <c r="AF1674" i="6" s="1"/>
  <c r="AC1674" i="6"/>
  <c r="AA1674" i="6"/>
  <c r="Z1674" i="6" s="1"/>
  <c r="AB1673" i="6"/>
  <c r="AD1673" i="6"/>
  <c r="AD1674" i="6" l="1"/>
  <c r="AB1674" i="6"/>
  <c r="AH1675" i="6"/>
  <c r="AG1675" i="6"/>
  <c r="Y1676" i="6"/>
  <c r="AE1675" i="6"/>
  <c r="AF1675" i="6" s="1"/>
  <c r="AC1675" i="6"/>
  <c r="AA1675" i="6"/>
  <c r="Z1675" i="6" s="1"/>
  <c r="AD1675" i="6" l="1"/>
  <c r="AB1675" i="6"/>
  <c r="Y1677" i="6"/>
  <c r="AE1676" i="6"/>
  <c r="AF1676" i="6" s="1"/>
  <c r="AA1676" i="6"/>
  <c r="Z1676" i="6" s="1"/>
  <c r="AH1676" i="6"/>
  <c r="AG1676" i="6"/>
  <c r="AC1676" i="6"/>
  <c r="AD1676" i="6" l="1"/>
  <c r="AB1676" i="6"/>
  <c r="AH1677" i="6"/>
  <c r="AG1677" i="6"/>
  <c r="AE1677" i="6"/>
  <c r="AF1677" i="6" s="1"/>
  <c r="AA1677" i="6"/>
  <c r="Z1677" i="6" s="1"/>
  <c r="Y1678" i="6"/>
  <c r="AC1677" i="6"/>
  <c r="AD1677" i="6" l="1"/>
  <c r="AB1677" i="6"/>
  <c r="AH1678" i="6"/>
  <c r="Y1679" i="6"/>
  <c r="AG1678" i="6"/>
  <c r="AE1678" i="6"/>
  <c r="AF1678" i="6" s="1"/>
  <c r="AC1678" i="6"/>
  <c r="AA1678" i="6"/>
  <c r="Z1678" i="6" s="1"/>
  <c r="AD1678" i="6" l="1"/>
  <c r="AB1678" i="6"/>
  <c r="AH1679" i="6"/>
  <c r="AC1679" i="6"/>
  <c r="AG1679" i="6"/>
  <c r="Y1680" i="6"/>
  <c r="AE1679" i="6"/>
  <c r="AF1679" i="6" s="1"/>
  <c r="AA1679" i="6"/>
  <c r="Z1679" i="6" s="1"/>
  <c r="Y1681" i="6" l="1"/>
  <c r="AH1680" i="6"/>
  <c r="AG1680" i="6"/>
  <c r="AE1680" i="6"/>
  <c r="AF1680" i="6" s="1"/>
  <c r="AC1680" i="6"/>
  <c r="AA1680" i="6"/>
  <c r="Z1680" i="6" s="1"/>
  <c r="AD1679" i="6"/>
  <c r="AB1679" i="6"/>
  <c r="AB1680" i="6" l="1"/>
  <c r="AD1680" i="6"/>
  <c r="AG1681" i="6"/>
  <c r="Y1682" i="6"/>
  <c r="AH1681" i="6"/>
  <c r="AE1681" i="6"/>
  <c r="AF1681" i="6" s="1"/>
  <c r="AC1681" i="6"/>
  <c r="AA1681" i="6"/>
  <c r="Z1681" i="6" s="1"/>
  <c r="AD1681" i="6" l="1"/>
  <c r="AB1681" i="6"/>
  <c r="AG1682" i="6"/>
  <c r="Y1683" i="6"/>
  <c r="AC1682" i="6"/>
  <c r="AA1682" i="6"/>
  <c r="Z1682" i="6" s="1"/>
  <c r="AH1682" i="6"/>
  <c r="AE1682" i="6"/>
  <c r="AF1682" i="6" s="1"/>
  <c r="AH1683" i="6" l="1"/>
  <c r="Y1684" i="6"/>
  <c r="AG1683" i="6"/>
  <c r="AE1683" i="6"/>
  <c r="AF1683" i="6" s="1"/>
  <c r="AC1683" i="6"/>
  <c r="AA1683" i="6"/>
  <c r="Z1683" i="6" s="1"/>
  <c r="AB1682" i="6"/>
  <c r="AD1682" i="6"/>
  <c r="AD1683" i="6" l="1"/>
  <c r="AB1683" i="6"/>
  <c r="AA1684" i="6"/>
  <c r="Z1684" i="6" s="1"/>
  <c r="Y1685" i="6"/>
  <c r="AH1684" i="6"/>
  <c r="AG1684" i="6"/>
  <c r="AE1684" i="6"/>
  <c r="AF1684" i="6" s="1"/>
  <c r="AC1684" i="6"/>
  <c r="AD1684" i="6" l="1"/>
  <c r="AB1684" i="6"/>
  <c r="AA1685" i="6"/>
  <c r="Z1685" i="6" s="1"/>
  <c r="AE1685" i="6"/>
  <c r="AF1685" i="6" s="1"/>
  <c r="AC1685" i="6"/>
  <c r="AG1685" i="6"/>
  <c r="Y1686" i="6"/>
  <c r="AH1685" i="6"/>
  <c r="AA1686" i="6" l="1"/>
  <c r="Z1686" i="6" s="1"/>
  <c r="Y1687" i="6"/>
  <c r="AH1686" i="6"/>
  <c r="AG1686" i="6"/>
  <c r="AE1686" i="6"/>
  <c r="AF1686" i="6" s="1"/>
  <c r="AC1686" i="6"/>
  <c r="AD1685" i="6"/>
  <c r="AB1685" i="6"/>
  <c r="AB1686" i="6" l="1"/>
  <c r="AD1686" i="6"/>
  <c r="AE1687" i="6"/>
  <c r="AF1687" i="6" s="1"/>
  <c r="AC1687" i="6"/>
  <c r="AA1687" i="6"/>
  <c r="Z1687" i="6" s="1"/>
  <c r="Y1688" i="6"/>
  <c r="AH1687" i="6"/>
  <c r="AG1687" i="6"/>
  <c r="AE1688" i="6" l="1"/>
  <c r="AF1688" i="6" s="1"/>
  <c r="AH1688" i="6"/>
  <c r="AG1688" i="6"/>
  <c r="Y1689" i="6"/>
  <c r="AC1688" i="6"/>
  <c r="AA1688" i="6"/>
  <c r="Z1688" i="6" s="1"/>
  <c r="AB1687" i="6"/>
  <c r="AD1687" i="6"/>
  <c r="AD1688" i="6" l="1"/>
  <c r="AB1688" i="6"/>
  <c r="AC1689" i="6"/>
  <c r="AH1689" i="6"/>
  <c r="Y1690" i="6"/>
  <c r="AG1689" i="6"/>
  <c r="AE1689" i="6"/>
  <c r="AF1689" i="6" s="1"/>
  <c r="AA1689" i="6"/>
  <c r="Z1689" i="6" s="1"/>
  <c r="Y1691" i="6" l="1"/>
  <c r="AG1690" i="6"/>
  <c r="AC1690" i="6"/>
  <c r="AA1690" i="6"/>
  <c r="Z1690" i="6" s="1"/>
  <c r="AH1690" i="6"/>
  <c r="AE1690" i="6"/>
  <c r="AF1690" i="6" s="1"/>
  <c r="AD1689" i="6"/>
  <c r="AB1689" i="6"/>
  <c r="AD1690" i="6" l="1"/>
  <c r="AB1690" i="6"/>
  <c r="Y1692" i="6"/>
  <c r="AH1691" i="6"/>
  <c r="AG1691" i="6"/>
  <c r="AE1691" i="6"/>
  <c r="AF1691" i="6" s="1"/>
  <c r="AC1691" i="6"/>
  <c r="AA1691" i="6"/>
  <c r="Z1691" i="6" s="1"/>
  <c r="AD1691" i="6" l="1"/>
  <c r="AB1691" i="6"/>
  <c r="AH1692" i="6"/>
  <c r="AE1692" i="6"/>
  <c r="AF1692" i="6" s="1"/>
  <c r="Y1693" i="6"/>
  <c r="AG1692" i="6"/>
  <c r="AC1692" i="6"/>
  <c r="AA1692" i="6"/>
  <c r="Z1692" i="6" s="1"/>
  <c r="AD1692" i="6" l="1"/>
  <c r="AB1692" i="6"/>
  <c r="AH1693" i="6"/>
  <c r="AC1693" i="6"/>
  <c r="Y1694" i="6"/>
  <c r="AA1693" i="6"/>
  <c r="Z1693" i="6" s="1"/>
  <c r="AG1693" i="6"/>
  <c r="AE1693" i="6"/>
  <c r="AF1693" i="6" s="1"/>
  <c r="AC1694" i="6" l="1"/>
  <c r="Y1695" i="6"/>
  <c r="AH1694" i="6"/>
  <c r="AG1694" i="6"/>
  <c r="AE1694" i="6"/>
  <c r="AF1694" i="6" s="1"/>
  <c r="AA1694" i="6"/>
  <c r="Z1694" i="6" s="1"/>
  <c r="AB1693" i="6"/>
  <c r="AD1693" i="6"/>
  <c r="Y1696" i="6" l="1"/>
  <c r="AH1695" i="6"/>
  <c r="AG1695" i="6"/>
  <c r="AA1695" i="6"/>
  <c r="Z1695" i="6" s="1"/>
  <c r="AE1695" i="6"/>
  <c r="AF1695" i="6" s="1"/>
  <c r="AC1695" i="6"/>
  <c r="AD1694" i="6"/>
  <c r="AB1694" i="6"/>
  <c r="AB1695" i="6" l="1"/>
  <c r="AD1695" i="6"/>
  <c r="AG1696" i="6"/>
  <c r="Y1697" i="6"/>
  <c r="AH1696" i="6"/>
  <c r="AE1696" i="6"/>
  <c r="AF1696" i="6" s="1"/>
  <c r="AC1696" i="6"/>
  <c r="AA1696" i="6"/>
  <c r="Z1696" i="6" s="1"/>
  <c r="AB1696" i="6" l="1"/>
  <c r="AD1696" i="6"/>
  <c r="AC1697" i="6"/>
  <c r="AA1697" i="6"/>
  <c r="Z1697" i="6" s="1"/>
  <c r="AH1697" i="6"/>
  <c r="Y1698" i="6"/>
  <c r="AG1697" i="6"/>
  <c r="AE1697" i="6"/>
  <c r="AF1697" i="6" s="1"/>
  <c r="Y1699" i="6" l="1"/>
  <c r="AG1698" i="6"/>
  <c r="AE1698" i="6"/>
  <c r="AF1698" i="6" s="1"/>
  <c r="AC1698" i="6"/>
  <c r="AH1698" i="6"/>
  <c r="AA1698" i="6"/>
  <c r="Z1698" i="6" s="1"/>
  <c r="AB1697" i="6"/>
  <c r="AD1697" i="6"/>
  <c r="AD1698" i="6" l="1"/>
  <c r="AB1698" i="6"/>
  <c r="AA1699" i="6"/>
  <c r="Z1699" i="6" s="1"/>
  <c r="AG1699" i="6"/>
  <c r="Y1700" i="6"/>
  <c r="AH1699" i="6"/>
  <c r="AE1699" i="6"/>
  <c r="AF1699" i="6" s="1"/>
  <c r="AC1699" i="6"/>
  <c r="AB1699" i="6" l="1"/>
  <c r="AD1699" i="6"/>
  <c r="AA1700" i="6"/>
  <c r="Z1700" i="6" s="1"/>
  <c r="AE1700" i="6"/>
  <c r="AF1700" i="6" s="1"/>
  <c r="AC1700" i="6"/>
  <c r="Y1701" i="6"/>
  <c r="AH1700" i="6"/>
  <c r="AG1700" i="6"/>
  <c r="Y1702" i="6" l="1"/>
  <c r="AG1701" i="6"/>
  <c r="AE1701" i="6"/>
  <c r="AF1701" i="6" s="1"/>
  <c r="AH1701" i="6"/>
  <c r="AC1701" i="6"/>
  <c r="AA1701" i="6"/>
  <c r="Z1701" i="6" s="1"/>
  <c r="AD1700" i="6"/>
  <c r="AB1700" i="6"/>
  <c r="AB1701" i="6" l="1"/>
  <c r="AD1701" i="6"/>
  <c r="AE1702" i="6"/>
  <c r="AF1702" i="6" s="1"/>
  <c r="AC1702" i="6"/>
  <c r="Y1703" i="6"/>
  <c r="AH1702" i="6"/>
  <c r="AG1702" i="6"/>
  <c r="AA1702" i="6"/>
  <c r="Z1702" i="6" s="1"/>
  <c r="AG1703" i="6" l="1"/>
  <c r="Y1704" i="6"/>
  <c r="AH1703" i="6"/>
  <c r="AC1703" i="6"/>
  <c r="AE1703" i="6"/>
  <c r="AF1703" i="6" s="1"/>
  <c r="AA1703" i="6"/>
  <c r="Z1703" i="6" s="1"/>
  <c r="AD1702" i="6"/>
  <c r="AB1702" i="6"/>
  <c r="AD1703" i="6" l="1"/>
  <c r="AB1703" i="6"/>
  <c r="Y1705" i="6"/>
  <c r="AH1704" i="6"/>
  <c r="AG1704" i="6"/>
  <c r="AE1704" i="6"/>
  <c r="AF1704" i="6" s="1"/>
  <c r="AC1704" i="6"/>
  <c r="AA1704" i="6"/>
  <c r="Z1704" i="6" s="1"/>
  <c r="AD1704" i="6" l="1"/>
  <c r="AB1704" i="6"/>
  <c r="Y1706" i="6"/>
  <c r="AG1705" i="6"/>
  <c r="AE1705" i="6"/>
  <c r="AF1705" i="6" s="1"/>
  <c r="AH1705" i="6"/>
  <c r="AC1705" i="6"/>
  <c r="AA1705" i="6"/>
  <c r="Z1705" i="6" s="1"/>
  <c r="AD1705" i="6" l="1"/>
  <c r="AB1705" i="6"/>
  <c r="AH1706" i="6"/>
  <c r="Y1707" i="6"/>
  <c r="AC1706" i="6"/>
  <c r="AA1706" i="6"/>
  <c r="Z1706" i="6" s="1"/>
  <c r="AE1706" i="6"/>
  <c r="AF1706" i="6" s="1"/>
  <c r="AG1706" i="6"/>
  <c r="AB1706" i="6" l="1"/>
  <c r="AD1706" i="6"/>
  <c r="AH1707" i="6"/>
  <c r="Y1708" i="6"/>
  <c r="AG1707" i="6"/>
  <c r="AE1707" i="6"/>
  <c r="AF1707" i="6" s="1"/>
  <c r="AC1707" i="6"/>
  <c r="AA1707" i="6"/>
  <c r="Z1707" i="6" s="1"/>
  <c r="AD1707" i="6" l="1"/>
  <c r="AB1707" i="6"/>
  <c r="AH1708" i="6"/>
  <c r="AC1708" i="6"/>
  <c r="Y1709" i="6"/>
  <c r="AG1708" i="6"/>
  <c r="AE1708" i="6"/>
  <c r="AF1708" i="6" s="1"/>
  <c r="AA1708" i="6"/>
  <c r="Z1708" i="6" s="1"/>
  <c r="Y1710" i="6" l="1"/>
  <c r="AH1709" i="6"/>
  <c r="AG1709" i="6"/>
  <c r="AE1709" i="6"/>
  <c r="AF1709" i="6" s="1"/>
  <c r="AC1709" i="6"/>
  <c r="AA1709" i="6"/>
  <c r="Z1709" i="6" s="1"/>
  <c r="AB1708" i="6"/>
  <c r="AD1708" i="6"/>
  <c r="AD1709" i="6" l="1"/>
  <c r="AB1709" i="6"/>
  <c r="AG1710" i="6"/>
  <c r="AE1710" i="6"/>
  <c r="AF1710" i="6" s="1"/>
  <c r="AA1710" i="6"/>
  <c r="Z1710" i="6" s="1"/>
  <c r="Y1711" i="6"/>
  <c r="AH1710" i="6"/>
  <c r="AC1710" i="6"/>
  <c r="AB1710" i="6" l="1"/>
  <c r="AD1710" i="6"/>
  <c r="AG1711" i="6"/>
  <c r="Y1712" i="6"/>
  <c r="AE1711" i="6"/>
  <c r="AF1711" i="6" s="1"/>
  <c r="AA1711" i="6"/>
  <c r="Z1711" i="6" s="1"/>
  <c r="AH1711" i="6"/>
  <c r="AC1711" i="6"/>
  <c r="AB1711" i="6" l="1"/>
  <c r="AD1711" i="6"/>
  <c r="AC1712" i="6"/>
  <c r="AE1712" i="6"/>
  <c r="AF1712" i="6" s="1"/>
  <c r="AA1712" i="6"/>
  <c r="Z1712" i="6" s="1"/>
  <c r="Y1713" i="6"/>
  <c r="AH1712" i="6"/>
  <c r="AG1712" i="6"/>
  <c r="AH1713" i="6" l="1"/>
  <c r="AG1713" i="6"/>
  <c r="AE1713" i="6"/>
  <c r="AF1713" i="6" s="1"/>
  <c r="AC1713" i="6"/>
  <c r="Y1714" i="6"/>
  <c r="AA1713" i="6"/>
  <c r="Z1713" i="6" s="1"/>
  <c r="AD1712" i="6"/>
  <c r="AB1712" i="6"/>
  <c r="AA1714" i="6" l="1"/>
  <c r="Z1714" i="6" s="1"/>
  <c r="Y1715" i="6"/>
  <c r="AE1714" i="6"/>
  <c r="AF1714" i="6" s="1"/>
  <c r="AH1714" i="6"/>
  <c r="AG1714" i="6"/>
  <c r="AC1714" i="6"/>
  <c r="AD1713" i="6"/>
  <c r="AB1713" i="6"/>
  <c r="AD1714" i="6" l="1"/>
  <c r="AB1714" i="6"/>
  <c r="AC1715" i="6"/>
  <c r="Y1716" i="6"/>
  <c r="AH1715" i="6"/>
  <c r="AG1715" i="6"/>
  <c r="AE1715" i="6"/>
  <c r="AF1715" i="6" s="1"/>
  <c r="AA1715" i="6"/>
  <c r="Z1715" i="6" s="1"/>
  <c r="AE1716" i="6" l="1"/>
  <c r="AF1716" i="6" s="1"/>
  <c r="AC1716" i="6"/>
  <c r="Y1717" i="6"/>
  <c r="AH1716" i="6"/>
  <c r="AG1716" i="6"/>
  <c r="AA1716" i="6"/>
  <c r="Z1716" i="6" s="1"/>
  <c r="AB1715" i="6"/>
  <c r="AD1715" i="6"/>
  <c r="AE1717" i="6" l="1"/>
  <c r="AF1717" i="6" s="1"/>
  <c r="AC1717" i="6"/>
  <c r="AA1717" i="6"/>
  <c r="Z1717" i="6" s="1"/>
  <c r="AH1717" i="6"/>
  <c r="AG1717" i="6"/>
  <c r="Y1718" i="6"/>
  <c r="AD1716" i="6"/>
  <c r="AB1716" i="6"/>
  <c r="AH1718" i="6" l="1"/>
  <c r="AG1718" i="6"/>
  <c r="AA1718" i="6"/>
  <c r="Z1718" i="6" s="1"/>
  <c r="AC1718" i="6"/>
  <c r="Y1719" i="6"/>
  <c r="AE1718" i="6"/>
  <c r="AF1718" i="6" s="1"/>
  <c r="AB1717" i="6"/>
  <c r="AD1717" i="6"/>
  <c r="AE1719" i="6" l="1"/>
  <c r="AF1719" i="6" s="1"/>
  <c r="AC1719" i="6"/>
  <c r="AA1719" i="6"/>
  <c r="Z1719" i="6" s="1"/>
  <c r="Y1720" i="6"/>
  <c r="AH1719" i="6"/>
  <c r="AG1719" i="6"/>
  <c r="AD1718" i="6"/>
  <c r="AB1718" i="6"/>
  <c r="AH1720" i="6" l="1"/>
  <c r="AE1720" i="6"/>
  <c r="AF1720" i="6" s="1"/>
  <c r="Y1721" i="6"/>
  <c r="AG1720" i="6"/>
  <c r="AA1720" i="6"/>
  <c r="Z1720" i="6" s="1"/>
  <c r="AC1720" i="6"/>
  <c r="AD1719" i="6"/>
  <c r="AB1719" i="6"/>
  <c r="AD1720" i="6" l="1"/>
  <c r="AB1720" i="6"/>
  <c r="AC1721" i="6"/>
  <c r="AH1721" i="6"/>
  <c r="AE1721" i="6"/>
  <c r="AF1721" i="6" s="1"/>
  <c r="Y1722" i="6"/>
  <c r="AG1721" i="6"/>
  <c r="AA1721" i="6"/>
  <c r="Z1721" i="6" s="1"/>
  <c r="AE1722" i="6" l="1"/>
  <c r="AF1722" i="6" s="1"/>
  <c r="AC1722" i="6"/>
  <c r="Y1723" i="6"/>
  <c r="AH1722" i="6"/>
  <c r="AG1722" i="6"/>
  <c r="AA1722" i="6"/>
  <c r="Z1722" i="6" s="1"/>
  <c r="AB1721" i="6"/>
  <c r="AD1721" i="6"/>
  <c r="AE1723" i="6" l="1"/>
  <c r="AF1723" i="6" s="1"/>
  <c r="AA1723" i="6"/>
  <c r="Z1723" i="6" s="1"/>
  <c r="AH1723" i="6"/>
  <c r="Y1724" i="6"/>
  <c r="AG1723" i="6"/>
  <c r="AC1723" i="6"/>
  <c r="AD1722" i="6"/>
  <c r="AB1722" i="6"/>
  <c r="AB1723" i="6" l="1"/>
  <c r="AD1723" i="6"/>
  <c r="AC1724" i="6"/>
  <c r="AH1724" i="6"/>
  <c r="AG1724" i="6"/>
  <c r="AE1724" i="6"/>
  <c r="AF1724" i="6" s="1"/>
  <c r="Y1725" i="6"/>
  <c r="AA1724" i="6"/>
  <c r="Z1724" i="6" s="1"/>
  <c r="AH1725" i="6" l="1"/>
  <c r="AE1725" i="6"/>
  <c r="AF1725" i="6" s="1"/>
  <c r="AC1725" i="6"/>
  <c r="Y1726" i="6"/>
  <c r="AG1725" i="6"/>
  <c r="AA1725" i="6"/>
  <c r="Z1725" i="6" s="1"/>
  <c r="AB1724" i="6"/>
  <c r="AD1724" i="6"/>
  <c r="Y1727" i="6" l="1"/>
  <c r="AH1726" i="6"/>
  <c r="AG1726" i="6"/>
  <c r="AE1726" i="6"/>
  <c r="AF1726" i="6" s="1"/>
  <c r="AC1726" i="6"/>
  <c r="AA1726" i="6"/>
  <c r="Z1726" i="6" s="1"/>
  <c r="AD1725" i="6"/>
  <c r="AB1725" i="6"/>
  <c r="AD1726" i="6" l="1"/>
  <c r="AB1726" i="6"/>
  <c r="AA1727" i="6"/>
  <c r="Z1727" i="6" s="1"/>
  <c r="AC1727" i="6"/>
  <c r="Y1728" i="6"/>
  <c r="AH1727" i="6"/>
  <c r="AG1727" i="6"/>
  <c r="AE1727" i="6"/>
  <c r="AF1727" i="6" s="1"/>
  <c r="AH1728" i="6" l="1"/>
  <c r="AE1728" i="6"/>
  <c r="AF1728" i="6" s="1"/>
  <c r="AC1728" i="6"/>
  <c r="Y1729" i="6"/>
  <c r="AA1728" i="6"/>
  <c r="Z1728" i="6" s="1"/>
  <c r="AG1728" i="6"/>
  <c r="AB1727" i="6"/>
  <c r="AD1727" i="6"/>
  <c r="Y1730" i="6" l="1"/>
  <c r="AH1729" i="6"/>
  <c r="AG1729" i="6"/>
  <c r="AE1729" i="6"/>
  <c r="AF1729" i="6" s="1"/>
  <c r="AC1729" i="6"/>
  <c r="AA1729" i="6"/>
  <c r="Z1729" i="6" s="1"/>
  <c r="AD1728" i="6"/>
  <c r="AB1728" i="6"/>
  <c r="AB1729" i="6" l="1"/>
  <c r="AD1729" i="6"/>
  <c r="AC1730" i="6"/>
  <c r="AH1730" i="6"/>
  <c r="AG1730" i="6"/>
  <c r="AE1730" i="6"/>
  <c r="AF1730" i="6" s="1"/>
  <c r="AA1730" i="6"/>
  <c r="Z1730" i="6" s="1"/>
  <c r="Y1731" i="6"/>
  <c r="AH1731" i="6" l="1"/>
  <c r="AE1731" i="6"/>
  <c r="AF1731" i="6" s="1"/>
  <c r="AC1731" i="6"/>
  <c r="Y1732" i="6"/>
  <c r="AG1731" i="6"/>
  <c r="AA1731" i="6"/>
  <c r="Z1731" i="6" s="1"/>
  <c r="AD1730" i="6"/>
  <c r="AB1730" i="6"/>
  <c r="Y1733" i="6" l="1"/>
  <c r="AA1732" i="6"/>
  <c r="Z1732" i="6" s="1"/>
  <c r="AH1732" i="6"/>
  <c r="AE1732" i="6"/>
  <c r="AF1732" i="6" s="1"/>
  <c r="AC1732" i="6"/>
  <c r="AG1732" i="6"/>
  <c r="AB1731" i="6"/>
  <c r="AD1731" i="6"/>
  <c r="AD1732" i="6" l="1"/>
  <c r="AB1732" i="6"/>
  <c r="AC1733" i="6"/>
  <c r="Y1734" i="6"/>
  <c r="AH1733" i="6"/>
  <c r="AG1733" i="6"/>
  <c r="AE1733" i="6"/>
  <c r="AF1733" i="6" s="1"/>
  <c r="AA1733" i="6"/>
  <c r="Z1733" i="6" s="1"/>
  <c r="AD1733" i="6" l="1"/>
  <c r="AB1733" i="6"/>
  <c r="AH1734" i="6"/>
  <c r="Y1735" i="6"/>
  <c r="AE1734" i="6"/>
  <c r="AF1734" i="6" s="1"/>
  <c r="AC1734" i="6"/>
  <c r="AA1734" i="6"/>
  <c r="Z1734" i="6" s="1"/>
  <c r="AG1734" i="6"/>
  <c r="AD1734" i="6" l="1"/>
  <c r="AB1734" i="6"/>
  <c r="AH1735" i="6"/>
  <c r="AA1735" i="6"/>
  <c r="Z1735" i="6" s="1"/>
  <c r="Y1736" i="6"/>
  <c r="AC1735" i="6"/>
  <c r="AG1735" i="6"/>
  <c r="AE1735" i="6"/>
  <c r="AF1735" i="6" s="1"/>
  <c r="AC1736" i="6" l="1"/>
  <c r="Y1737" i="6"/>
  <c r="AA1736" i="6"/>
  <c r="Z1736" i="6" s="1"/>
  <c r="AH1736" i="6"/>
  <c r="AG1736" i="6"/>
  <c r="AE1736" i="6"/>
  <c r="AF1736" i="6" s="1"/>
  <c r="AD1735" i="6"/>
  <c r="AB1735" i="6"/>
  <c r="Y1738" i="6" l="1"/>
  <c r="AE1737" i="6"/>
  <c r="AF1737" i="6" s="1"/>
  <c r="AC1737" i="6"/>
  <c r="AH1737" i="6"/>
  <c r="AG1737" i="6"/>
  <c r="AA1737" i="6"/>
  <c r="Z1737" i="6" s="1"/>
  <c r="AD1736" i="6"/>
  <c r="AB1736" i="6"/>
  <c r="AD1737" i="6" l="1"/>
  <c r="AB1737" i="6"/>
  <c r="AG1738" i="6"/>
  <c r="AA1738" i="6"/>
  <c r="Z1738" i="6" s="1"/>
  <c r="AE1738" i="6"/>
  <c r="AF1738" i="6" s="1"/>
  <c r="AC1738" i="6"/>
  <c r="Y1739" i="6"/>
  <c r="AH1738" i="6"/>
  <c r="AC1739" i="6" l="1"/>
  <c r="Y1740" i="6"/>
  <c r="AH1739" i="6"/>
  <c r="AG1739" i="6"/>
  <c r="AA1739" i="6"/>
  <c r="Z1739" i="6" s="1"/>
  <c r="AE1739" i="6"/>
  <c r="AF1739" i="6" s="1"/>
  <c r="AD1738" i="6"/>
  <c r="AB1738" i="6"/>
  <c r="Y1741" i="6" l="1"/>
  <c r="AC1740" i="6"/>
  <c r="AH1740" i="6"/>
  <c r="AG1740" i="6"/>
  <c r="AE1740" i="6"/>
  <c r="AF1740" i="6" s="1"/>
  <c r="AA1740" i="6"/>
  <c r="Z1740" i="6" s="1"/>
  <c r="AD1739" i="6"/>
  <c r="AB1739" i="6"/>
  <c r="AD1740" i="6" l="1"/>
  <c r="AB1740" i="6"/>
  <c r="AG1741" i="6"/>
  <c r="AH1741" i="6"/>
  <c r="AA1741" i="6"/>
  <c r="Z1741" i="6" s="1"/>
  <c r="Y1742" i="6"/>
  <c r="AE1741" i="6"/>
  <c r="AF1741" i="6" s="1"/>
  <c r="AC1741" i="6"/>
  <c r="AD1741" i="6" l="1"/>
  <c r="AB1741" i="6"/>
  <c r="AE1742" i="6"/>
  <c r="AF1742" i="6" s="1"/>
  <c r="AC1742" i="6"/>
  <c r="AA1742" i="6"/>
  <c r="Z1742" i="6" s="1"/>
  <c r="Y1743" i="6"/>
  <c r="AH1742" i="6"/>
  <c r="AG1742" i="6"/>
  <c r="AG1743" i="6" l="1"/>
  <c r="AE1743" i="6"/>
  <c r="AF1743" i="6" s="1"/>
  <c r="Y1744" i="6"/>
  <c r="AH1743" i="6"/>
  <c r="AA1743" i="6"/>
  <c r="Z1743" i="6" s="1"/>
  <c r="AC1743" i="6"/>
  <c r="AD1742" i="6"/>
  <c r="AB1742" i="6"/>
  <c r="AB1743" i="6" l="1"/>
  <c r="AD1743" i="6"/>
  <c r="AE1744" i="6"/>
  <c r="AF1744" i="6" s="1"/>
  <c r="Y1745" i="6"/>
  <c r="AH1744" i="6"/>
  <c r="AC1744" i="6"/>
  <c r="AA1744" i="6"/>
  <c r="Z1744" i="6" s="1"/>
  <c r="AG1744" i="6"/>
  <c r="AB1744" i="6" l="1"/>
  <c r="AD1744" i="6"/>
  <c r="AE1745" i="6"/>
  <c r="AF1745" i="6" s="1"/>
  <c r="Y1746" i="6"/>
  <c r="AH1745" i="6"/>
  <c r="AG1745" i="6"/>
  <c r="AC1745" i="6"/>
  <c r="AA1745" i="6"/>
  <c r="Z1745" i="6" s="1"/>
  <c r="AD1745" i="6" l="1"/>
  <c r="AB1745" i="6"/>
  <c r="AH1746" i="6"/>
  <c r="AC1746" i="6"/>
  <c r="AA1746" i="6"/>
  <c r="Z1746" i="6" s="1"/>
  <c r="Y1747" i="6"/>
  <c r="AG1746" i="6"/>
  <c r="AE1746" i="6"/>
  <c r="AF1746" i="6" s="1"/>
  <c r="AE1747" i="6" l="1"/>
  <c r="AF1747" i="6" s="1"/>
  <c r="AC1747" i="6"/>
  <c r="AA1747" i="6"/>
  <c r="Z1747" i="6" s="1"/>
  <c r="Y1748" i="6"/>
  <c r="AH1747" i="6"/>
  <c r="AG1747" i="6"/>
  <c r="AB1746" i="6"/>
  <c r="AD1746" i="6"/>
  <c r="AH1748" i="6" l="1"/>
  <c r="Y1749" i="6"/>
  <c r="AG1748" i="6"/>
  <c r="AE1748" i="6"/>
  <c r="AF1748" i="6" s="1"/>
  <c r="AC1748" i="6"/>
  <c r="AA1748" i="6"/>
  <c r="Z1748" i="6" s="1"/>
  <c r="AD1747" i="6"/>
  <c r="AB1747" i="6"/>
  <c r="AD1748" i="6" l="1"/>
  <c r="AB1748" i="6"/>
  <c r="Y1750" i="6"/>
  <c r="AG1749" i="6"/>
  <c r="AH1749" i="6"/>
  <c r="AE1749" i="6"/>
  <c r="AF1749" i="6" s="1"/>
  <c r="AC1749" i="6"/>
  <c r="AA1749" i="6"/>
  <c r="Z1749" i="6" s="1"/>
  <c r="AD1749" i="6" l="1"/>
  <c r="AB1749" i="6"/>
  <c r="AC1750" i="6"/>
  <c r="AE1750" i="6"/>
  <c r="AF1750" i="6" s="1"/>
  <c r="AA1750" i="6"/>
  <c r="Z1750" i="6" s="1"/>
  <c r="Y1751" i="6"/>
  <c r="AH1750" i="6"/>
  <c r="AG1750" i="6"/>
  <c r="AH1751" i="6" l="1"/>
  <c r="AA1751" i="6"/>
  <c r="Z1751" i="6" s="1"/>
  <c r="Y1752" i="6"/>
  <c r="AG1751" i="6"/>
  <c r="AE1751" i="6"/>
  <c r="AF1751" i="6" s="1"/>
  <c r="AC1751" i="6"/>
  <c r="AD1750" i="6"/>
  <c r="AB1750" i="6"/>
  <c r="AD1751" i="6" l="1"/>
  <c r="AB1751" i="6"/>
  <c r="AH1752" i="6"/>
  <c r="Y1753" i="6"/>
  <c r="AG1752" i="6"/>
  <c r="AE1752" i="6"/>
  <c r="AF1752" i="6" s="1"/>
  <c r="AC1752" i="6"/>
  <c r="AA1752" i="6"/>
  <c r="Z1752" i="6" s="1"/>
  <c r="AD1752" i="6" l="1"/>
  <c r="AB1752" i="6"/>
  <c r="AC1753" i="6"/>
  <c r="AG1753" i="6"/>
  <c r="AE1753" i="6"/>
  <c r="AF1753" i="6" s="1"/>
  <c r="Y1754" i="6"/>
  <c r="AH1753" i="6"/>
  <c r="AA1753" i="6"/>
  <c r="Z1753" i="6" s="1"/>
  <c r="Y1755" i="6" l="1"/>
  <c r="AE1754" i="6"/>
  <c r="AF1754" i="6" s="1"/>
  <c r="AC1754" i="6"/>
  <c r="AA1754" i="6"/>
  <c r="Z1754" i="6" s="1"/>
  <c r="AH1754" i="6"/>
  <c r="AG1754" i="6"/>
  <c r="AB1753" i="6"/>
  <c r="AD1753" i="6"/>
  <c r="AD1754" i="6" l="1"/>
  <c r="AB1754" i="6"/>
  <c r="Y1756" i="6"/>
  <c r="AH1755" i="6"/>
  <c r="AG1755" i="6"/>
  <c r="AE1755" i="6"/>
  <c r="AF1755" i="6" s="1"/>
  <c r="AC1755" i="6"/>
  <c r="AA1755" i="6"/>
  <c r="Z1755" i="6" s="1"/>
  <c r="AD1755" i="6" l="1"/>
  <c r="AB1755" i="6"/>
  <c r="AA1756" i="6"/>
  <c r="Z1756" i="6" s="1"/>
  <c r="AH1756" i="6"/>
  <c r="AC1756" i="6"/>
  <c r="Y1757" i="6"/>
  <c r="AG1756" i="6"/>
  <c r="AE1756" i="6"/>
  <c r="AF1756" i="6" s="1"/>
  <c r="Y1758" i="6" l="1"/>
  <c r="AH1757" i="6"/>
  <c r="AG1757" i="6"/>
  <c r="AE1757" i="6"/>
  <c r="AF1757" i="6" s="1"/>
  <c r="AC1757" i="6"/>
  <c r="AA1757" i="6"/>
  <c r="Z1757" i="6" s="1"/>
  <c r="AB1756" i="6"/>
  <c r="AD1756" i="6"/>
  <c r="AB1757" i="6" l="1"/>
  <c r="AD1757" i="6"/>
  <c r="AC1758" i="6"/>
  <c r="AA1758" i="6"/>
  <c r="Z1758" i="6" s="1"/>
  <c r="AG1758" i="6"/>
  <c r="Y1759" i="6"/>
  <c r="AH1758" i="6"/>
  <c r="AE1758" i="6"/>
  <c r="AF1758" i="6" s="1"/>
  <c r="AA1759" i="6" l="1"/>
  <c r="Z1759" i="6" s="1"/>
  <c r="Y1760" i="6"/>
  <c r="AG1759" i="6"/>
  <c r="AH1759" i="6"/>
  <c r="AE1759" i="6"/>
  <c r="AF1759" i="6" s="1"/>
  <c r="AC1759" i="6"/>
  <c r="AB1758" i="6"/>
  <c r="AD1758" i="6"/>
  <c r="AD1759" i="6" l="1"/>
  <c r="AB1759" i="6"/>
  <c r="AE1760" i="6"/>
  <c r="AF1760" i="6" s="1"/>
  <c r="Y1761" i="6"/>
  <c r="AH1760" i="6"/>
  <c r="AG1760" i="6"/>
  <c r="AC1760" i="6"/>
  <c r="AA1760" i="6"/>
  <c r="Z1760" i="6" s="1"/>
  <c r="AD1760" i="6" l="1"/>
  <c r="AB1760" i="6"/>
  <c r="Y1762" i="6"/>
  <c r="AA1761" i="6"/>
  <c r="Z1761" i="6" s="1"/>
  <c r="AH1761" i="6"/>
  <c r="AG1761" i="6"/>
  <c r="AE1761" i="6"/>
  <c r="AF1761" i="6" s="1"/>
  <c r="AC1761" i="6"/>
  <c r="AD1761" i="6" l="1"/>
  <c r="AB1761" i="6"/>
  <c r="AH1762" i="6"/>
  <c r="Y1763" i="6"/>
  <c r="AE1762" i="6"/>
  <c r="AF1762" i="6" s="1"/>
  <c r="AC1762" i="6"/>
  <c r="AA1762" i="6"/>
  <c r="Z1762" i="6" s="1"/>
  <c r="AG1762" i="6"/>
  <c r="AB1762" i="6" l="1"/>
  <c r="AD1762" i="6"/>
  <c r="AA1763" i="6"/>
  <c r="Z1763" i="6" s="1"/>
  <c r="Y1764" i="6"/>
  <c r="AH1763" i="6"/>
  <c r="AG1763" i="6"/>
  <c r="AE1763" i="6"/>
  <c r="AF1763" i="6" s="1"/>
  <c r="AC1763" i="6"/>
  <c r="AD1763" i="6" l="1"/>
  <c r="AB1763" i="6"/>
  <c r="Y1765" i="6"/>
  <c r="AH1764" i="6"/>
  <c r="AG1764" i="6"/>
  <c r="AE1764" i="6"/>
  <c r="AF1764" i="6" s="1"/>
  <c r="AC1764" i="6"/>
  <c r="AA1764" i="6"/>
  <c r="Z1764" i="6" s="1"/>
  <c r="AB1764" i="6" l="1"/>
  <c r="AD1764" i="6"/>
  <c r="AG1765" i="6"/>
  <c r="Y1766" i="6"/>
  <c r="AH1765" i="6"/>
  <c r="AE1765" i="6"/>
  <c r="AF1765" i="6" s="1"/>
  <c r="AC1765" i="6"/>
  <c r="AA1765" i="6"/>
  <c r="Z1765" i="6" s="1"/>
  <c r="AD1765" i="6" l="1"/>
  <c r="AB1765" i="6"/>
  <c r="AG1766" i="6"/>
  <c r="AC1766" i="6"/>
  <c r="AA1766" i="6"/>
  <c r="Z1766" i="6" s="1"/>
  <c r="Y1767" i="6"/>
  <c r="AH1766" i="6"/>
  <c r="AE1766" i="6"/>
  <c r="AF1766" i="6" s="1"/>
  <c r="AH1767" i="6" l="1"/>
  <c r="AG1767" i="6"/>
  <c r="AC1767" i="6"/>
  <c r="Y1768" i="6"/>
  <c r="AE1767" i="6"/>
  <c r="AF1767" i="6" s="1"/>
  <c r="AA1767" i="6"/>
  <c r="Z1767" i="6" s="1"/>
  <c r="AB1766" i="6"/>
  <c r="AD1766" i="6"/>
  <c r="AH1768" i="6" l="1"/>
  <c r="AE1768" i="6"/>
  <c r="AF1768" i="6" s="1"/>
  <c r="Y1769" i="6"/>
  <c r="AG1768" i="6"/>
  <c r="AC1768" i="6"/>
  <c r="AA1768" i="6"/>
  <c r="Z1768" i="6" s="1"/>
  <c r="AD1767" i="6"/>
  <c r="AB1767" i="6"/>
  <c r="AD1768" i="6" l="1"/>
  <c r="AB1768" i="6"/>
  <c r="AH1769" i="6"/>
  <c r="AC1769" i="6"/>
  <c r="AA1769" i="6"/>
  <c r="Z1769" i="6" s="1"/>
  <c r="Y1770" i="6"/>
  <c r="AG1769" i="6"/>
  <c r="AE1769" i="6"/>
  <c r="AF1769" i="6" s="1"/>
  <c r="AG1770" i="6" l="1"/>
  <c r="AC1770" i="6"/>
  <c r="AE1770" i="6"/>
  <c r="AF1770" i="6" s="1"/>
  <c r="AA1770" i="6"/>
  <c r="Z1770" i="6" s="1"/>
  <c r="Y1771" i="6"/>
  <c r="AH1770" i="6"/>
  <c r="AD1769" i="6"/>
  <c r="AB1769" i="6"/>
  <c r="Y1772" i="6" l="1"/>
  <c r="AG1771" i="6"/>
  <c r="AH1771" i="6"/>
  <c r="AE1771" i="6"/>
  <c r="AF1771" i="6" s="1"/>
  <c r="AA1771" i="6"/>
  <c r="Z1771" i="6" s="1"/>
  <c r="AC1771" i="6"/>
  <c r="AD1770" i="6"/>
  <c r="AB1770" i="6"/>
  <c r="AB1771" i="6" l="1"/>
  <c r="AD1771" i="6"/>
  <c r="Y1773" i="6"/>
  <c r="AH1772" i="6"/>
  <c r="AG1772" i="6"/>
  <c r="AE1772" i="6"/>
  <c r="AF1772" i="6" s="1"/>
  <c r="AC1772" i="6"/>
  <c r="AA1772" i="6"/>
  <c r="Z1772" i="6" s="1"/>
  <c r="AD1772" i="6" l="1"/>
  <c r="AB1772" i="6"/>
  <c r="AE1773" i="6"/>
  <c r="AF1773" i="6" s="1"/>
  <c r="AG1773" i="6"/>
  <c r="Y1774" i="6"/>
  <c r="AH1773" i="6"/>
  <c r="AC1773" i="6"/>
  <c r="AA1773" i="6"/>
  <c r="Z1773" i="6" s="1"/>
  <c r="AD1773" i="6" l="1"/>
  <c r="AB1773" i="6"/>
  <c r="AH1774" i="6"/>
  <c r="AG1774" i="6"/>
  <c r="Y1775" i="6"/>
  <c r="AE1774" i="6"/>
  <c r="AF1774" i="6" s="1"/>
  <c r="AC1774" i="6"/>
  <c r="AA1774" i="6"/>
  <c r="Z1774" i="6" s="1"/>
  <c r="AD1774" i="6" l="1"/>
  <c r="AB1774" i="6"/>
  <c r="AE1775" i="6"/>
  <c r="AF1775" i="6" s="1"/>
  <c r="AC1775" i="6"/>
  <c r="Y1776" i="6"/>
  <c r="AA1775" i="6"/>
  <c r="Z1775" i="6" s="1"/>
  <c r="AH1775" i="6"/>
  <c r="AG1775" i="6"/>
  <c r="AH1776" i="6" l="1"/>
  <c r="AE1776" i="6"/>
  <c r="AF1776" i="6" s="1"/>
  <c r="Y1777" i="6"/>
  <c r="AG1776" i="6"/>
  <c r="AC1776" i="6"/>
  <c r="AA1776" i="6"/>
  <c r="Z1776" i="6" s="1"/>
  <c r="AB1775" i="6"/>
  <c r="AD1775" i="6"/>
  <c r="AD1776" i="6" l="1"/>
  <c r="AB1776" i="6"/>
  <c r="Y1778" i="6"/>
  <c r="AH1777" i="6"/>
  <c r="AG1777" i="6"/>
  <c r="AE1777" i="6"/>
  <c r="AF1777" i="6" s="1"/>
  <c r="AC1777" i="6"/>
  <c r="AA1777" i="6"/>
  <c r="Z1777" i="6" s="1"/>
  <c r="AD1777" i="6" l="1"/>
  <c r="AB1777" i="6"/>
  <c r="AA1778" i="6"/>
  <c r="Z1778" i="6" s="1"/>
  <c r="Y1779" i="6"/>
  <c r="AH1778" i="6"/>
  <c r="AG1778" i="6"/>
  <c r="AE1778" i="6"/>
  <c r="AF1778" i="6" s="1"/>
  <c r="AC1778" i="6"/>
  <c r="AD1778" i="6" l="1"/>
  <c r="AB1778" i="6"/>
  <c r="AC1779" i="6"/>
  <c r="Y1780" i="6"/>
  <c r="AG1779" i="6"/>
  <c r="AA1779" i="6"/>
  <c r="Z1779" i="6" s="1"/>
  <c r="AH1779" i="6"/>
  <c r="AE1779" i="6"/>
  <c r="AF1779" i="6" s="1"/>
  <c r="AD1779" i="6" l="1"/>
  <c r="AB1779" i="6"/>
  <c r="Y1781" i="6"/>
  <c r="AH1780" i="6"/>
  <c r="AG1780" i="6"/>
  <c r="AE1780" i="6"/>
  <c r="AF1780" i="6" s="1"/>
  <c r="AC1780" i="6"/>
  <c r="AA1780" i="6"/>
  <c r="Z1780" i="6" s="1"/>
  <c r="AB1780" i="6" l="1"/>
  <c r="AD1780" i="6"/>
  <c r="AG1781" i="6"/>
  <c r="AE1781" i="6"/>
  <c r="AF1781" i="6" s="1"/>
  <c r="Y1782" i="6"/>
  <c r="AH1781" i="6"/>
  <c r="AC1781" i="6"/>
  <c r="AA1781" i="6"/>
  <c r="Z1781" i="6" s="1"/>
  <c r="AB1781" i="6" l="1"/>
  <c r="AD1781" i="6"/>
  <c r="AC1782" i="6"/>
  <c r="AH1782" i="6"/>
  <c r="AE1782" i="6"/>
  <c r="AF1782" i="6" s="1"/>
  <c r="Y1783" i="6"/>
  <c r="AG1782" i="6"/>
  <c r="AA1782" i="6"/>
  <c r="Z1782" i="6" s="1"/>
  <c r="AD1782" i="6" l="1"/>
  <c r="AB1782" i="6"/>
  <c r="AA1783" i="6"/>
  <c r="Z1783" i="6" s="1"/>
  <c r="AH1783" i="6"/>
  <c r="AG1783" i="6"/>
  <c r="AE1783" i="6"/>
  <c r="AF1783" i="6" s="1"/>
  <c r="AC1783" i="6"/>
  <c r="Y1784" i="6"/>
  <c r="AH1784" i="6" l="1"/>
  <c r="AC1784" i="6"/>
  <c r="AA1784" i="6"/>
  <c r="Z1784" i="6" s="1"/>
  <c r="AE1784" i="6"/>
  <c r="AF1784" i="6" s="1"/>
  <c r="Y1785" i="6"/>
  <c r="AG1784" i="6"/>
  <c r="AD1783" i="6"/>
  <c r="AB1783" i="6"/>
  <c r="AC1785" i="6" l="1"/>
  <c r="AA1785" i="6"/>
  <c r="Z1785" i="6" s="1"/>
  <c r="Y1786" i="6"/>
  <c r="AH1785" i="6"/>
  <c r="AG1785" i="6"/>
  <c r="AE1785" i="6"/>
  <c r="AF1785" i="6" s="1"/>
  <c r="AD1784" i="6"/>
  <c r="AB1784" i="6"/>
  <c r="AC1786" i="6" l="1"/>
  <c r="AA1786" i="6"/>
  <c r="Z1786" i="6" s="1"/>
  <c r="AE1786" i="6"/>
  <c r="AF1786" i="6" s="1"/>
  <c r="Y1787" i="6"/>
  <c r="AH1786" i="6"/>
  <c r="AG1786" i="6"/>
  <c r="AB1785" i="6"/>
  <c r="AD1785" i="6"/>
  <c r="Y1788" i="6" l="1"/>
  <c r="AG1787" i="6"/>
  <c r="AA1787" i="6"/>
  <c r="Z1787" i="6" s="1"/>
  <c r="AH1787" i="6"/>
  <c r="AE1787" i="6"/>
  <c r="AF1787" i="6" s="1"/>
  <c r="AC1787" i="6"/>
  <c r="AB1786" i="6"/>
  <c r="AD1786" i="6"/>
  <c r="AD1787" i="6" l="1"/>
  <c r="AB1787" i="6"/>
  <c r="AA1788" i="6"/>
  <c r="Z1788" i="6" s="1"/>
  <c r="AG1788" i="6"/>
  <c r="Y1789" i="6"/>
  <c r="AH1788" i="6"/>
  <c r="AE1788" i="6"/>
  <c r="AF1788" i="6" s="1"/>
  <c r="AC1788" i="6"/>
  <c r="AB1788" i="6" l="1"/>
  <c r="AD1788" i="6"/>
  <c r="AC1789" i="6"/>
  <c r="AA1789" i="6"/>
  <c r="Z1789" i="6" s="1"/>
  <c r="Y1790" i="6"/>
  <c r="AH1789" i="6"/>
  <c r="AG1789" i="6"/>
  <c r="AE1789" i="6"/>
  <c r="AF1789" i="6" s="1"/>
  <c r="AH1790" i="6" l="1"/>
  <c r="Y1791" i="6"/>
  <c r="AE1790" i="6"/>
  <c r="AF1790" i="6" s="1"/>
  <c r="AC1790" i="6"/>
  <c r="AG1790" i="6"/>
  <c r="AA1790" i="6"/>
  <c r="Z1790" i="6" s="1"/>
  <c r="AD1789" i="6"/>
  <c r="AB1789" i="6"/>
  <c r="AB1790" i="6" l="1"/>
  <c r="AD1790" i="6"/>
  <c r="AA1791" i="6"/>
  <c r="Z1791" i="6" s="1"/>
  <c r="AH1791" i="6"/>
  <c r="AC1791" i="6"/>
  <c r="Y1792" i="6"/>
  <c r="AG1791" i="6"/>
  <c r="AE1791" i="6"/>
  <c r="AF1791" i="6" s="1"/>
  <c r="AE1792" i="6" l="1"/>
  <c r="AF1792" i="6" s="1"/>
  <c r="AC1792" i="6"/>
  <c r="AA1792" i="6"/>
  <c r="Z1792" i="6" s="1"/>
  <c r="AG1792" i="6"/>
  <c r="Y1793" i="6"/>
  <c r="AH1792" i="6"/>
  <c r="AD1791" i="6"/>
  <c r="AB1791" i="6"/>
  <c r="Y1794" i="6" l="1"/>
  <c r="AG1793" i="6"/>
  <c r="AC1793" i="6"/>
  <c r="AH1793" i="6"/>
  <c r="AE1793" i="6"/>
  <c r="AF1793" i="6" s="1"/>
  <c r="AA1793" i="6"/>
  <c r="Z1793" i="6" s="1"/>
  <c r="AD1792" i="6"/>
  <c r="AB1792" i="6"/>
  <c r="AD1793" i="6" l="1"/>
  <c r="AB1793" i="6"/>
  <c r="Y1795" i="6"/>
  <c r="AH1794" i="6"/>
  <c r="AG1794" i="6"/>
  <c r="AE1794" i="6"/>
  <c r="AF1794" i="6" s="1"/>
  <c r="AC1794" i="6"/>
  <c r="AA1794" i="6"/>
  <c r="Z1794" i="6" s="1"/>
  <c r="AD1794" i="6" l="1"/>
  <c r="AB1794" i="6"/>
  <c r="AE1795" i="6"/>
  <c r="AF1795" i="6" s="1"/>
  <c r="AC1795" i="6"/>
  <c r="AA1795" i="6"/>
  <c r="Z1795" i="6" s="1"/>
  <c r="AH1795" i="6"/>
  <c r="Y1796" i="6"/>
  <c r="AG1795" i="6"/>
  <c r="Y1797" i="6" l="1"/>
  <c r="AH1796" i="6"/>
  <c r="AG1796" i="6"/>
  <c r="AE1796" i="6"/>
  <c r="AF1796" i="6" s="1"/>
  <c r="AC1796" i="6"/>
  <c r="AA1796" i="6"/>
  <c r="Z1796" i="6" s="1"/>
  <c r="AD1795" i="6"/>
  <c r="AB1795" i="6"/>
  <c r="AD1796" i="6" l="1"/>
  <c r="AB1796" i="6"/>
  <c r="Y1798" i="6"/>
  <c r="AH1797" i="6"/>
  <c r="AE1797" i="6"/>
  <c r="AF1797" i="6" s="1"/>
  <c r="AC1797" i="6"/>
  <c r="AG1797" i="6"/>
  <c r="AA1797" i="6"/>
  <c r="Z1797" i="6" s="1"/>
  <c r="AD1797" i="6" l="1"/>
  <c r="AB1797" i="6"/>
  <c r="AG1798" i="6"/>
  <c r="AE1798" i="6"/>
  <c r="AF1798" i="6" s="1"/>
  <c r="AC1798" i="6"/>
  <c r="Y1799" i="6"/>
  <c r="AH1798" i="6"/>
  <c r="AA1798" i="6"/>
  <c r="Z1798" i="6" s="1"/>
  <c r="AH1799" i="6" l="1"/>
  <c r="AG1799" i="6"/>
  <c r="AE1799" i="6"/>
  <c r="AF1799" i="6" s="1"/>
  <c r="Y1800" i="6"/>
  <c r="AA1799" i="6"/>
  <c r="Z1799" i="6" s="1"/>
  <c r="AC1799" i="6"/>
  <c r="AD1798" i="6"/>
  <c r="AB1798" i="6"/>
  <c r="AB1799" i="6" l="1"/>
  <c r="AD1799" i="6"/>
  <c r="AG1800" i="6"/>
  <c r="AE1800" i="6"/>
  <c r="AF1800" i="6" s="1"/>
  <c r="AA1800" i="6"/>
  <c r="Z1800" i="6" s="1"/>
  <c r="Y1801" i="6"/>
  <c r="AH1800" i="6"/>
  <c r="AC1800" i="6"/>
  <c r="AB1800" i="6" l="1"/>
  <c r="AD1800" i="6"/>
  <c r="Y1802" i="6"/>
  <c r="AH1801" i="6"/>
  <c r="AG1801" i="6"/>
  <c r="AE1801" i="6"/>
  <c r="AF1801" i="6" s="1"/>
  <c r="AC1801" i="6"/>
  <c r="AA1801" i="6"/>
  <c r="Z1801" i="6" s="1"/>
  <c r="AD1801" i="6" l="1"/>
  <c r="AB1801" i="6"/>
  <c r="AG1802" i="6"/>
  <c r="AE1802" i="6"/>
  <c r="AF1802" i="6" s="1"/>
  <c r="Y1803" i="6"/>
  <c r="AH1802" i="6"/>
  <c r="AC1802" i="6"/>
  <c r="AA1802" i="6"/>
  <c r="Z1802" i="6" s="1"/>
  <c r="AD1802" i="6" l="1"/>
  <c r="AB1802" i="6"/>
  <c r="Y1804" i="6"/>
  <c r="AG1803" i="6"/>
  <c r="AC1803" i="6"/>
  <c r="AA1803" i="6"/>
  <c r="Z1803" i="6" s="1"/>
  <c r="AH1803" i="6"/>
  <c r="AE1803" i="6"/>
  <c r="AF1803" i="6" s="1"/>
  <c r="AH1804" i="6" l="1"/>
  <c r="Y1805" i="6"/>
  <c r="AG1804" i="6"/>
  <c r="AE1804" i="6"/>
  <c r="AF1804" i="6" s="1"/>
  <c r="AC1804" i="6"/>
  <c r="AA1804" i="6"/>
  <c r="Z1804" i="6" s="1"/>
  <c r="AD1803" i="6"/>
  <c r="AB1803" i="6"/>
  <c r="AD1804" i="6" l="1"/>
  <c r="AB1804" i="6"/>
  <c r="AE1805" i="6"/>
  <c r="AF1805" i="6" s="1"/>
  <c r="AC1805" i="6"/>
  <c r="AA1805" i="6"/>
  <c r="Z1805" i="6" s="1"/>
  <c r="Y1806" i="6"/>
  <c r="AG1805" i="6"/>
  <c r="AH1805" i="6"/>
  <c r="Y1807" i="6" l="1"/>
  <c r="AE1806" i="6"/>
  <c r="AF1806" i="6" s="1"/>
  <c r="AC1806" i="6"/>
  <c r="AH1806" i="6"/>
  <c r="AG1806" i="6"/>
  <c r="AA1806" i="6"/>
  <c r="Z1806" i="6" s="1"/>
  <c r="AB1805" i="6"/>
  <c r="AD1805" i="6"/>
  <c r="AD1806" i="6" l="1"/>
  <c r="AB1806" i="6"/>
  <c r="Y1808" i="6"/>
  <c r="AH1807" i="6"/>
  <c r="AG1807" i="6"/>
  <c r="AE1807" i="6"/>
  <c r="AF1807" i="6" s="1"/>
  <c r="AA1807" i="6"/>
  <c r="Z1807" i="6" s="1"/>
  <c r="AC1807" i="6"/>
  <c r="AD1807" i="6" l="1"/>
  <c r="AB1807" i="6"/>
  <c r="AH1808" i="6"/>
  <c r="AE1808" i="6"/>
  <c r="AF1808" i="6" s="1"/>
  <c r="AG1808" i="6"/>
  <c r="AC1808" i="6"/>
  <c r="AA1808" i="6"/>
  <c r="Z1808" i="6" s="1"/>
  <c r="Y1809" i="6"/>
  <c r="Y1810" i="6" l="1"/>
  <c r="AH1809" i="6"/>
  <c r="AG1809" i="6"/>
  <c r="AE1809" i="6"/>
  <c r="AF1809" i="6" s="1"/>
  <c r="AC1809" i="6"/>
  <c r="AA1809" i="6"/>
  <c r="Z1809" i="6" s="1"/>
  <c r="AD1808" i="6"/>
  <c r="AB1808" i="6"/>
  <c r="AB1809" i="6" l="1"/>
  <c r="AD1809" i="6"/>
  <c r="Y1811" i="6"/>
  <c r="AH1810" i="6"/>
  <c r="AE1810" i="6"/>
  <c r="AF1810" i="6" s="1"/>
  <c r="AG1810" i="6"/>
  <c r="AC1810" i="6"/>
  <c r="AA1810" i="6"/>
  <c r="Z1810" i="6" s="1"/>
  <c r="AD1810" i="6" l="1"/>
  <c r="AB1810" i="6"/>
  <c r="AG1811" i="6"/>
  <c r="AC1811" i="6"/>
  <c r="AA1811" i="6"/>
  <c r="Z1811" i="6" s="1"/>
  <c r="Y1812" i="6"/>
  <c r="AH1811" i="6"/>
  <c r="AE1811" i="6"/>
  <c r="AF1811" i="6" s="1"/>
  <c r="AA1812" i="6" l="1"/>
  <c r="Z1812" i="6" s="1"/>
  <c r="Y1813" i="6"/>
  <c r="AE1812" i="6"/>
  <c r="AF1812" i="6" s="1"/>
  <c r="AC1812" i="6"/>
  <c r="AH1812" i="6"/>
  <c r="AG1812" i="6"/>
  <c r="AD1811" i="6"/>
  <c r="AB1811" i="6"/>
  <c r="AD1812" i="6" l="1"/>
  <c r="AB1812" i="6"/>
  <c r="AH1813" i="6"/>
  <c r="AC1813" i="6"/>
  <c r="AA1813" i="6"/>
  <c r="Z1813" i="6" s="1"/>
  <c r="AG1813" i="6"/>
  <c r="AE1813" i="6"/>
  <c r="AF1813" i="6" s="1"/>
  <c r="Y1814" i="6"/>
  <c r="AC1814" i="6" l="1"/>
  <c r="Y1815" i="6"/>
  <c r="AH1814" i="6"/>
  <c r="AG1814" i="6"/>
  <c r="AE1814" i="6"/>
  <c r="AF1814" i="6" s="1"/>
  <c r="AA1814" i="6"/>
  <c r="Z1814" i="6" s="1"/>
  <c r="AB1813" i="6"/>
  <c r="AD1813" i="6"/>
  <c r="AC1815" i="6" l="1"/>
  <c r="AA1815" i="6"/>
  <c r="Z1815" i="6" s="1"/>
  <c r="AH1815" i="6"/>
  <c r="Y1816" i="6"/>
  <c r="AG1815" i="6"/>
  <c r="AE1815" i="6"/>
  <c r="AF1815" i="6" s="1"/>
  <c r="AB1814" i="6"/>
  <c r="AD1814" i="6"/>
  <c r="Y1817" i="6" l="1"/>
  <c r="AA1816" i="6"/>
  <c r="Z1816" i="6" s="1"/>
  <c r="AG1816" i="6"/>
  <c r="AE1816" i="6"/>
  <c r="AF1816" i="6" s="1"/>
  <c r="AH1816" i="6"/>
  <c r="AC1816" i="6"/>
  <c r="AD1815" i="6"/>
  <c r="AB1815" i="6"/>
  <c r="AD1816" i="6" l="1"/>
  <c r="AB1816" i="6"/>
  <c r="AE1817" i="6"/>
  <c r="AF1817" i="6" s="1"/>
  <c r="AA1817" i="6"/>
  <c r="Z1817" i="6" s="1"/>
  <c r="Y1818" i="6"/>
  <c r="AC1817" i="6"/>
  <c r="AH1817" i="6"/>
  <c r="AG1817" i="6"/>
  <c r="AB1817" i="6" l="1"/>
  <c r="AD1817" i="6"/>
  <c r="AH1818" i="6"/>
  <c r="Y1819" i="6"/>
  <c r="AG1818" i="6"/>
  <c r="AE1818" i="6"/>
  <c r="AF1818" i="6" s="1"/>
  <c r="AC1818" i="6"/>
  <c r="AA1818" i="6"/>
  <c r="Z1818" i="6" s="1"/>
  <c r="AD1818" i="6" l="1"/>
  <c r="AB1818" i="6"/>
  <c r="AH1819" i="6"/>
  <c r="Y1820" i="6"/>
  <c r="AG1819" i="6"/>
  <c r="AE1819" i="6"/>
  <c r="AF1819" i="6" s="1"/>
  <c r="AC1819" i="6"/>
  <c r="AA1819" i="6"/>
  <c r="Z1819" i="6" s="1"/>
  <c r="AD1819" i="6" l="1"/>
  <c r="AB1819" i="6"/>
  <c r="AA1820" i="6"/>
  <c r="Z1820" i="6" s="1"/>
  <c r="AH1820" i="6"/>
  <c r="AE1820" i="6"/>
  <c r="AF1820" i="6" s="1"/>
  <c r="AC1820" i="6"/>
  <c r="Y1821" i="6"/>
  <c r="AG1820" i="6"/>
  <c r="AD1820" i="6" l="1"/>
  <c r="AB1820" i="6"/>
  <c r="Y1822" i="6"/>
  <c r="AH1821" i="6"/>
  <c r="AG1821" i="6"/>
  <c r="AE1821" i="6"/>
  <c r="AF1821" i="6" s="1"/>
  <c r="AC1821" i="6"/>
  <c r="AA1821" i="6"/>
  <c r="Z1821" i="6" s="1"/>
  <c r="AD1821" i="6" l="1"/>
  <c r="AB1821" i="6"/>
  <c r="Y1823" i="6"/>
  <c r="AG1822" i="6"/>
  <c r="AC1822" i="6"/>
  <c r="AA1822" i="6"/>
  <c r="Z1822" i="6" s="1"/>
  <c r="AH1822" i="6"/>
  <c r="AE1822" i="6"/>
  <c r="AF1822" i="6" s="1"/>
  <c r="AD1822" i="6" l="1"/>
  <c r="AB1822" i="6"/>
  <c r="AC1823" i="6"/>
  <c r="Y1824" i="6"/>
  <c r="AH1823" i="6"/>
  <c r="AG1823" i="6"/>
  <c r="AA1823" i="6"/>
  <c r="Z1823" i="6" s="1"/>
  <c r="AE1823" i="6"/>
  <c r="AF1823" i="6" s="1"/>
  <c r="AH1824" i="6" l="1"/>
  <c r="Y1825" i="6"/>
  <c r="AG1824" i="6"/>
  <c r="AE1824" i="6"/>
  <c r="AF1824" i="6" s="1"/>
  <c r="AC1824" i="6"/>
  <c r="AA1824" i="6"/>
  <c r="Z1824" i="6" s="1"/>
  <c r="AB1823" i="6"/>
  <c r="AD1823" i="6"/>
  <c r="AD1824" i="6" l="1"/>
  <c r="AB1824" i="6"/>
  <c r="Y1826" i="6"/>
  <c r="AH1825" i="6"/>
  <c r="AG1825" i="6"/>
  <c r="AE1825" i="6"/>
  <c r="AF1825" i="6" s="1"/>
  <c r="AC1825" i="6"/>
  <c r="AA1825" i="6"/>
  <c r="Z1825" i="6" s="1"/>
  <c r="AD1825" i="6" l="1"/>
  <c r="AB1825" i="6"/>
  <c r="AA1826" i="6"/>
  <c r="Z1826" i="6" s="1"/>
  <c r="Y1827" i="6"/>
  <c r="AH1826" i="6"/>
  <c r="AG1826" i="6"/>
  <c r="AE1826" i="6"/>
  <c r="AF1826" i="6" s="1"/>
  <c r="AC1826" i="6"/>
  <c r="AB1826" i="6" l="1"/>
  <c r="AD1826" i="6"/>
  <c r="AG1827" i="6"/>
  <c r="Y1828" i="6"/>
  <c r="AH1827" i="6"/>
  <c r="AC1827" i="6"/>
  <c r="AA1827" i="6"/>
  <c r="Z1827" i="6" s="1"/>
  <c r="AE1827" i="6"/>
  <c r="AF1827" i="6" s="1"/>
  <c r="AB1827" i="6" l="1"/>
  <c r="AD1827" i="6"/>
  <c r="Y1829" i="6"/>
  <c r="AH1828" i="6"/>
  <c r="AG1828" i="6"/>
  <c r="AE1828" i="6"/>
  <c r="AF1828" i="6" s="1"/>
  <c r="AC1828" i="6"/>
  <c r="AA1828" i="6"/>
  <c r="Z1828" i="6" s="1"/>
  <c r="AD1828" i="6" l="1"/>
  <c r="AB1828" i="6"/>
  <c r="AG1829" i="6"/>
  <c r="AE1829" i="6"/>
  <c r="AF1829" i="6" s="1"/>
  <c r="AC1829" i="6"/>
  <c r="AA1829" i="6"/>
  <c r="Z1829" i="6" s="1"/>
  <c r="Y1830" i="6"/>
  <c r="AH1829" i="6"/>
  <c r="AG1830" i="6" l="1"/>
  <c r="Y1831" i="6"/>
  <c r="AH1830" i="6"/>
  <c r="AE1830" i="6"/>
  <c r="AF1830" i="6" s="1"/>
  <c r="AC1830" i="6"/>
  <c r="AA1830" i="6"/>
  <c r="Z1830" i="6" s="1"/>
  <c r="AB1829" i="6"/>
  <c r="AD1829" i="6"/>
  <c r="AB1830" i="6" l="1"/>
  <c r="AD1830" i="6"/>
  <c r="AG1831" i="6"/>
  <c r="Y1832" i="6"/>
  <c r="AH1831" i="6"/>
  <c r="AE1831" i="6"/>
  <c r="AF1831" i="6" s="1"/>
  <c r="AC1831" i="6"/>
  <c r="AA1831" i="6"/>
  <c r="Z1831" i="6" s="1"/>
  <c r="AD1831" i="6" l="1"/>
  <c r="AB1831" i="6"/>
  <c r="AH1832" i="6"/>
  <c r="Y1833" i="6"/>
  <c r="AG1832" i="6"/>
  <c r="AE1832" i="6"/>
  <c r="AF1832" i="6" s="1"/>
  <c r="AC1832" i="6"/>
  <c r="AA1832" i="6"/>
  <c r="Z1832" i="6" s="1"/>
  <c r="AB1832" i="6" l="1"/>
  <c r="AD1832" i="6"/>
  <c r="AG1833" i="6"/>
  <c r="AE1833" i="6"/>
  <c r="AF1833" i="6" s="1"/>
  <c r="AC1833" i="6"/>
  <c r="AA1833" i="6"/>
  <c r="Z1833" i="6" s="1"/>
  <c r="Y1834" i="6"/>
  <c r="AH1833" i="6"/>
  <c r="AE1834" i="6" l="1"/>
  <c r="AF1834" i="6" s="1"/>
  <c r="Y1835" i="6"/>
  <c r="AH1834" i="6"/>
  <c r="AG1834" i="6"/>
  <c r="AC1834" i="6"/>
  <c r="AA1834" i="6"/>
  <c r="Z1834" i="6" s="1"/>
  <c r="AB1833" i="6"/>
  <c r="AD1833" i="6"/>
  <c r="AD1834" i="6" l="1"/>
  <c r="AB1834" i="6"/>
  <c r="Y1836" i="6"/>
  <c r="AH1835" i="6"/>
  <c r="AG1835" i="6"/>
  <c r="AE1835" i="6"/>
  <c r="AF1835" i="6" s="1"/>
  <c r="AC1835" i="6"/>
  <c r="AA1835" i="6"/>
  <c r="Z1835" i="6" s="1"/>
  <c r="AB1835" i="6" l="1"/>
  <c r="AD1835" i="6"/>
  <c r="AG1836" i="6"/>
  <c r="AE1836" i="6"/>
  <c r="AF1836" i="6" s="1"/>
  <c r="Y1837" i="6"/>
  <c r="AH1836" i="6"/>
  <c r="AC1836" i="6"/>
  <c r="AA1836" i="6"/>
  <c r="Z1836" i="6" s="1"/>
  <c r="AD1836" i="6" l="1"/>
  <c r="AB1836" i="6"/>
  <c r="AC1837" i="6"/>
  <c r="Y1838" i="6"/>
  <c r="AH1837" i="6"/>
  <c r="AA1837" i="6"/>
  <c r="Z1837" i="6" s="1"/>
  <c r="AG1837" i="6"/>
  <c r="AE1837" i="6"/>
  <c r="AF1837" i="6" s="1"/>
  <c r="AH1838" i="6" l="1"/>
  <c r="AG1838" i="6"/>
  <c r="AE1838" i="6"/>
  <c r="AF1838" i="6" s="1"/>
  <c r="Y1839" i="6"/>
  <c r="AC1838" i="6"/>
  <c r="AA1838" i="6"/>
  <c r="Z1838" i="6" s="1"/>
  <c r="AD1837" i="6"/>
  <c r="AB1837" i="6"/>
  <c r="AD1838" i="6" l="1"/>
  <c r="AB1838" i="6"/>
  <c r="AG1839" i="6"/>
  <c r="AE1839" i="6"/>
  <c r="AF1839" i="6" s="1"/>
  <c r="Y1840" i="6"/>
  <c r="AH1839" i="6"/>
  <c r="AC1839" i="6"/>
  <c r="AA1839" i="6"/>
  <c r="Z1839" i="6" s="1"/>
  <c r="AD1839" i="6" l="1"/>
  <c r="AB1839" i="6"/>
  <c r="AA1840" i="6"/>
  <c r="Z1840" i="6" s="1"/>
  <c r="Y1841" i="6"/>
  <c r="AH1840" i="6"/>
  <c r="AG1840" i="6"/>
  <c r="AE1840" i="6"/>
  <c r="AF1840" i="6" s="1"/>
  <c r="AC1840" i="6"/>
  <c r="AD1840" i="6" l="1"/>
  <c r="AB1840" i="6"/>
  <c r="AH1841" i="6"/>
  <c r="AC1841" i="6"/>
  <c r="AA1841" i="6"/>
  <c r="Z1841" i="6" s="1"/>
  <c r="AG1841" i="6"/>
  <c r="AE1841" i="6"/>
  <c r="AF1841" i="6" s="1"/>
  <c r="Y1842" i="6"/>
  <c r="Y1843" i="6" l="1"/>
  <c r="AH1842" i="6"/>
  <c r="AE1842" i="6"/>
  <c r="AF1842" i="6" s="1"/>
  <c r="AC1842" i="6"/>
  <c r="AG1842" i="6"/>
  <c r="AA1842" i="6"/>
  <c r="Z1842" i="6" s="1"/>
  <c r="AB1841" i="6"/>
  <c r="AD1841" i="6"/>
  <c r="AD1842" i="6" l="1"/>
  <c r="AB1842" i="6"/>
  <c r="Y1844" i="6"/>
  <c r="AG1843" i="6"/>
  <c r="AH1843" i="6"/>
  <c r="AE1843" i="6"/>
  <c r="AF1843" i="6" s="1"/>
  <c r="AC1843" i="6"/>
  <c r="AA1843" i="6"/>
  <c r="Z1843" i="6" s="1"/>
  <c r="AD1843" i="6" l="1"/>
  <c r="AB1843" i="6"/>
  <c r="AA1844" i="6"/>
  <c r="Z1844" i="6" s="1"/>
  <c r="Y1845" i="6"/>
  <c r="AH1844" i="6"/>
  <c r="AG1844" i="6"/>
  <c r="AE1844" i="6"/>
  <c r="AF1844" i="6" s="1"/>
  <c r="AC1844" i="6"/>
  <c r="AD1844" i="6" l="1"/>
  <c r="AB1844" i="6"/>
  <c r="AG1845" i="6"/>
  <c r="AH1845" i="6"/>
  <c r="AA1845" i="6"/>
  <c r="Z1845" i="6" s="1"/>
  <c r="AE1845" i="6"/>
  <c r="AF1845" i="6" s="1"/>
  <c r="AC1845" i="6"/>
  <c r="Y1846" i="6"/>
  <c r="AH1846" i="6" l="1"/>
  <c r="AG1846" i="6"/>
  <c r="AE1846" i="6"/>
  <c r="AF1846" i="6" s="1"/>
  <c r="AC1846" i="6"/>
  <c r="Y1847" i="6"/>
  <c r="AA1846" i="6"/>
  <c r="Z1846" i="6" s="1"/>
  <c r="AD1845" i="6"/>
  <c r="AB1845" i="6"/>
  <c r="AG1847" i="6" l="1"/>
  <c r="AC1847" i="6"/>
  <c r="Y1848" i="6"/>
  <c r="AH1847" i="6"/>
  <c r="AE1847" i="6"/>
  <c r="AF1847" i="6" s="1"/>
  <c r="AA1847" i="6"/>
  <c r="Z1847" i="6" s="1"/>
  <c r="AD1846" i="6"/>
  <c r="AB1846" i="6"/>
  <c r="AE1848" i="6" l="1"/>
  <c r="AF1848" i="6" s="1"/>
  <c r="Y1849" i="6"/>
  <c r="AH1848" i="6"/>
  <c r="AG1848" i="6"/>
  <c r="AC1848" i="6"/>
  <c r="AA1848" i="6"/>
  <c r="Z1848" i="6" s="1"/>
  <c r="AD1847" i="6"/>
  <c r="AB1847" i="6"/>
  <c r="AD1848" i="6" l="1"/>
  <c r="AB1848" i="6"/>
  <c r="AE1849" i="6"/>
  <c r="AF1849" i="6" s="1"/>
  <c r="AA1849" i="6"/>
  <c r="Z1849" i="6" s="1"/>
  <c r="AH1849" i="6"/>
  <c r="Y1850" i="6"/>
  <c r="AG1849" i="6"/>
  <c r="AC1849" i="6"/>
  <c r="AB1849" i="6" l="1"/>
  <c r="AD1849" i="6"/>
  <c r="Y1851" i="6"/>
  <c r="AE1850" i="6"/>
  <c r="AF1850" i="6" s="1"/>
  <c r="AC1850" i="6"/>
  <c r="AH1850" i="6"/>
  <c r="AG1850" i="6"/>
  <c r="AA1850" i="6"/>
  <c r="Z1850" i="6" s="1"/>
  <c r="AB1850" i="6" l="1"/>
  <c r="AD1850" i="6"/>
  <c r="AC1851" i="6"/>
  <c r="Y1852" i="6"/>
  <c r="AH1851" i="6"/>
  <c r="AG1851" i="6"/>
  <c r="AE1851" i="6"/>
  <c r="AF1851" i="6" s="1"/>
  <c r="AA1851" i="6"/>
  <c r="Z1851" i="6" s="1"/>
  <c r="AD1851" i="6" l="1"/>
  <c r="AB1851" i="6"/>
  <c r="AC1852" i="6"/>
  <c r="Y1853" i="6"/>
  <c r="AH1852" i="6"/>
  <c r="AG1852" i="6"/>
  <c r="AE1852" i="6"/>
  <c r="AF1852" i="6" s="1"/>
  <c r="AA1852" i="6"/>
  <c r="Z1852" i="6" s="1"/>
  <c r="AH1853" i="6" l="1"/>
  <c r="AG1853" i="6"/>
  <c r="AE1853" i="6"/>
  <c r="AF1853" i="6" s="1"/>
  <c r="AC1853" i="6"/>
  <c r="AA1853" i="6"/>
  <c r="Z1853" i="6" s="1"/>
  <c r="Y1854" i="6"/>
  <c r="AD1852" i="6"/>
  <c r="AB1852" i="6"/>
  <c r="AA1854" i="6" l="1"/>
  <c r="Z1854" i="6" s="1"/>
  <c r="Y1855" i="6"/>
  <c r="AH1854" i="6"/>
  <c r="AG1854" i="6"/>
  <c r="AE1854" i="6"/>
  <c r="AF1854" i="6" s="1"/>
  <c r="AC1854" i="6"/>
  <c r="AB1853" i="6"/>
  <c r="AD1853" i="6"/>
  <c r="AB1854" i="6" l="1"/>
  <c r="AD1854" i="6"/>
  <c r="AH1855" i="6"/>
  <c r="AA1855" i="6"/>
  <c r="Z1855" i="6" s="1"/>
  <c r="Y1856" i="6"/>
  <c r="AG1855" i="6"/>
  <c r="AE1855" i="6"/>
  <c r="AF1855" i="6" s="1"/>
  <c r="AC1855" i="6"/>
  <c r="AB1855" i="6" l="1"/>
  <c r="AD1855" i="6"/>
  <c r="Y1857" i="6"/>
  <c r="AH1856" i="6"/>
  <c r="AG1856" i="6"/>
  <c r="AE1856" i="6"/>
  <c r="AF1856" i="6" s="1"/>
  <c r="AC1856" i="6"/>
  <c r="AA1856" i="6"/>
  <c r="Z1856" i="6" s="1"/>
  <c r="AD1856" i="6" l="1"/>
  <c r="AB1856" i="6"/>
  <c r="Y1858" i="6"/>
  <c r="AE1857" i="6"/>
  <c r="AF1857" i="6" s="1"/>
  <c r="AA1857" i="6"/>
  <c r="Z1857" i="6" s="1"/>
  <c r="AG1857" i="6"/>
  <c r="AC1857" i="6"/>
  <c r="AH1857" i="6"/>
  <c r="AB1857" i="6" l="1"/>
  <c r="AD1857" i="6"/>
  <c r="Y1859" i="6"/>
  <c r="AH1858" i="6"/>
  <c r="AC1858" i="6"/>
  <c r="AA1858" i="6"/>
  <c r="Z1858" i="6" s="1"/>
  <c r="AG1858" i="6"/>
  <c r="AE1858" i="6"/>
  <c r="AF1858" i="6" s="1"/>
  <c r="AD1858" i="6" l="1"/>
  <c r="AB1858" i="6"/>
  <c r="AG1859" i="6"/>
  <c r="Y1860" i="6"/>
  <c r="AH1859" i="6"/>
  <c r="AC1859" i="6"/>
  <c r="AA1859" i="6"/>
  <c r="Z1859" i="6" s="1"/>
  <c r="AE1859" i="6"/>
  <c r="AF1859" i="6" s="1"/>
  <c r="AB1859" i="6" l="1"/>
  <c r="AD1859" i="6"/>
  <c r="AH1860" i="6"/>
  <c r="AG1860" i="6"/>
  <c r="AE1860" i="6"/>
  <c r="AF1860" i="6" s="1"/>
  <c r="Y1861" i="6"/>
  <c r="AC1860" i="6"/>
  <c r="AA1860" i="6"/>
  <c r="Z1860" i="6" s="1"/>
  <c r="AD1860" i="6" l="1"/>
  <c r="AB1860" i="6"/>
  <c r="Y1862" i="6"/>
  <c r="AH1861" i="6"/>
  <c r="AG1861" i="6"/>
  <c r="AE1861" i="6"/>
  <c r="AF1861" i="6" s="1"/>
  <c r="AC1861" i="6"/>
  <c r="AA1861" i="6"/>
  <c r="Z1861" i="6" s="1"/>
  <c r="AD1861" i="6" l="1"/>
  <c r="AB1861" i="6"/>
  <c r="AE1862" i="6"/>
  <c r="AF1862" i="6" s="1"/>
  <c r="AG1862" i="6"/>
  <c r="AC1862" i="6"/>
  <c r="AA1862" i="6"/>
  <c r="Z1862" i="6" s="1"/>
  <c r="Y1863" i="6"/>
  <c r="AH1862" i="6"/>
  <c r="AE1863" i="6" l="1"/>
  <c r="AF1863" i="6" s="1"/>
  <c r="Y1864" i="6"/>
  <c r="AG1863" i="6"/>
  <c r="AC1863" i="6"/>
  <c r="AA1863" i="6"/>
  <c r="Z1863" i="6" s="1"/>
  <c r="AH1863" i="6"/>
  <c r="AD1862" i="6"/>
  <c r="AB1862" i="6"/>
  <c r="AD1863" i="6" l="1"/>
  <c r="AB1863" i="6"/>
  <c r="Y1865" i="6"/>
  <c r="AH1864" i="6"/>
  <c r="AG1864" i="6"/>
  <c r="AE1864" i="6"/>
  <c r="AF1864" i="6" s="1"/>
  <c r="AC1864" i="6"/>
  <c r="AA1864" i="6"/>
  <c r="Z1864" i="6" s="1"/>
  <c r="AB1864" i="6" l="1"/>
  <c r="AD1864" i="6"/>
  <c r="AC1865" i="6"/>
  <c r="AH1865" i="6"/>
  <c r="Y1866" i="6"/>
  <c r="AG1865" i="6"/>
  <c r="AE1865" i="6"/>
  <c r="AF1865" i="6" s="1"/>
  <c r="AA1865" i="6"/>
  <c r="Z1865" i="6" s="1"/>
  <c r="AC1866" i="6" l="1"/>
  <c r="AA1866" i="6"/>
  <c r="Z1866" i="6" s="1"/>
  <c r="AH1866" i="6"/>
  <c r="Y1867" i="6"/>
  <c r="AG1866" i="6"/>
  <c r="AE1866" i="6"/>
  <c r="AF1866" i="6" s="1"/>
  <c r="AB1865" i="6"/>
  <c r="AD1865" i="6"/>
  <c r="AG1867" i="6" l="1"/>
  <c r="AC1867" i="6"/>
  <c r="AA1867" i="6"/>
  <c r="Z1867" i="6" s="1"/>
  <c r="Y1868" i="6"/>
  <c r="AH1867" i="6"/>
  <c r="AE1867" i="6"/>
  <c r="AF1867" i="6" s="1"/>
  <c r="AD1866" i="6"/>
  <c r="AB1866" i="6"/>
  <c r="AA1868" i="6" l="1"/>
  <c r="Z1868" i="6" s="1"/>
  <c r="Y1869" i="6"/>
  <c r="AH1868" i="6"/>
  <c r="AG1868" i="6"/>
  <c r="AE1868" i="6"/>
  <c r="AF1868" i="6" s="1"/>
  <c r="AC1868" i="6"/>
  <c r="AD1867" i="6"/>
  <c r="AB1867" i="6"/>
  <c r="AD1868" i="6" l="1"/>
  <c r="AB1868" i="6"/>
  <c r="AH1869" i="6"/>
  <c r="AA1869" i="6"/>
  <c r="Z1869" i="6" s="1"/>
  <c r="AE1869" i="6"/>
  <c r="AF1869" i="6" s="1"/>
  <c r="AC1869" i="6"/>
  <c r="Y1870" i="6"/>
  <c r="AG1869" i="6"/>
  <c r="Y1871" i="6" l="1"/>
  <c r="AH1870" i="6"/>
  <c r="AG1870" i="6"/>
  <c r="AE1870" i="6"/>
  <c r="AF1870" i="6" s="1"/>
  <c r="AC1870" i="6"/>
  <c r="AA1870" i="6"/>
  <c r="Z1870" i="6" s="1"/>
  <c r="AB1869" i="6"/>
  <c r="AD1869" i="6"/>
  <c r="AD1870" i="6" l="1"/>
  <c r="AB1870" i="6"/>
  <c r="Y1872" i="6"/>
  <c r="AA1871" i="6"/>
  <c r="Z1871" i="6" s="1"/>
  <c r="AE1871" i="6"/>
  <c r="AF1871" i="6" s="1"/>
  <c r="AC1871" i="6"/>
  <c r="AG1871" i="6"/>
  <c r="AH1871" i="6"/>
  <c r="AB1871" i="6" l="1"/>
  <c r="AD1871" i="6"/>
  <c r="Y1873" i="6"/>
  <c r="AG1872" i="6"/>
  <c r="AH1872" i="6"/>
  <c r="AE1872" i="6"/>
  <c r="AF1872" i="6" s="1"/>
  <c r="AC1872" i="6"/>
  <c r="AA1872" i="6"/>
  <c r="Z1872" i="6" s="1"/>
  <c r="AD1872" i="6" l="1"/>
  <c r="AB1872" i="6"/>
  <c r="AG1873" i="6"/>
  <c r="Y1874" i="6"/>
  <c r="AH1873" i="6"/>
  <c r="AE1873" i="6"/>
  <c r="AF1873" i="6" s="1"/>
  <c r="AC1873" i="6"/>
  <c r="AA1873" i="6"/>
  <c r="Z1873" i="6" s="1"/>
  <c r="AD1873" i="6" l="1"/>
  <c r="AB1873" i="6"/>
  <c r="AH1874" i="6"/>
  <c r="AG1874" i="6"/>
  <c r="AE1874" i="6"/>
  <c r="AF1874" i="6" s="1"/>
  <c r="AA1874" i="6"/>
  <c r="Z1874" i="6" s="1"/>
  <c r="Y1875" i="6"/>
  <c r="AC1874" i="6"/>
  <c r="AD1874" i="6" l="1"/>
  <c r="AB1874" i="6"/>
  <c r="AC1875" i="6"/>
  <c r="AA1875" i="6"/>
  <c r="Z1875" i="6" s="1"/>
  <c r="AH1875" i="6"/>
  <c r="Y1876" i="6"/>
  <c r="AG1875" i="6"/>
  <c r="AE1875" i="6"/>
  <c r="AF1875" i="6" s="1"/>
  <c r="AE1876" i="6" l="1"/>
  <c r="AF1876" i="6" s="1"/>
  <c r="Y1877" i="6"/>
  <c r="AH1876" i="6"/>
  <c r="AG1876" i="6"/>
  <c r="AC1876" i="6"/>
  <c r="AA1876" i="6"/>
  <c r="Z1876" i="6" s="1"/>
  <c r="AD1875" i="6"/>
  <c r="AB1875" i="6"/>
  <c r="AD1876" i="6" l="1"/>
  <c r="AB1876" i="6"/>
  <c r="AE1877" i="6"/>
  <c r="AF1877" i="6" s="1"/>
  <c r="Y1878" i="6"/>
  <c r="AG1877" i="6"/>
  <c r="AH1877" i="6"/>
  <c r="AC1877" i="6"/>
  <c r="AA1877" i="6"/>
  <c r="Z1877" i="6" s="1"/>
  <c r="AD1877" i="6" l="1"/>
  <c r="AB1877" i="6"/>
  <c r="AA1878" i="6"/>
  <c r="Z1878" i="6" s="1"/>
  <c r="Y1879" i="6"/>
  <c r="AH1878" i="6"/>
  <c r="AG1878" i="6"/>
  <c r="AE1878" i="6"/>
  <c r="AF1878" i="6" s="1"/>
  <c r="AC1878" i="6"/>
  <c r="AB1878" i="6" l="1"/>
  <c r="AD1878" i="6"/>
  <c r="AE1879" i="6"/>
  <c r="AF1879" i="6" s="1"/>
  <c r="AC1879" i="6"/>
  <c r="AH1879" i="6"/>
  <c r="Y1880" i="6"/>
  <c r="AG1879" i="6"/>
  <c r="AA1879" i="6"/>
  <c r="Z1879" i="6" s="1"/>
  <c r="AC1880" i="6" l="1"/>
  <c r="AH1880" i="6"/>
  <c r="Y1881" i="6"/>
  <c r="AG1880" i="6"/>
  <c r="AA1880" i="6"/>
  <c r="Z1880" i="6" s="1"/>
  <c r="AE1880" i="6"/>
  <c r="AF1880" i="6" s="1"/>
  <c r="AB1879" i="6"/>
  <c r="AD1879" i="6"/>
  <c r="AE1881" i="6" l="1"/>
  <c r="AF1881" i="6" s="1"/>
  <c r="AA1881" i="6"/>
  <c r="Z1881" i="6" s="1"/>
  <c r="Y1882" i="6"/>
  <c r="AH1881" i="6"/>
  <c r="AG1881" i="6"/>
  <c r="AC1881" i="6"/>
  <c r="AD1880" i="6"/>
  <c r="AB1880" i="6"/>
  <c r="AD1881" i="6" l="1"/>
  <c r="AB1881" i="6"/>
  <c r="AC1882" i="6"/>
  <c r="AA1882" i="6"/>
  <c r="Z1882" i="6" s="1"/>
  <c r="AG1882" i="6"/>
  <c r="Y1883" i="6"/>
  <c r="AH1882" i="6"/>
  <c r="AE1882" i="6"/>
  <c r="AF1882" i="6" s="1"/>
  <c r="AH1883" i="6" l="1"/>
  <c r="AA1883" i="6"/>
  <c r="Z1883" i="6" s="1"/>
  <c r="Y1884" i="6"/>
  <c r="AG1883" i="6"/>
  <c r="AE1883" i="6"/>
  <c r="AF1883" i="6" s="1"/>
  <c r="AC1883" i="6"/>
  <c r="AD1882" i="6"/>
  <c r="AB1882" i="6"/>
  <c r="AB1883" i="6" l="1"/>
  <c r="AD1883" i="6"/>
  <c r="Y1885" i="6"/>
  <c r="AH1884" i="6"/>
  <c r="AE1884" i="6"/>
  <c r="AF1884" i="6" s="1"/>
  <c r="AC1884" i="6"/>
  <c r="AG1884" i="6"/>
  <c r="AA1884" i="6"/>
  <c r="Z1884" i="6" s="1"/>
  <c r="AD1884" i="6" l="1"/>
  <c r="AB1884" i="6"/>
  <c r="Y1886" i="6"/>
  <c r="AA1885" i="6"/>
  <c r="Z1885" i="6" s="1"/>
  <c r="AC1885" i="6"/>
  <c r="AE1885" i="6"/>
  <c r="AF1885" i="6" s="1"/>
  <c r="AG1885" i="6"/>
  <c r="AH1885" i="6"/>
  <c r="Y1887" i="6" l="1"/>
  <c r="AG1886" i="6"/>
  <c r="AE1886" i="6"/>
  <c r="AF1886" i="6" s="1"/>
  <c r="AC1886" i="6"/>
  <c r="AH1886" i="6"/>
  <c r="AA1886" i="6"/>
  <c r="Z1886" i="6" s="1"/>
  <c r="AB1885" i="6"/>
  <c r="AD1885" i="6"/>
  <c r="AD1886" i="6" l="1"/>
  <c r="AB1886" i="6"/>
  <c r="Y1888" i="6"/>
  <c r="AG1887" i="6"/>
  <c r="AH1887" i="6"/>
  <c r="AE1887" i="6"/>
  <c r="AF1887" i="6" s="1"/>
  <c r="AC1887" i="6"/>
  <c r="AA1887" i="6"/>
  <c r="Z1887" i="6" s="1"/>
  <c r="AD1887" i="6" l="1"/>
  <c r="AB1887" i="6"/>
  <c r="AH1888" i="6"/>
  <c r="AG1888" i="6"/>
  <c r="Y1889" i="6"/>
  <c r="AC1888" i="6"/>
  <c r="AA1888" i="6"/>
  <c r="Z1888" i="6" s="1"/>
  <c r="AE1888" i="6"/>
  <c r="AF1888" i="6" s="1"/>
  <c r="AD1888" i="6" l="1"/>
  <c r="AB1888" i="6"/>
  <c r="AH1889" i="6"/>
  <c r="Y1890" i="6"/>
  <c r="AG1889" i="6"/>
  <c r="AE1889" i="6"/>
  <c r="AF1889" i="6" s="1"/>
  <c r="AC1889" i="6"/>
  <c r="AA1889" i="6"/>
  <c r="Z1889" i="6" s="1"/>
  <c r="AD1889" i="6" l="1"/>
  <c r="AB1889" i="6"/>
  <c r="AG1890" i="6"/>
  <c r="AE1890" i="6"/>
  <c r="AF1890" i="6" s="1"/>
  <c r="AH1890" i="6"/>
  <c r="AC1890" i="6"/>
  <c r="Y1891" i="6"/>
  <c r="AA1890" i="6"/>
  <c r="Z1890" i="6" s="1"/>
  <c r="AE1891" i="6" l="1"/>
  <c r="AF1891" i="6" s="1"/>
  <c r="AH1891" i="6"/>
  <c r="AA1891" i="6"/>
  <c r="Z1891" i="6" s="1"/>
  <c r="AG1891" i="6"/>
  <c r="AC1891" i="6"/>
  <c r="Y1892" i="6"/>
  <c r="AD1890" i="6"/>
  <c r="AB1890" i="6"/>
  <c r="AG1892" i="6" l="1"/>
  <c r="AE1892" i="6"/>
  <c r="AF1892" i="6" s="1"/>
  <c r="AA1892" i="6"/>
  <c r="Z1892" i="6" s="1"/>
  <c r="Y1893" i="6"/>
  <c r="AH1892" i="6"/>
  <c r="AC1892" i="6"/>
  <c r="AD1891" i="6"/>
  <c r="AB1891" i="6"/>
  <c r="AB1892" i="6" l="1"/>
  <c r="AD1892" i="6"/>
  <c r="AE1893" i="6"/>
  <c r="AF1893" i="6" s="1"/>
  <c r="AC1893" i="6"/>
  <c r="AH1893" i="6"/>
  <c r="Y1894" i="6"/>
  <c r="AG1893" i="6"/>
  <c r="AA1893" i="6"/>
  <c r="Z1893" i="6" s="1"/>
  <c r="AC1894" i="6" l="1"/>
  <c r="AE1894" i="6"/>
  <c r="AF1894" i="6" s="1"/>
  <c r="AA1894" i="6"/>
  <c r="Z1894" i="6" s="1"/>
  <c r="Y1895" i="6"/>
  <c r="AH1894" i="6"/>
  <c r="AG1894" i="6"/>
  <c r="AB1893" i="6"/>
  <c r="AD1893" i="6"/>
  <c r="AH1895" i="6" l="1"/>
  <c r="AG1895" i="6"/>
  <c r="AE1895" i="6"/>
  <c r="AF1895" i="6" s="1"/>
  <c r="Y1896" i="6"/>
  <c r="AC1895" i="6"/>
  <c r="AA1895" i="6"/>
  <c r="Z1895" i="6" s="1"/>
  <c r="AD1894" i="6"/>
  <c r="AB1894" i="6"/>
  <c r="AD1895" i="6" l="1"/>
  <c r="AB1895" i="6"/>
  <c r="AC1896" i="6"/>
  <c r="AA1896" i="6"/>
  <c r="Z1896" i="6" s="1"/>
  <c r="AE1896" i="6"/>
  <c r="AF1896" i="6" s="1"/>
  <c r="Y1897" i="6"/>
  <c r="AH1896" i="6"/>
  <c r="AG1896" i="6"/>
  <c r="AH1897" i="6" l="1"/>
  <c r="AA1897" i="6"/>
  <c r="Z1897" i="6" s="1"/>
  <c r="Y1898" i="6"/>
  <c r="AG1897" i="6"/>
  <c r="AE1897" i="6"/>
  <c r="AF1897" i="6" s="1"/>
  <c r="AC1897" i="6"/>
  <c r="AD1896" i="6"/>
  <c r="AB1896" i="6"/>
  <c r="AB1897" i="6" l="1"/>
  <c r="AD1897" i="6"/>
  <c r="Y1899" i="6"/>
  <c r="AH1898" i="6"/>
  <c r="AA1898" i="6"/>
  <c r="Z1898" i="6" s="1"/>
  <c r="AG1898" i="6"/>
  <c r="AE1898" i="6"/>
  <c r="AF1898" i="6" s="1"/>
  <c r="AC1898" i="6"/>
  <c r="AB1898" i="6" l="1"/>
  <c r="AD1898" i="6"/>
  <c r="Y1900" i="6"/>
  <c r="AA1899" i="6"/>
  <c r="Z1899" i="6" s="1"/>
  <c r="AH1899" i="6"/>
  <c r="AE1899" i="6"/>
  <c r="AF1899" i="6" s="1"/>
  <c r="AC1899" i="6"/>
  <c r="AG1899" i="6"/>
  <c r="AD1899" i="6" l="1"/>
  <c r="AB1899" i="6"/>
  <c r="AA1900" i="6"/>
  <c r="Z1900" i="6" s="1"/>
  <c r="Y1901" i="6"/>
  <c r="AH1900" i="6"/>
  <c r="AG1900" i="6"/>
  <c r="AE1900" i="6"/>
  <c r="AF1900" i="6" s="1"/>
  <c r="AC1900" i="6"/>
  <c r="AB1900" i="6" l="1"/>
  <c r="AD1900" i="6"/>
  <c r="Y1902" i="6"/>
  <c r="AG1901" i="6"/>
  <c r="AE1901" i="6"/>
  <c r="AF1901" i="6" s="1"/>
  <c r="AH1901" i="6"/>
  <c r="AC1901" i="6"/>
  <c r="AA1901" i="6"/>
  <c r="Z1901" i="6" s="1"/>
  <c r="AD1901" i="6" l="1"/>
  <c r="AB1901" i="6"/>
  <c r="AH1902" i="6"/>
  <c r="AG1902" i="6"/>
  <c r="AE1902" i="6"/>
  <c r="AF1902" i="6" s="1"/>
  <c r="AC1902" i="6"/>
  <c r="AA1902" i="6"/>
  <c r="Z1902" i="6" s="1"/>
  <c r="Y1903" i="6"/>
  <c r="AH1903" i="6" l="1"/>
  <c r="Y1904" i="6"/>
  <c r="AG1903" i="6"/>
  <c r="AE1903" i="6"/>
  <c r="AF1903" i="6" s="1"/>
  <c r="AC1903" i="6"/>
  <c r="AA1903" i="6"/>
  <c r="Z1903" i="6" s="1"/>
  <c r="AD1902" i="6"/>
  <c r="AB1902" i="6"/>
  <c r="AD1903" i="6" l="1"/>
  <c r="AB1903" i="6"/>
  <c r="AG1904" i="6"/>
  <c r="AE1904" i="6"/>
  <c r="AF1904" i="6" s="1"/>
  <c r="Y1905" i="6"/>
  <c r="AH1904" i="6"/>
  <c r="AC1904" i="6"/>
  <c r="AA1904" i="6"/>
  <c r="Z1904" i="6" s="1"/>
  <c r="AD1904" i="6" l="1"/>
  <c r="AB1904" i="6"/>
  <c r="AE1905" i="6"/>
  <c r="AF1905" i="6" s="1"/>
  <c r="AG1905" i="6"/>
  <c r="AC1905" i="6"/>
  <c r="Y1906" i="6"/>
  <c r="AH1905" i="6"/>
  <c r="AA1905" i="6"/>
  <c r="Z1905" i="6" s="1"/>
  <c r="AA1906" i="6" l="1"/>
  <c r="Z1906" i="6" s="1"/>
  <c r="AH1906" i="6"/>
  <c r="Y1907" i="6"/>
  <c r="AG1906" i="6"/>
  <c r="AE1906" i="6"/>
  <c r="AF1906" i="6" s="1"/>
  <c r="AC1906" i="6"/>
  <c r="AB1905" i="6"/>
  <c r="AD1905" i="6"/>
  <c r="AB1906" i="6" l="1"/>
  <c r="AD1906" i="6"/>
  <c r="Y1908" i="6"/>
  <c r="AE1907" i="6"/>
  <c r="AF1907" i="6" s="1"/>
  <c r="AC1907" i="6"/>
  <c r="AH1907" i="6"/>
  <c r="AG1907" i="6"/>
  <c r="AA1907" i="6"/>
  <c r="Z1907" i="6" s="1"/>
  <c r="AE1908" i="6" l="1"/>
  <c r="AF1908" i="6" s="1"/>
  <c r="Y1909" i="6"/>
  <c r="AA1908" i="6"/>
  <c r="Z1908" i="6" s="1"/>
  <c r="AH1908" i="6"/>
  <c r="AG1908" i="6"/>
  <c r="AC1908" i="6"/>
  <c r="AB1907" i="6"/>
  <c r="AD1907" i="6"/>
  <c r="AD1908" i="6" l="1"/>
  <c r="AB1908" i="6"/>
  <c r="AA1909" i="6"/>
  <c r="Z1909" i="6" s="1"/>
  <c r="AE1909" i="6"/>
  <c r="AF1909" i="6" s="1"/>
  <c r="AG1909" i="6"/>
  <c r="AC1909" i="6"/>
  <c r="Y1910" i="6"/>
  <c r="AH1909" i="6"/>
  <c r="AG1910" i="6" l="1"/>
  <c r="AA1910" i="6"/>
  <c r="Z1910" i="6" s="1"/>
  <c r="Y1911" i="6"/>
  <c r="AH1910" i="6"/>
  <c r="AC1910" i="6"/>
  <c r="AE1910" i="6"/>
  <c r="AF1910" i="6" s="1"/>
  <c r="AD1909" i="6"/>
  <c r="AB1909" i="6"/>
  <c r="AD1910" i="6" l="1"/>
  <c r="AB1910" i="6"/>
  <c r="Y1912" i="6"/>
  <c r="AC1911" i="6"/>
  <c r="AH1911" i="6"/>
  <c r="AG1911" i="6"/>
  <c r="AE1911" i="6"/>
  <c r="AF1911" i="6" s="1"/>
  <c r="AA1911" i="6"/>
  <c r="Z1911" i="6" s="1"/>
  <c r="AD1911" i="6" l="1"/>
  <c r="AB1911" i="6"/>
  <c r="Y1913" i="6"/>
  <c r="AH1912" i="6"/>
  <c r="AG1912" i="6"/>
  <c r="AE1912" i="6"/>
  <c r="AF1912" i="6" s="1"/>
  <c r="AC1912" i="6"/>
  <c r="AA1912" i="6"/>
  <c r="Z1912" i="6" s="1"/>
  <c r="AD1912" i="6" l="1"/>
  <c r="AB1912" i="6"/>
  <c r="AE1913" i="6"/>
  <c r="AF1913" i="6" s="1"/>
  <c r="AC1913" i="6"/>
  <c r="AA1913" i="6"/>
  <c r="Z1913" i="6" s="1"/>
  <c r="AH1913" i="6"/>
  <c r="Y1914" i="6"/>
  <c r="AG1913" i="6"/>
  <c r="Y1915" i="6" l="1"/>
  <c r="AH1914" i="6"/>
  <c r="AC1914" i="6"/>
  <c r="AG1914" i="6"/>
  <c r="AE1914" i="6"/>
  <c r="AF1914" i="6" s="1"/>
  <c r="AA1914" i="6"/>
  <c r="Z1914" i="6" s="1"/>
  <c r="AD1913" i="6"/>
  <c r="AB1913" i="6"/>
  <c r="AB1914" i="6" l="1"/>
  <c r="AD1914" i="6"/>
  <c r="Y1916" i="6"/>
  <c r="AC1915" i="6"/>
  <c r="AH1915" i="6"/>
  <c r="AG1915" i="6"/>
  <c r="AE1915" i="6"/>
  <c r="AF1915" i="6" s="1"/>
  <c r="AA1915" i="6"/>
  <c r="Z1915" i="6" s="1"/>
  <c r="AD1915" i="6" l="1"/>
  <c r="AB1915" i="6"/>
  <c r="AC1916" i="6"/>
  <c r="AH1916" i="6"/>
  <c r="AG1916" i="6"/>
  <c r="AE1916" i="6"/>
  <c r="AF1916" i="6" s="1"/>
  <c r="AA1916" i="6"/>
  <c r="Z1916" i="6" s="1"/>
  <c r="Y1917" i="6"/>
  <c r="AH1917" i="6" l="1"/>
  <c r="AG1917" i="6"/>
  <c r="AA1917" i="6"/>
  <c r="Z1917" i="6" s="1"/>
  <c r="Y1918" i="6"/>
  <c r="AE1917" i="6"/>
  <c r="AF1917" i="6" s="1"/>
  <c r="AC1917" i="6"/>
  <c r="AB1916" i="6"/>
  <c r="AD1916" i="6"/>
  <c r="AB1917" i="6" l="1"/>
  <c r="AD1917" i="6"/>
  <c r="Y1919" i="6"/>
  <c r="AH1918" i="6"/>
  <c r="AE1918" i="6"/>
  <c r="AF1918" i="6" s="1"/>
  <c r="AG1918" i="6"/>
  <c r="AC1918" i="6"/>
  <c r="AA1918" i="6"/>
  <c r="Z1918" i="6" s="1"/>
  <c r="AB1918" i="6" l="1"/>
  <c r="AD1918" i="6"/>
  <c r="AA1919" i="6"/>
  <c r="Z1919" i="6" s="1"/>
  <c r="Y1920" i="6"/>
  <c r="AH1919" i="6"/>
  <c r="AG1919" i="6"/>
  <c r="AE1919" i="6"/>
  <c r="AF1919" i="6" s="1"/>
  <c r="AC1919" i="6"/>
  <c r="AB1919" i="6" l="1"/>
  <c r="AD1919" i="6"/>
  <c r="AG1920" i="6"/>
  <c r="AA1920" i="6"/>
  <c r="Z1920" i="6" s="1"/>
  <c r="AC1920" i="6"/>
  <c r="Y1921" i="6"/>
  <c r="AH1920" i="6"/>
  <c r="AE1920" i="6"/>
  <c r="AF1920" i="6" s="1"/>
  <c r="Y1922" i="6" l="1"/>
  <c r="AH1921" i="6"/>
  <c r="AG1921" i="6"/>
  <c r="AA1921" i="6"/>
  <c r="Z1921" i="6" s="1"/>
  <c r="AE1921" i="6"/>
  <c r="AF1921" i="6" s="1"/>
  <c r="AC1921" i="6"/>
  <c r="AD1920" i="6"/>
  <c r="AB1920" i="6"/>
  <c r="AD1921" i="6" l="1"/>
  <c r="AB1921" i="6"/>
  <c r="Y1923" i="6"/>
  <c r="AA1922" i="6"/>
  <c r="Z1922" i="6" s="1"/>
  <c r="AG1922" i="6"/>
  <c r="AH1922" i="6"/>
  <c r="AE1922" i="6"/>
  <c r="AF1922" i="6" s="1"/>
  <c r="AC1922" i="6"/>
  <c r="AD1922" i="6" l="1"/>
  <c r="AB1922" i="6"/>
  <c r="AE1923" i="6"/>
  <c r="AF1923" i="6" s="1"/>
  <c r="Y1924" i="6"/>
  <c r="AH1923" i="6"/>
  <c r="AG1923" i="6"/>
  <c r="AC1923" i="6"/>
  <c r="AA1923" i="6"/>
  <c r="Z1923" i="6" s="1"/>
  <c r="AD1923" i="6" l="1"/>
  <c r="AB1923" i="6"/>
  <c r="AG1924" i="6"/>
  <c r="AH1924" i="6"/>
  <c r="AA1924" i="6"/>
  <c r="Z1924" i="6" s="1"/>
  <c r="AC1924" i="6"/>
  <c r="Y1925" i="6"/>
  <c r="AE1924" i="6"/>
  <c r="AF1924" i="6" s="1"/>
  <c r="Y1926" i="6" l="1"/>
  <c r="AH1925" i="6"/>
  <c r="AG1925" i="6"/>
  <c r="AE1925" i="6"/>
  <c r="AF1925" i="6" s="1"/>
  <c r="AC1925" i="6"/>
  <c r="AA1925" i="6"/>
  <c r="Z1925" i="6" s="1"/>
  <c r="AD1924" i="6"/>
  <c r="AB1924" i="6"/>
  <c r="AB1925" i="6" l="1"/>
  <c r="AD1925" i="6"/>
  <c r="AE1926" i="6"/>
  <c r="AF1926" i="6" s="1"/>
  <c r="Y1927" i="6"/>
  <c r="AH1926" i="6"/>
  <c r="AG1926" i="6"/>
  <c r="AC1926" i="6"/>
  <c r="AA1926" i="6"/>
  <c r="Z1926" i="6" s="1"/>
  <c r="AD1926" i="6" l="1"/>
  <c r="AB1926" i="6"/>
  <c r="AE1927" i="6"/>
  <c r="AF1927" i="6" s="1"/>
  <c r="Y1928" i="6"/>
  <c r="AG1927" i="6"/>
  <c r="AH1927" i="6"/>
  <c r="AC1927" i="6"/>
  <c r="AA1927" i="6"/>
  <c r="Z1927" i="6" s="1"/>
  <c r="AD1927" i="6" l="1"/>
  <c r="AB1927" i="6"/>
  <c r="AH1928" i="6"/>
  <c r="AG1928" i="6"/>
  <c r="AA1928" i="6"/>
  <c r="Z1928" i="6" s="1"/>
  <c r="Y1929" i="6"/>
  <c r="AE1928" i="6"/>
  <c r="AF1928" i="6" s="1"/>
  <c r="AC1928" i="6"/>
  <c r="AB1928" i="6" l="1"/>
  <c r="AD1928" i="6"/>
  <c r="AC1929" i="6"/>
  <c r="AH1929" i="6"/>
  <c r="Y1930" i="6"/>
  <c r="AG1929" i="6"/>
  <c r="AE1929" i="6"/>
  <c r="AF1929" i="6" s="1"/>
  <c r="AA1929" i="6"/>
  <c r="Z1929" i="6" s="1"/>
  <c r="AC1930" i="6" l="1"/>
  <c r="AH1930" i="6"/>
  <c r="AE1930" i="6"/>
  <c r="AF1930" i="6" s="1"/>
  <c r="Y1931" i="6"/>
  <c r="AG1930" i="6"/>
  <c r="AA1930" i="6"/>
  <c r="Z1930" i="6" s="1"/>
  <c r="AD1929" i="6"/>
  <c r="AB1929" i="6"/>
  <c r="AG1931" i="6" l="1"/>
  <c r="Y1932" i="6"/>
  <c r="AH1931" i="6"/>
  <c r="AE1931" i="6"/>
  <c r="AF1931" i="6" s="1"/>
  <c r="AC1931" i="6"/>
  <c r="AA1931" i="6"/>
  <c r="Z1931" i="6" s="1"/>
  <c r="AD1930" i="6"/>
  <c r="AB1930" i="6"/>
  <c r="AD1931" i="6" l="1"/>
  <c r="AB1931" i="6"/>
  <c r="AC1932" i="6"/>
  <c r="AG1932" i="6"/>
  <c r="AA1932" i="6"/>
  <c r="Z1932" i="6" s="1"/>
  <c r="AH1932" i="6"/>
  <c r="AE1932" i="6"/>
  <c r="AF1932" i="6" s="1"/>
  <c r="Y1933" i="6"/>
  <c r="AA1933" i="6" l="1"/>
  <c r="Z1933" i="6" s="1"/>
  <c r="AG1933" i="6"/>
  <c r="AE1933" i="6"/>
  <c r="AF1933" i="6" s="1"/>
  <c r="Y1934" i="6"/>
  <c r="AH1933" i="6"/>
  <c r="AC1933" i="6"/>
  <c r="AB1932" i="6"/>
  <c r="AD1932" i="6"/>
  <c r="AD1933" i="6" l="1"/>
  <c r="AB1933" i="6"/>
  <c r="AH1934" i="6"/>
  <c r="AE1934" i="6"/>
  <c r="AF1934" i="6" s="1"/>
  <c r="Y1935" i="6"/>
  <c r="AG1934" i="6"/>
  <c r="AA1934" i="6"/>
  <c r="Z1934" i="6" s="1"/>
  <c r="AC1934" i="6"/>
  <c r="AD1934" i="6" l="1"/>
  <c r="AB1934" i="6"/>
  <c r="Y1936" i="6"/>
  <c r="AA1935" i="6"/>
  <c r="Z1935" i="6" s="1"/>
  <c r="AH1935" i="6"/>
  <c r="AG1935" i="6"/>
  <c r="AE1935" i="6"/>
  <c r="AF1935" i="6" s="1"/>
  <c r="AC1935" i="6"/>
  <c r="AB1935" i="6" l="1"/>
  <c r="AD1935" i="6"/>
  <c r="AC1936" i="6"/>
  <c r="AE1936" i="6"/>
  <c r="AF1936" i="6" s="1"/>
  <c r="AA1936" i="6"/>
  <c r="Z1936" i="6" s="1"/>
  <c r="AH1936" i="6"/>
  <c r="Y1937" i="6"/>
  <c r="AG1936" i="6"/>
  <c r="AG1937" i="6" l="1"/>
  <c r="AE1937" i="6"/>
  <c r="AF1937" i="6" s="1"/>
  <c r="Y1938" i="6"/>
  <c r="AA1937" i="6"/>
  <c r="Z1937" i="6" s="1"/>
  <c r="AH1937" i="6"/>
  <c r="AC1937" i="6"/>
  <c r="AD1936" i="6"/>
  <c r="AB1936" i="6"/>
  <c r="AD1937" i="6" l="1"/>
  <c r="AB1937" i="6"/>
  <c r="AG1938" i="6"/>
  <c r="AA1938" i="6"/>
  <c r="Z1938" i="6" s="1"/>
  <c r="AE1938" i="6"/>
  <c r="AF1938" i="6" s="1"/>
  <c r="AC1938" i="6"/>
  <c r="AH1938" i="6"/>
  <c r="Y1939" i="6"/>
  <c r="AE1939" i="6" l="1"/>
  <c r="AF1939" i="6" s="1"/>
  <c r="AC1939" i="6"/>
  <c r="Y1940" i="6"/>
  <c r="AH1939" i="6"/>
  <c r="AG1939" i="6"/>
  <c r="AA1939" i="6"/>
  <c r="Z1939" i="6" s="1"/>
  <c r="AD1938" i="6"/>
  <c r="AB1938" i="6"/>
  <c r="Y1941" i="6" l="1"/>
  <c r="AC1940" i="6"/>
  <c r="AA1940" i="6"/>
  <c r="Z1940" i="6" s="1"/>
  <c r="AH1940" i="6"/>
  <c r="AG1940" i="6"/>
  <c r="AE1940" i="6"/>
  <c r="AF1940" i="6" s="1"/>
  <c r="AB1939" i="6"/>
  <c r="AD1939" i="6"/>
  <c r="AD1940" i="6" l="1"/>
  <c r="AB1940" i="6"/>
  <c r="AE1941" i="6"/>
  <c r="AF1941" i="6" s="1"/>
  <c r="Y1942" i="6"/>
  <c r="AH1941" i="6"/>
  <c r="AG1941" i="6"/>
  <c r="AC1941" i="6"/>
  <c r="AA1941" i="6"/>
  <c r="Z1941" i="6" s="1"/>
  <c r="AD1941" i="6" l="1"/>
  <c r="AB1941" i="6"/>
  <c r="AA1942" i="6"/>
  <c r="Z1942" i="6" s="1"/>
  <c r="AH1942" i="6"/>
  <c r="AG1942" i="6"/>
  <c r="AE1942" i="6"/>
  <c r="AF1942" i="6" s="1"/>
  <c r="Y1943" i="6"/>
  <c r="AC1942" i="6"/>
  <c r="AD1942" i="6" l="1"/>
  <c r="AB1942" i="6"/>
  <c r="Y1944" i="6"/>
  <c r="AH1943" i="6"/>
  <c r="AE1943" i="6"/>
  <c r="AF1943" i="6" s="1"/>
  <c r="AC1943" i="6"/>
  <c r="AG1943" i="6"/>
  <c r="AA1943" i="6"/>
  <c r="Z1943" i="6" s="1"/>
  <c r="AB1943" i="6" l="1"/>
  <c r="AD1943" i="6"/>
  <c r="AC1944" i="6"/>
  <c r="Y1945" i="6"/>
  <c r="AH1944" i="6"/>
  <c r="AG1944" i="6"/>
  <c r="AE1944" i="6"/>
  <c r="AF1944" i="6" s="1"/>
  <c r="AA1944" i="6"/>
  <c r="Z1944" i="6" s="1"/>
  <c r="Y1946" i="6" l="1"/>
  <c r="AC1945" i="6"/>
  <c r="AA1945" i="6"/>
  <c r="Z1945" i="6" s="1"/>
  <c r="AH1945" i="6"/>
  <c r="AG1945" i="6"/>
  <c r="AE1945" i="6"/>
  <c r="AF1945" i="6" s="1"/>
  <c r="AD1944" i="6"/>
  <c r="AB1944" i="6"/>
  <c r="AD1945" i="6" l="1"/>
  <c r="AB1945" i="6"/>
  <c r="AH1946" i="6"/>
  <c r="AG1946" i="6"/>
  <c r="AA1946" i="6"/>
  <c r="Z1946" i="6" s="1"/>
  <c r="Y1947" i="6"/>
  <c r="AE1946" i="6"/>
  <c r="AF1946" i="6" s="1"/>
  <c r="AC1946" i="6"/>
  <c r="AD1946" i="6" l="1"/>
  <c r="AB1946" i="6"/>
  <c r="AA1947" i="6"/>
  <c r="Z1947" i="6" s="1"/>
  <c r="AE1947" i="6"/>
  <c r="AF1947" i="6" s="1"/>
  <c r="AC1947" i="6"/>
  <c r="Y1948" i="6"/>
  <c r="AH1947" i="6"/>
  <c r="AG1947" i="6"/>
  <c r="Y1949" i="6" l="1"/>
  <c r="AC1948" i="6"/>
  <c r="AA1948" i="6"/>
  <c r="Z1948" i="6" s="1"/>
  <c r="AH1948" i="6"/>
  <c r="AG1948" i="6"/>
  <c r="AE1948" i="6"/>
  <c r="AF1948" i="6" s="1"/>
  <c r="AD1947" i="6"/>
  <c r="AB1947" i="6"/>
  <c r="AD1948" i="6" l="1"/>
  <c r="AB1948" i="6"/>
  <c r="Y1950" i="6"/>
  <c r="AH1949" i="6"/>
  <c r="AG1949" i="6"/>
  <c r="AA1949" i="6"/>
  <c r="Z1949" i="6" s="1"/>
  <c r="AE1949" i="6"/>
  <c r="AF1949" i="6" s="1"/>
  <c r="AC1949" i="6"/>
  <c r="AD1949" i="6" l="1"/>
  <c r="AB1949" i="6"/>
  <c r="AA1950" i="6"/>
  <c r="Z1950" i="6" s="1"/>
  <c r="AG1950" i="6"/>
  <c r="AE1950" i="6"/>
  <c r="AF1950" i="6" s="1"/>
  <c r="Y1951" i="6"/>
  <c r="AH1950" i="6"/>
  <c r="AC1950" i="6"/>
  <c r="AD1950" i="6" l="1"/>
  <c r="AB1950" i="6"/>
  <c r="Y1952" i="6"/>
  <c r="AC1951" i="6"/>
  <c r="AA1951" i="6"/>
  <c r="Z1951" i="6" s="1"/>
  <c r="AH1951" i="6"/>
  <c r="AG1951" i="6"/>
  <c r="AE1951" i="6"/>
  <c r="AF1951" i="6" s="1"/>
  <c r="AD1951" i="6" l="1"/>
  <c r="AB1951" i="6"/>
  <c r="AG1952" i="6"/>
  <c r="Y1953" i="6"/>
  <c r="AA1952" i="6"/>
  <c r="Z1952" i="6" s="1"/>
  <c r="AE1952" i="6"/>
  <c r="AF1952" i="6" s="1"/>
  <c r="AC1952" i="6"/>
  <c r="AH1952" i="6"/>
  <c r="AD1952" i="6" l="1"/>
  <c r="AB1952" i="6"/>
  <c r="AH1953" i="6"/>
  <c r="Y1954" i="6"/>
  <c r="AG1953" i="6"/>
  <c r="AE1953" i="6"/>
  <c r="AF1953" i="6" s="1"/>
  <c r="AC1953" i="6"/>
  <c r="AA1953" i="6"/>
  <c r="Z1953" i="6" s="1"/>
  <c r="AD1953" i="6" l="1"/>
  <c r="AB1953" i="6"/>
  <c r="Y1955" i="6"/>
  <c r="AC1954" i="6"/>
  <c r="AA1954" i="6"/>
  <c r="Z1954" i="6" s="1"/>
  <c r="AG1954" i="6"/>
  <c r="AE1954" i="6"/>
  <c r="AF1954" i="6" s="1"/>
  <c r="AH1954" i="6"/>
  <c r="AD1954" i="6" l="1"/>
  <c r="AB1954" i="6"/>
  <c r="AE1955" i="6"/>
  <c r="AF1955" i="6" s="1"/>
  <c r="Y1956" i="6"/>
  <c r="AA1955" i="6"/>
  <c r="Z1955" i="6" s="1"/>
  <c r="AG1955" i="6"/>
  <c r="AC1955" i="6"/>
  <c r="AH1955" i="6"/>
  <c r="AD1955" i="6" l="1"/>
  <c r="AB1955" i="6"/>
  <c r="AH1956" i="6"/>
  <c r="Y1957" i="6"/>
  <c r="AG1956" i="6"/>
  <c r="AC1956" i="6"/>
  <c r="AE1956" i="6"/>
  <c r="AF1956" i="6" s="1"/>
  <c r="AA1956" i="6"/>
  <c r="Z1956" i="6" s="1"/>
  <c r="AD1956" i="6" l="1"/>
  <c r="AB1956" i="6"/>
  <c r="Y1958" i="6"/>
  <c r="AC1957" i="6"/>
  <c r="AA1957" i="6"/>
  <c r="Z1957" i="6" s="1"/>
  <c r="AH1957" i="6"/>
  <c r="AG1957" i="6"/>
  <c r="AE1957" i="6"/>
  <c r="AF1957" i="6" s="1"/>
  <c r="AD1957" i="6" l="1"/>
  <c r="AB1957" i="6"/>
  <c r="AC1958" i="6"/>
  <c r="Y1959" i="6"/>
  <c r="AA1958" i="6"/>
  <c r="Z1958" i="6" s="1"/>
  <c r="AH1958" i="6"/>
  <c r="AG1958" i="6"/>
  <c r="AE1958" i="6"/>
  <c r="AF1958" i="6" s="1"/>
  <c r="AH1959" i="6" l="1"/>
  <c r="AG1959" i="6"/>
  <c r="AE1959" i="6"/>
  <c r="AF1959" i="6" s="1"/>
  <c r="AC1959" i="6"/>
  <c r="AA1959" i="6"/>
  <c r="Z1959" i="6" s="1"/>
  <c r="Y1960" i="6"/>
  <c r="AB1958" i="6"/>
  <c r="AD1958" i="6"/>
  <c r="Y1961" i="6" l="1"/>
  <c r="AG1960" i="6"/>
  <c r="AC1960" i="6"/>
  <c r="AA1960" i="6"/>
  <c r="Z1960" i="6" s="1"/>
  <c r="AE1960" i="6"/>
  <c r="AF1960" i="6" s="1"/>
  <c r="AH1960" i="6"/>
  <c r="AD1959" i="6"/>
  <c r="AB1959" i="6"/>
  <c r="AB1960" i="6" l="1"/>
  <c r="AD1960" i="6"/>
  <c r="AA1961" i="6"/>
  <c r="Z1961" i="6" s="1"/>
  <c r="Y1962" i="6"/>
  <c r="AC1961" i="6"/>
  <c r="AH1961" i="6"/>
  <c r="AG1961" i="6"/>
  <c r="AE1961" i="6"/>
  <c r="AF1961" i="6" s="1"/>
  <c r="AD1961" i="6" l="1"/>
  <c r="AB1961" i="6"/>
  <c r="AH1962" i="6"/>
  <c r="Y1963" i="6"/>
  <c r="AE1962" i="6"/>
  <c r="AF1962" i="6" s="1"/>
  <c r="AC1962" i="6"/>
  <c r="AA1962" i="6"/>
  <c r="Z1962" i="6" s="1"/>
  <c r="AG1962" i="6"/>
  <c r="AD1962" i="6" l="1"/>
  <c r="AB1962" i="6"/>
  <c r="Y1964" i="6"/>
  <c r="AH1963" i="6"/>
  <c r="AG1963" i="6"/>
  <c r="AC1963" i="6"/>
  <c r="AA1963" i="6"/>
  <c r="Z1963" i="6" s="1"/>
  <c r="AE1963" i="6"/>
  <c r="AF1963" i="6" s="1"/>
  <c r="AD1963" i="6" l="1"/>
  <c r="AB1963" i="6"/>
  <c r="AG1964" i="6"/>
  <c r="AE1964" i="6"/>
  <c r="AF1964" i="6" s="1"/>
  <c r="AA1964" i="6"/>
  <c r="Z1964" i="6" s="1"/>
  <c r="Y1965" i="6"/>
  <c r="AH1964" i="6"/>
  <c r="AC1964" i="6"/>
  <c r="AB1964" i="6" l="1"/>
  <c r="AD1964" i="6"/>
  <c r="AA1965" i="6"/>
  <c r="Z1965" i="6" s="1"/>
  <c r="Y1966" i="6"/>
  <c r="AE1965" i="6"/>
  <c r="AF1965" i="6" s="1"/>
  <c r="AC1965" i="6"/>
  <c r="AG1965" i="6"/>
  <c r="AH1965" i="6"/>
  <c r="AD1965" i="6" l="1"/>
  <c r="AB1965" i="6"/>
  <c r="AH1966" i="6"/>
  <c r="AG1966" i="6"/>
  <c r="AA1966" i="6"/>
  <c r="Z1966" i="6" s="1"/>
  <c r="Y1967" i="6"/>
  <c r="AE1966" i="6"/>
  <c r="AF1966" i="6" s="1"/>
  <c r="AC1966" i="6"/>
  <c r="AD1966" i="6" l="1"/>
  <c r="AB1966" i="6"/>
  <c r="AH1967" i="6"/>
  <c r="AE1967" i="6"/>
  <c r="AF1967" i="6" s="1"/>
  <c r="AC1967" i="6"/>
  <c r="AA1967" i="6"/>
  <c r="Z1967" i="6" s="1"/>
  <c r="Y1968" i="6"/>
  <c r="AG1967" i="6"/>
  <c r="AA1968" i="6" l="1"/>
  <c r="Z1968" i="6" s="1"/>
  <c r="Y1969" i="6"/>
  <c r="AH1968" i="6"/>
  <c r="AE1968" i="6"/>
  <c r="AF1968" i="6" s="1"/>
  <c r="AC1968" i="6"/>
  <c r="AG1968" i="6"/>
  <c r="AD1967" i="6"/>
  <c r="AB1967" i="6"/>
  <c r="AB1968" i="6" l="1"/>
  <c r="AD1968" i="6"/>
  <c r="AH1969" i="6"/>
  <c r="AG1969" i="6"/>
  <c r="AE1969" i="6"/>
  <c r="AF1969" i="6" s="1"/>
  <c r="AC1969" i="6"/>
  <c r="Y1970" i="6"/>
  <c r="AA1969" i="6"/>
  <c r="Z1969" i="6" s="1"/>
  <c r="Y1971" i="6" l="1"/>
  <c r="AG1970" i="6"/>
  <c r="AH1970" i="6"/>
  <c r="AE1970" i="6"/>
  <c r="AF1970" i="6" s="1"/>
  <c r="AC1970" i="6"/>
  <c r="AA1970" i="6"/>
  <c r="Z1970" i="6" s="1"/>
  <c r="AB1969" i="6"/>
  <c r="AD1969" i="6"/>
  <c r="AD1970" i="6" l="1"/>
  <c r="AB1970" i="6"/>
  <c r="AC1971" i="6"/>
  <c r="AA1971" i="6"/>
  <c r="Z1971" i="6" s="1"/>
  <c r="AG1971" i="6"/>
  <c r="AE1971" i="6"/>
  <c r="AF1971" i="6" s="1"/>
  <c r="AH1971" i="6"/>
  <c r="Y1972" i="6"/>
  <c r="AG1972" i="6" l="1"/>
  <c r="AE1972" i="6"/>
  <c r="AF1972" i="6" s="1"/>
  <c r="AH1972" i="6"/>
  <c r="AC1972" i="6"/>
  <c r="AA1972" i="6"/>
  <c r="Z1972" i="6" s="1"/>
  <c r="Y1973" i="6"/>
  <c r="AB1971" i="6"/>
  <c r="AD1971" i="6"/>
  <c r="Y1974" i="6" l="1"/>
  <c r="AH1973" i="6"/>
  <c r="AG1973" i="6"/>
  <c r="AE1973" i="6"/>
  <c r="AF1973" i="6" s="1"/>
  <c r="AC1973" i="6"/>
  <c r="AA1973" i="6"/>
  <c r="Z1973" i="6" s="1"/>
  <c r="AD1972" i="6"/>
  <c r="AB1972" i="6"/>
  <c r="AD1973" i="6" l="1"/>
  <c r="AB1973" i="6"/>
  <c r="AE1974" i="6"/>
  <c r="AF1974" i="6" s="1"/>
  <c r="AC1974" i="6"/>
  <c r="AA1974" i="6"/>
  <c r="Z1974" i="6" s="1"/>
  <c r="Y1975" i="6"/>
  <c r="AG1974" i="6"/>
  <c r="AH1974" i="6"/>
  <c r="AE1975" i="6" l="1"/>
  <c r="AF1975" i="6" s="1"/>
  <c r="AC1975" i="6"/>
  <c r="Y1976" i="6"/>
  <c r="AG1975" i="6"/>
  <c r="AH1975" i="6"/>
  <c r="AA1975" i="6"/>
  <c r="Z1975" i="6" s="1"/>
  <c r="AD1974" i="6"/>
  <c r="AB1974" i="6"/>
  <c r="Y1977" i="6" l="1"/>
  <c r="AH1976" i="6"/>
  <c r="AG1976" i="6"/>
  <c r="AE1976" i="6"/>
  <c r="AF1976" i="6" s="1"/>
  <c r="AC1976" i="6"/>
  <c r="AA1976" i="6"/>
  <c r="Z1976" i="6" s="1"/>
  <c r="AD1975" i="6"/>
  <c r="AB1975" i="6"/>
  <c r="AB1976" i="6" l="1"/>
  <c r="AD1976" i="6"/>
  <c r="AG1977" i="6"/>
  <c r="AE1977" i="6"/>
  <c r="AF1977" i="6" s="1"/>
  <c r="AC1977" i="6"/>
  <c r="AA1977" i="6"/>
  <c r="Z1977" i="6" s="1"/>
  <c r="Y1978" i="6"/>
  <c r="AH1977" i="6"/>
  <c r="AE1978" i="6" l="1"/>
  <c r="AF1978" i="6" s="1"/>
  <c r="AC1978" i="6"/>
  <c r="Y1979" i="6"/>
  <c r="AA1978" i="6"/>
  <c r="Z1978" i="6" s="1"/>
  <c r="AH1978" i="6"/>
  <c r="AG1978" i="6"/>
  <c r="AD1977" i="6"/>
  <c r="AB1977" i="6"/>
  <c r="Y1980" i="6" l="1"/>
  <c r="AH1979" i="6"/>
  <c r="AA1979" i="6"/>
  <c r="Z1979" i="6" s="1"/>
  <c r="AG1979" i="6"/>
  <c r="AC1979" i="6"/>
  <c r="AE1979" i="6"/>
  <c r="AF1979" i="6" s="1"/>
  <c r="AB1978" i="6"/>
  <c r="AD1978" i="6"/>
  <c r="AD1979" i="6" l="1"/>
  <c r="AB1979" i="6"/>
  <c r="Y1981" i="6"/>
  <c r="AH1980" i="6"/>
  <c r="AG1980" i="6"/>
  <c r="AE1980" i="6"/>
  <c r="AF1980" i="6" s="1"/>
  <c r="AC1980" i="6"/>
  <c r="AA1980" i="6"/>
  <c r="Z1980" i="6" s="1"/>
  <c r="AB1980" i="6" l="1"/>
  <c r="AD1980" i="6"/>
  <c r="AC1981" i="6"/>
  <c r="AG1981" i="6"/>
  <c r="AE1981" i="6"/>
  <c r="AF1981" i="6" s="1"/>
  <c r="Y1982" i="6"/>
  <c r="AH1981" i="6"/>
  <c r="AA1981" i="6"/>
  <c r="Z1981" i="6" s="1"/>
  <c r="AE1982" i="6" l="1"/>
  <c r="AF1982" i="6" s="1"/>
  <c r="AC1982" i="6"/>
  <c r="AA1982" i="6"/>
  <c r="Z1982" i="6" s="1"/>
  <c r="Y1983" i="6"/>
  <c r="AH1982" i="6"/>
  <c r="AG1982" i="6"/>
  <c r="AD1981" i="6"/>
  <c r="AB1981" i="6"/>
  <c r="AH1983" i="6" l="1"/>
  <c r="AE1983" i="6"/>
  <c r="AF1983" i="6" s="1"/>
  <c r="Y1984" i="6"/>
  <c r="AC1983" i="6"/>
  <c r="AA1983" i="6"/>
  <c r="Z1983" i="6" s="1"/>
  <c r="AG1983" i="6"/>
  <c r="AD1982" i="6"/>
  <c r="AB1982" i="6"/>
  <c r="AD1983" i="6" l="1"/>
  <c r="AB1983" i="6"/>
  <c r="AC1984" i="6"/>
  <c r="AA1984" i="6"/>
  <c r="Z1984" i="6" s="1"/>
  <c r="AE1984" i="6"/>
  <c r="AF1984" i="6" s="1"/>
  <c r="AH1984" i="6"/>
  <c r="Y1985" i="6"/>
  <c r="AG1984" i="6"/>
  <c r="Y1986" i="6" l="1"/>
  <c r="AH1985" i="6"/>
  <c r="AG1985" i="6"/>
  <c r="AE1985" i="6"/>
  <c r="AF1985" i="6" s="1"/>
  <c r="AC1985" i="6"/>
  <c r="AA1985" i="6"/>
  <c r="Z1985" i="6" s="1"/>
  <c r="AB1984" i="6"/>
  <c r="AD1984" i="6"/>
  <c r="AD1985" i="6" l="1"/>
  <c r="AB1985" i="6"/>
  <c r="Y1987" i="6"/>
  <c r="AH1986" i="6"/>
  <c r="AG1986" i="6"/>
  <c r="AE1986" i="6"/>
  <c r="AF1986" i="6" s="1"/>
  <c r="AC1986" i="6"/>
  <c r="AA1986" i="6"/>
  <c r="Z1986" i="6" s="1"/>
  <c r="AD1986" i="6" l="1"/>
  <c r="AB1986" i="6"/>
  <c r="AC1987" i="6"/>
  <c r="AA1987" i="6"/>
  <c r="Z1987" i="6" s="1"/>
  <c r="Y1988" i="6"/>
  <c r="AH1987" i="6"/>
  <c r="AE1987" i="6"/>
  <c r="AF1987" i="6" s="1"/>
  <c r="AG1987" i="6"/>
  <c r="AH1988" i="6" l="1"/>
  <c r="Y1989" i="6"/>
  <c r="AE1988" i="6"/>
  <c r="AF1988" i="6" s="1"/>
  <c r="AA1988" i="6"/>
  <c r="Z1988" i="6" s="1"/>
  <c r="AG1988" i="6"/>
  <c r="AC1988" i="6"/>
  <c r="AB1987" i="6"/>
  <c r="AD1987" i="6"/>
  <c r="AD1988" i="6" l="1"/>
  <c r="AB1988" i="6"/>
  <c r="AG1989" i="6"/>
  <c r="AE1989" i="6"/>
  <c r="AF1989" i="6" s="1"/>
  <c r="AH1989" i="6"/>
  <c r="AC1989" i="6"/>
  <c r="AA1989" i="6"/>
  <c r="Z1989" i="6" s="1"/>
  <c r="Y1990" i="6"/>
  <c r="AC1990" i="6" l="1"/>
  <c r="AA1990" i="6"/>
  <c r="Z1990" i="6" s="1"/>
  <c r="Y1991" i="6"/>
  <c r="AH1990" i="6"/>
  <c r="AG1990" i="6"/>
  <c r="AE1990" i="6"/>
  <c r="AF1990" i="6" s="1"/>
  <c r="AD1989" i="6"/>
  <c r="AB1989" i="6"/>
  <c r="AC1991" i="6" l="1"/>
  <c r="AH1991" i="6"/>
  <c r="Y1992" i="6"/>
  <c r="AG1991" i="6"/>
  <c r="AE1991" i="6"/>
  <c r="AF1991" i="6" s="1"/>
  <c r="AA1991" i="6"/>
  <c r="Z1991" i="6" s="1"/>
  <c r="AB1990" i="6"/>
  <c r="AD1990" i="6"/>
  <c r="AE1992" i="6" l="1"/>
  <c r="AF1992" i="6" s="1"/>
  <c r="Y1993" i="6"/>
  <c r="AH1992" i="6"/>
  <c r="AG1992" i="6"/>
  <c r="AC1992" i="6"/>
  <c r="AA1992" i="6"/>
  <c r="Z1992" i="6" s="1"/>
  <c r="AD1991" i="6"/>
  <c r="AB1991" i="6"/>
  <c r="AB1992" i="6" l="1"/>
  <c r="AD1992" i="6"/>
  <c r="AC1993" i="6"/>
  <c r="AA1993" i="6"/>
  <c r="Z1993" i="6" s="1"/>
  <c r="Y1994" i="6"/>
  <c r="AH1993" i="6"/>
  <c r="AG1993" i="6"/>
  <c r="AE1993" i="6"/>
  <c r="AF1993" i="6" s="1"/>
  <c r="AH1994" i="6" l="1"/>
  <c r="AG1994" i="6"/>
  <c r="AC1994" i="6"/>
  <c r="AA1994" i="6"/>
  <c r="Z1994" i="6" s="1"/>
  <c r="Y1995" i="6"/>
  <c r="AE1994" i="6"/>
  <c r="AF1994" i="6" s="1"/>
  <c r="AB1993" i="6"/>
  <c r="AD1993" i="6"/>
  <c r="AC1995" i="6" l="1"/>
  <c r="Y1996" i="6"/>
  <c r="AA1995" i="6"/>
  <c r="Z1995" i="6" s="1"/>
  <c r="AH1995" i="6"/>
  <c r="AG1995" i="6"/>
  <c r="AE1995" i="6"/>
  <c r="AF1995" i="6" s="1"/>
  <c r="AD1994" i="6"/>
  <c r="AB1994" i="6"/>
  <c r="AC1996" i="6" l="1"/>
  <c r="AA1996" i="6"/>
  <c r="Z1996" i="6" s="1"/>
  <c r="Y1997" i="6"/>
  <c r="AH1996" i="6"/>
  <c r="AG1996" i="6"/>
  <c r="AE1996" i="6"/>
  <c r="AF1996" i="6" s="1"/>
  <c r="AD1995" i="6"/>
  <c r="AB1995" i="6"/>
  <c r="AH1997" i="6" l="1"/>
  <c r="Y1998" i="6"/>
  <c r="AG1997" i="6"/>
  <c r="AE1997" i="6"/>
  <c r="AF1997" i="6" s="1"/>
  <c r="AC1997" i="6"/>
  <c r="AA1997" i="6"/>
  <c r="Z1997" i="6" s="1"/>
  <c r="AB1996" i="6"/>
  <c r="AD1996" i="6"/>
  <c r="AD1997" i="6" l="1"/>
  <c r="AB1997" i="6"/>
  <c r="AA1998" i="6"/>
  <c r="Z1998" i="6" s="1"/>
  <c r="AC1998" i="6"/>
  <c r="Y1999" i="6"/>
  <c r="AG1998" i="6"/>
  <c r="AE1998" i="6"/>
  <c r="AF1998" i="6" s="1"/>
  <c r="AH1998" i="6"/>
  <c r="AD1998" i="6" l="1"/>
  <c r="AB1998" i="6"/>
  <c r="AC1999" i="6"/>
  <c r="AA1999" i="6"/>
  <c r="Z1999" i="6" s="1"/>
  <c r="Y2000" i="6"/>
  <c r="AH1999" i="6"/>
  <c r="AE1999" i="6"/>
  <c r="AF1999" i="6" s="1"/>
  <c r="AG1999" i="6"/>
  <c r="Y2001" i="6" l="1"/>
  <c r="AH2000" i="6"/>
  <c r="AG2000" i="6"/>
  <c r="AE2000" i="6"/>
  <c r="AF2000" i="6" s="1"/>
  <c r="AC2000" i="6"/>
  <c r="AA2000" i="6"/>
  <c r="Z2000" i="6" s="1"/>
  <c r="AB1999" i="6"/>
  <c r="AD1999" i="6"/>
  <c r="AB2000" i="6" l="1"/>
  <c r="AD2000" i="6"/>
  <c r="Y2002" i="6"/>
  <c r="AH2001" i="6"/>
  <c r="AG2001" i="6"/>
  <c r="AC2001" i="6"/>
  <c r="AA2001" i="6"/>
  <c r="Z2001" i="6" s="1"/>
  <c r="AE2001" i="6"/>
  <c r="AF2001" i="6" s="1"/>
  <c r="AD2001" i="6" l="1"/>
  <c r="AB2001" i="6"/>
  <c r="AC2002" i="6"/>
  <c r="AA2002" i="6"/>
  <c r="Z2002" i="6" s="1"/>
  <c r="Y2003" i="6"/>
  <c r="AH2002" i="6"/>
  <c r="AG2002" i="6"/>
  <c r="AE2002" i="6"/>
  <c r="AF2002" i="6" s="1"/>
  <c r="AG2003" i="6" l="1"/>
  <c r="AE2003" i="6"/>
  <c r="AF2003" i="6" s="1"/>
  <c r="Y2004" i="6"/>
  <c r="AH2003" i="6"/>
  <c r="AC2003" i="6"/>
  <c r="AA2003" i="6"/>
  <c r="Z2003" i="6" s="1"/>
  <c r="AB2002" i="6"/>
  <c r="AD2002" i="6"/>
  <c r="AD2003" i="6" l="1"/>
  <c r="AB2003" i="6"/>
  <c r="AG2004" i="6"/>
  <c r="Y2005" i="6"/>
  <c r="AH2004" i="6"/>
  <c r="AE2004" i="6"/>
  <c r="AF2004" i="6" s="1"/>
  <c r="AC2004" i="6"/>
  <c r="AA2004" i="6"/>
  <c r="Z2004" i="6" s="1"/>
  <c r="AD2004" i="6" l="1"/>
  <c r="AB2004" i="6"/>
  <c r="AC2005" i="6"/>
  <c r="AG2005" i="6"/>
  <c r="AE2005" i="6"/>
  <c r="AF2005" i="6" s="1"/>
  <c r="Y2006" i="6"/>
  <c r="AA2005" i="6"/>
  <c r="Z2005" i="6" s="1"/>
  <c r="AH2005" i="6"/>
  <c r="AE2006" i="6" l="1"/>
  <c r="AF2006" i="6" s="1"/>
  <c r="AC2006" i="6"/>
  <c r="AH2006" i="6"/>
  <c r="AA2006" i="6"/>
  <c r="Z2006" i="6" s="1"/>
  <c r="Y2007" i="6"/>
  <c r="AG2006" i="6"/>
  <c r="AD2005" i="6"/>
  <c r="AB2005" i="6"/>
  <c r="AH2007" i="6" l="1"/>
  <c r="Y2008" i="6"/>
  <c r="AG2007" i="6"/>
  <c r="AE2007" i="6"/>
  <c r="AF2007" i="6" s="1"/>
  <c r="AC2007" i="6"/>
  <c r="AA2007" i="6"/>
  <c r="Z2007" i="6" s="1"/>
  <c r="AB2006" i="6"/>
  <c r="AD2006" i="6"/>
  <c r="AD2007" i="6" l="1"/>
  <c r="AB2007" i="6"/>
  <c r="AE2008" i="6"/>
  <c r="AF2008" i="6" s="1"/>
  <c r="AC2008" i="6"/>
  <c r="AH2008" i="6"/>
  <c r="AG2008" i="6"/>
  <c r="AA2008" i="6"/>
  <c r="Z2008" i="6" s="1"/>
  <c r="Y2009" i="6"/>
  <c r="AC2009" i="6" l="1"/>
  <c r="AA2009" i="6"/>
  <c r="Z2009" i="6" s="1"/>
  <c r="AE2009" i="6"/>
  <c r="AF2009" i="6" s="1"/>
  <c r="Y2010" i="6"/>
  <c r="AG2009" i="6"/>
  <c r="AH2009" i="6"/>
  <c r="AD2008" i="6"/>
  <c r="AB2008" i="6"/>
  <c r="Y2011" i="6" l="1"/>
  <c r="AH2010" i="6"/>
  <c r="AG2010" i="6"/>
  <c r="AE2010" i="6"/>
  <c r="AF2010" i="6" s="1"/>
  <c r="AC2010" i="6"/>
  <c r="AA2010" i="6"/>
  <c r="Z2010" i="6" s="1"/>
  <c r="AD2009" i="6"/>
  <c r="AB2009" i="6"/>
  <c r="AB2010" i="6" l="1"/>
  <c r="AD2010" i="6"/>
  <c r="Y2012" i="6"/>
  <c r="AH2011" i="6"/>
  <c r="AE2011" i="6"/>
  <c r="AF2011" i="6" s="1"/>
  <c r="AG2011" i="6"/>
  <c r="AC2011" i="6"/>
  <c r="AA2011" i="6"/>
  <c r="Z2011" i="6" s="1"/>
  <c r="AD2011" i="6" l="1"/>
  <c r="AB2011" i="6"/>
  <c r="AA2012" i="6"/>
  <c r="Z2012" i="6" s="1"/>
  <c r="Y2013" i="6"/>
  <c r="AH2012" i="6"/>
  <c r="AE2012" i="6"/>
  <c r="AF2012" i="6" s="1"/>
  <c r="AC2012" i="6"/>
  <c r="AG2012" i="6"/>
  <c r="AD2012" i="6" l="1"/>
  <c r="AB2012" i="6"/>
  <c r="AH2013" i="6"/>
  <c r="Y2014" i="6"/>
  <c r="AG2013" i="6"/>
  <c r="AA2013" i="6"/>
  <c r="Z2013" i="6" s="1"/>
  <c r="AE2013" i="6"/>
  <c r="AF2013" i="6" s="1"/>
  <c r="AC2013" i="6"/>
  <c r="AD2013" i="6" l="1"/>
  <c r="AB2013" i="6"/>
  <c r="Y2015" i="6"/>
  <c r="AG2014" i="6"/>
  <c r="AH2014" i="6"/>
  <c r="AE2014" i="6"/>
  <c r="AF2014" i="6" s="1"/>
  <c r="AC2014" i="6"/>
  <c r="AA2014" i="6"/>
  <c r="Z2014" i="6" s="1"/>
  <c r="AD2014" i="6" l="1"/>
  <c r="AB2014" i="6"/>
  <c r="Y2016" i="6"/>
  <c r="AH2015" i="6"/>
  <c r="AG2015" i="6"/>
  <c r="AE2015" i="6"/>
  <c r="AF2015" i="6" s="1"/>
  <c r="AA2015" i="6"/>
  <c r="Z2015" i="6" s="1"/>
  <c r="AC2015" i="6"/>
  <c r="AD2015" i="6" l="1"/>
  <c r="AB2015" i="6"/>
  <c r="AE2016" i="6"/>
  <c r="AF2016" i="6" s="1"/>
  <c r="AC2016" i="6"/>
  <c r="AA2016" i="6"/>
  <c r="Z2016" i="6" s="1"/>
  <c r="Y2017" i="6"/>
  <c r="AG2016" i="6"/>
  <c r="AH2016" i="6"/>
  <c r="AG2017" i="6" l="1"/>
  <c r="AE2017" i="6"/>
  <c r="AF2017" i="6" s="1"/>
  <c r="Y2018" i="6"/>
  <c r="AA2017" i="6"/>
  <c r="Z2017" i="6" s="1"/>
  <c r="AH2017" i="6"/>
  <c r="AC2017" i="6"/>
  <c r="AD2016" i="6"/>
  <c r="AB2016" i="6"/>
  <c r="AD2017" i="6" l="1"/>
  <c r="AB2017" i="6"/>
  <c r="AA2018" i="6"/>
  <c r="Z2018" i="6" s="1"/>
  <c r="Y2019" i="6"/>
  <c r="AG2018" i="6"/>
  <c r="AE2018" i="6"/>
  <c r="AF2018" i="6" s="1"/>
  <c r="AC2018" i="6"/>
  <c r="AH2018" i="6"/>
  <c r="AD2018" i="6" l="1"/>
  <c r="AB2018" i="6"/>
  <c r="Y2020" i="6"/>
  <c r="AH2019" i="6"/>
  <c r="AE2019" i="6"/>
  <c r="AF2019" i="6" s="1"/>
  <c r="AC2019" i="6"/>
  <c r="AA2019" i="6"/>
  <c r="Z2019" i="6" s="1"/>
  <c r="AG2019" i="6"/>
  <c r="AD2019" i="6" l="1"/>
  <c r="AB2019" i="6"/>
  <c r="AE2020" i="6"/>
  <c r="AF2020" i="6" s="1"/>
  <c r="AC2020" i="6"/>
  <c r="AH2020" i="6"/>
  <c r="Y2021" i="6"/>
  <c r="AG2020" i="6"/>
  <c r="AA2020" i="6"/>
  <c r="Z2020" i="6" s="1"/>
  <c r="AA2021" i="6" l="1"/>
  <c r="Z2021" i="6" s="1"/>
  <c r="Y2022" i="6"/>
  <c r="AH2021" i="6"/>
  <c r="AG2021" i="6"/>
  <c r="AE2021" i="6"/>
  <c r="AF2021" i="6" s="1"/>
  <c r="AC2021" i="6"/>
  <c r="AB2020" i="6"/>
  <c r="AD2020" i="6"/>
  <c r="AB2021" i="6" l="1"/>
  <c r="AD2021" i="6"/>
  <c r="Y2023" i="6"/>
  <c r="AH2022" i="6"/>
  <c r="AG2022" i="6"/>
  <c r="AE2022" i="6"/>
  <c r="AF2022" i="6" s="1"/>
  <c r="AA2022" i="6"/>
  <c r="Z2022" i="6" s="1"/>
  <c r="AC2022" i="6"/>
  <c r="AD2022" i="6" l="1"/>
  <c r="AB2022" i="6"/>
  <c r="AC2023" i="6"/>
  <c r="AA2023" i="6"/>
  <c r="Z2023" i="6" s="1"/>
  <c r="Y2024" i="6"/>
  <c r="AH2023" i="6"/>
  <c r="AG2023" i="6"/>
  <c r="AE2023" i="6"/>
  <c r="AF2023" i="6" s="1"/>
  <c r="AD2023" i="6" l="1"/>
  <c r="AB2023" i="6"/>
  <c r="AC2024" i="6"/>
  <c r="AA2024" i="6"/>
  <c r="Z2024" i="6" s="1"/>
  <c r="AG2024" i="6"/>
  <c r="AE2024" i="6"/>
  <c r="AF2024" i="6" s="1"/>
  <c r="Y2025" i="6"/>
  <c r="AH2024" i="6"/>
  <c r="Y2026" i="6" l="1"/>
  <c r="AH2025" i="6"/>
  <c r="AG2025" i="6"/>
  <c r="AE2025" i="6"/>
  <c r="AF2025" i="6" s="1"/>
  <c r="AC2025" i="6"/>
  <c r="AA2025" i="6"/>
  <c r="Z2025" i="6" s="1"/>
  <c r="AB2024" i="6"/>
  <c r="AD2024" i="6"/>
  <c r="AD2025" i="6" l="1"/>
  <c r="AB2025" i="6"/>
  <c r="AA2026" i="6"/>
  <c r="Z2026" i="6" s="1"/>
  <c r="AG2026" i="6"/>
  <c r="AC2026" i="6"/>
  <c r="Y2027" i="6"/>
  <c r="AH2026" i="6"/>
  <c r="AE2026" i="6"/>
  <c r="AF2026" i="6" s="1"/>
  <c r="AD2026" i="6" l="1"/>
  <c r="AB2026" i="6"/>
  <c r="AC2027" i="6"/>
  <c r="Y2028" i="6"/>
  <c r="AH2027" i="6"/>
  <c r="AG2027" i="6"/>
  <c r="AE2027" i="6"/>
  <c r="AF2027" i="6" s="1"/>
  <c r="AA2027" i="6"/>
  <c r="Z2027" i="6" s="1"/>
  <c r="AD2027" i="6" l="1"/>
  <c r="AB2027" i="6"/>
  <c r="Y2029" i="6"/>
  <c r="AG2028" i="6"/>
  <c r="AC2028" i="6"/>
  <c r="AA2028" i="6"/>
  <c r="Z2028" i="6" s="1"/>
  <c r="AH2028" i="6"/>
  <c r="AE2028" i="6"/>
  <c r="AF2028" i="6" s="1"/>
  <c r="AD2028" i="6" l="1"/>
  <c r="AB2028" i="6"/>
  <c r="AH2029" i="6"/>
  <c r="Y2030" i="6"/>
  <c r="AG2029" i="6"/>
  <c r="AE2029" i="6"/>
  <c r="AF2029" i="6" s="1"/>
  <c r="AC2029" i="6"/>
  <c r="AA2029" i="6"/>
  <c r="Z2029" i="6" s="1"/>
  <c r="AD2029" i="6" l="1"/>
  <c r="AB2029" i="6"/>
  <c r="AE2030" i="6"/>
  <c r="AF2030" i="6" s="1"/>
  <c r="AC2030" i="6"/>
  <c r="Y2031" i="6"/>
  <c r="AH2030" i="6"/>
  <c r="AG2030" i="6"/>
  <c r="AA2030" i="6"/>
  <c r="Z2030" i="6" s="1"/>
  <c r="AG2031" i="6" l="1"/>
  <c r="AE2031" i="6"/>
  <c r="AF2031" i="6" s="1"/>
  <c r="AH2031" i="6"/>
  <c r="AC2031" i="6"/>
  <c r="AA2031" i="6"/>
  <c r="Z2031" i="6" s="1"/>
  <c r="Y2032" i="6"/>
  <c r="AD2030" i="6"/>
  <c r="AB2030" i="6"/>
  <c r="Y2033" i="6" l="1"/>
  <c r="AE2032" i="6"/>
  <c r="AF2032" i="6" s="1"/>
  <c r="AC2032" i="6"/>
  <c r="AH2032" i="6"/>
  <c r="AG2032" i="6"/>
  <c r="AA2032" i="6"/>
  <c r="Z2032" i="6" s="1"/>
  <c r="AD2031" i="6"/>
  <c r="AB2031" i="6"/>
  <c r="AB2032" i="6" l="1"/>
  <c r="AD2032" i="6"/>
  <c r="AE2033" i="6"/>
  <c r="AF2033" i="6" s="1"/>
  <c r="Y2034" i="6"/>
  <c r="AH2033" i="6"/>
  <c r="AG2033" i="6"/>
  <c r="AC2033" i="6"/>
  <c r="AA2033" i="6"/>
  <c r="Z2033" i="6" s="1"/>
  <c r="AD2033" i="6" l="1"/>
  <c r="AB2033" i="6"/>
  <c r="AE2034" i="6"/>
  <c r="AF2034" i="6" s="1"/>
  <c r="AC2034" i="6"/>
  <c r="AA2034" i="6"/>
  <c r="Z2034" i="6" s="1"/>
  <c r="Y2035" i="6"/>
  <c r="AH2034" i="6"/>
  <c r="AG2034" i="6"/>
  <c r="AH2035" i="6" l="1"/>
  <c r="AG2035" i="6"/>
  <c r="AE2035" i="6"/>
  <c r="AF2035" i="6" s="1"/>
  <c r="AC2035" i="6"/>
  <c r="AA2035" i="6"/>
  <c r="Z2035" i="6" s="1"/>
  <c r="Y2036" i="6"/>
  <c r="AB2034" i="6"/>
  <c r="AD2034" i="6"/>
  <c r="AG2036" i="6" l="1"/>
  <c r="AE2036" i="6"/>
  <c r="AF2036" i="6" s="1"/>
  <c r="AC2036" i="6"/>
  <c r="AA2036" i="6"/>
  <c r="Z2036" i="6" s="1"/>
  <c r="Y2037" i="6"/>
  <c r="AH2036" i="6"/>
  <c r="AD2035" i="6"/>
  <c r="AB2035" i="6"/>
  <c r="AC2037" i="6" l="1"/>
  <c r="AA2037" i="6"/>
  <c r="Z2037" i="6" s="1"/>
  <c r="AE2037" i="6"/>
  <c r="AF2037" i="6" s="1"/>
  <c r="Y2038" i="6"/>
  <c r="AH2037" i="6"/>
  <c r="AG2037" i="6"/>
  <c r="AD2036" i="6"/>
  <c r="AB2036" i="6"/>
  <c r="AG2038" i="6" l="1"/>
  <c r="AE2038" i="6"/>
  <c r="AF2038" i="6" s="1"/>
  <c r="Y2039" i="6"/>
  <c r="AH2038" i="6"/>
  <c r="AC2038" i="6"/>
  <c r="AA2038" i="6"/>
  <c r="Z2038" i="6" s="1"/>
  <c r="AB2037" i="6"/>
  <c r="AD2037" i="6"/>
  <c r="AD2038" i="6" l="1"/>
  <c r="AB2038" i="6"/>
  <c r="Y2040" i="6"/>
  <c r="AH2039" i="6"/>
  <c r="AG2039" i="6"/>
  <c r="AA2039" i="6"/>
  <c r="Z2039" i="6" s="1"/>
  <c r="AE2039" i="6"/>
  <c r="AF2039" i="6" s="1"/>
  <c r="AC2039" i="6"/>
  <c r="AD2039" i="6" l="1"/>
  <c r="AB2039" i="6"/>
  <c r="AA2040" i="6"/>
  <c r="Z2040" i="6" s="1"/>
  <c r="AC2040" i="6"/>
  <c r="AH2040" i="6"/>
  <c r="AE2040" i="6"/>
  <c r="AF2040" i="6" s="1"/>
  <c r="AG2040" i="6"/>
  <c r="Y2041" i="6"/>
  <c r="AH2041" i="6" l="1"/>
  <c r="Y2042" i="6"/>
  <c r="AG2041" i="6"/>
  <c r="AE2041" i="6"/>
  <c r="AF2041" i="6" s="1"/>
  <c r="AC2041" i="6"/>
  <c r="AA2041" i="6"/>
  <c r="Z2041" i="6" s="1"/>
  <c r="AB2040" i="6"/>
  <c r="AD2040" i="6"/>
  <c r="AD2041" i="6" l="1"/>
  <c r="AB2041" i="6"/>
  <c r="Y2043" i="6"/>
  <c r="AG2042" i="6"/>
  <c r="AE2042" i="6"/>
  <c r="AF2042" i="6" s="1"/>
  <c r="AH2042" i="6"/>
  <c r="AA2042" i="6"/>
  <c r="Z2042" i="6" s="1"/>
  <c r="AC2042" i="6"/>
  <c r="AB2042" i="6" l="1"/>
  <c r="AD2042" i="6"/>
  <c r="AG2043" i="6"/>
  <c r="AA2043" i="6"/>
  <c r="Z2043" i="6" s="1"/>
  <c r="Y2044" i="6"/>
  <c r="AH2043" i="6"/>
  <c r="AE2043" i="6"/>
  <c r="AF2043" i="6" s="1"/>
  <c r="AC2043" i="6"/>
  <c r="AB2043" i="6" l="1"/>
  <c r="AD2043" i="6"/>
  <c r="Y2045" i="6"/>
  <c r="AG2044" i="6"/>
  <c r="AC2044" i="6"/>
  <c r="AA2044" i="6"/>
  <c r="Z2044" i="6" s="1"/>
  <c r="AH2044" i="6"/>
  <c r="AE2044" i="6"/>
  <c r="AF2044" i="6" s="1"/>
  <c r="AB2044" i="6" l="1"/>
  <c r="AD2044" i="6"/>
  <c r="AG2045" i="6"/>
  <c r="AE2045" i="6"/>
  <c r="AF2045" i="6" s="1"/>
  <c r="Y2046" i="6"/>
  <c r="AC2045" i="6"/>
  <c r="AH2045" i="6"/>
  <c r="AA2045" i="6"/>
  <c r="Z2045" i="6" s="1"/>
  <c r="AD2045" i="6" l="1"/>
  <c r="AB2045" i="6"/>
  <c r="AH2046" i="6"/>
  <c r="AC2046" i="6"/>
  <c r="AA2046" i="6"/>
  <c r="Z2046" i="6" s="1"/>
  <c r="Y2047" i="6"/>
  <c r="AG2046" i="6"/>
  <c r="AE2046" i="6"/>
  <c r="AF2046" i="6" s="1"/>
  <c r="AH2047" i="6" l="1"/>
  <c r="Y2048" i="6"/>
  <c r="AG2047" i="6"/>
  <c r="AE2047" i="6"/>
  <c r="AF2047" i="6" s="1"/>
  <c r="AC2047" i="6"/>
  <c r="AA2047" i="6"/>
  <c r="Z2047" i="6" s="1"/>
  <c r="AB2046" i="6"/>
  <c r="AD2046" i="6"/>
  <c r="AD2047" i="6" l="1"/>
  <c r="AB2047" i="6"/>
  <c r="AE2048" i="6"/>
  <c r="AF2048" i="6" s="1"/>
  <c r="AC2048" i="6"/>
  <c r="AG2048" i="6"/>
  <c r="AH2048" i="6"/>
  <c r="AA2048" i="6"/>
  <c r="Z2048" i="6" s="1"/>
  <c r="Y2049" i="6"/>
  <c r="AE2049" i="6" l="1"/>
  <c r="AF2049" i="6" s="1"/>
  <c r="AC2049" i="6"/>
  <c r="AG2049" i="6"/>
  <c r="AA2049" i="6"/>
  <c r="Z2049" i="6" s="1"/>
  <c r="AH2049" i="6"/>
  <c r="Y2050" i="6"/>
  <c r="AB2048" i="6"/>
  <c r="AD2048" i="6"/>
  <c r="Y2051" i="6" l="1"/>
  <c r="AH2050" i="6"/>
  <c r="AG2050" i="6"/>
  <c r="AE2050" i="6"/>
  <c r="AF2050" i="6" s="1"/>
  <c r="AC2050" i="6"/>
  <c r="AA2050" i="6"/>
  <c r="Z2050" i="6" s="1"/>
  <c r="AD2049" i="6"/>
  <c r="AB2049" i="6"/>
  <c r="AD2050" i="6" l="1"/>
  <c r="AB2050" i="6"/>
  <c r="AA2051" i="6"/>
  <c r="Z2051" i="6" s="1"/>
  <c r="Y2052" i="6"/>
  <c r="AE2051" i="6"/>
  <c r="AF2051" i="6" s="1"/>
  <c r="AH2051" i="6"/>
  <c r="AG2051" i="6"/>
  <c r="AC2051" i="6"/>
  <c r="AD2051" i="6" l="1"/>
  <c r="AB2051" i="6"/>
  <c r="AG2052" i="6"/>
  <c r="AE2052" i="6"/>
  <c r="AF2052" i="6" s="1"/>
  <c r="AC2052" i="6"/>
  <c r="Y2053" i="6"/>
  <c r="AH2052" i="6"/>
  <c r="AA2052" i="6"/>
  <c r="Z2052" i="6" s="1"/>
  <c r="AC2053" i="6" l="1"/>
  <c r="AA2053" i="6"/>
  <c r="Z2053" i="6" s="1"/>
  <c r="AH2053" i="6"/>
  <c r="Y2054" i="6"/>
  <c r="AG2053" i="6"/>
  <c r="AE2053" i="6"/>
  <c r="AF2053" i="6" s="1"/>
  <c r="AB2052" i="6"/>
  <c r="AD2052" i="6"/>
  <c r="AC2054" i="6" l="1"/>
  <c r="AA2054" i="6"/>
  <c r="Z2054" i="6" s="1"/>
  <c r="AG2054" i="6"/>
  <c r="AE2054" i="6"/>
  <c r="AF2054" i="6" s="1"/>
  <c r="Y2055" i="6"/>
  <c r="AH2054" i="6"/>
  <c r="AB2053" i="6"/>
  <c r="AD2053" i="6"/>
  <c r="Y2056" i="6" l="1"/>
  <c r="AH2055" i="6"/>
  <c r="AG2055" i="6"/>
  <c r="AE2055" i="6"/>
  <c r="AF2055" i="6" s="1"/>
  <c r="AC2055" i="6"/>
  <c r="AA2055" i="6"/>
  <c r="Z2055" i="6" s="1"/>
  <c r="AD2054" i="6"/>
  <c r="AB2054" i="6"/>
  <c r="AB2055" i="6" l="1"/>
  <c r="AD2055" i="6"/>
  <c r="Y2057" i="6"/>
  <c r="AH2056" i="6"/>
  <c r="AG2056" i="6"/>
  <c r="AE2056" i="6"/>
  <c r="AF2056" i="6" s="1"/>
  <c r="AC2056" i="6"/>
  <c r="AA2056" i="6"/>
  <c r="Z2056" i="6" s="1"/>
  <c r="AD2056" i="6" l="1"/>
  <c r="AB2056" i="6"/>
  <c r="AH2057" i="6"/>
  <c r="AG2057" i="6"/>
  <c r="Y2058" i="6"/>
  <c r="AE2057" i="6"/>
  <c r="AF2057" i="6" s="1"/>
  <c r="AC2057" i="6"/>
  <c r="AA2057" i="6"/>
  <c r="Z2057" i="6" s="1"/>
  <c r="AB2057" i="6" l="1"/>
  <c r="AD2057" i="6"/>
  <c r="Y2059" i="6"/>
  <c r="AG2058" i="6"/>
  <c r="AE2058" i="6"/>
  <c r="AF2058" i="6" s="1"/>
  <c r="AC2058" i="6"/>
  <c r="AA2058" i="6"/>
  <c r="Z2058" i="6" s="1"/>
  <c r="AH2058" i="6"/>
  <c r="AD2058" i="6" l="1"/>
  <c r="AB2058" i="6"/>
  <c r="Y2060" i="6"/>
  <c r="AH2059" i="6"/>
  <c r="AE2059" i="6"/>
  <c r="AF2059" i="6" s="1"/>
  <c r="AA2059" i="6"/>
  <c r="Z2059" i="6" s="1"/>
  <c r="AG2059" i="6"/>
  <c r="AC2059" i="6"/>
  <c r="AD2059" i="6" l="1"/>
  <c r="AB2059" i="6"/>
  <c r="AH2060" i="6"/>
  <c r="AA2060" i="6"/>
  <c r="Z2060" i="6" s="1"/>
  <c r="Y2061" i="6"/>
  <c r="AE2060" i="6"/>
  <c r="AF2060" i="6" s="1"/>
  <c r="AC2060" i="6"/>
  <c r="AG2060" i="6"/>
  <c r="AD2060" i="6" l="1"/>
  <c r="AB2060" i="6"/>
  <c r="AG2061" i="6"/>
  <c r="AC2061" i="6"/>
  <c r="AA2061" i="6"/>
  <c r="Z2061" i="6" s="1"/>
  <c r="Y2062" i="6"/>
  <c r="AH2061" i="6"/>
  <c r="AE2061" i="6"/>
  <c r="AF2061" i="6" s="1"/>
  <c r="Y2063" i="6" l="1"/>
  <c r="AH2062" i="6"/>
  <c r="AC2062" i="6"/>
  <c r="AG2062" i="6"/>
  <c r="AE2062" i="6"/>
  <c r="AF2062" i="6" s="1"/>
  <c r="AA2062" i="6"/>
  <c r="Z2062" i="6" s="1"/>
  <c r="AD2061" i="6"/>
  <c r="AB2061" i="6"/>
  <c r="AD2062" i="6" l="1"/>
  <c r="AB2062" i="6"/>
  <c r="AA2063" i="6"/>
  <c r="Z2063" i="6" s="1"/>
  <c r="AH2063" i="6"/>
  <c r="AE2063" i="6"/>
  <c r="AF2063" i="6" s="1"/>
  <c r="AC2063" i="6"/>
  <c r="Y2064" i="6"/>
  <c r="AG2063" i="6"/>
  <c r="Y2065" i="6" l="1"/>
  <c r="AH2064" i="6"/>
  <c r="AG2064" i="6"/>
  <c r="AE2064" i="6"/>
  <c r="AF2064" i="6" s="1"/>
  <c r="AC2064" i="6"/>
  <c r="AA2064" i="6"/>
  <c r="Z2064" i="6" s="1"/>
  <c r="AD2063" i="6"/>
  <c r="AB2063" i="6"/>
  <c r="AD2064" i="6" l="1"/>
  <c r="AB2064" i="6"/>
  <c r="Y2066" i="6"/>
  <c r="AH2065" i="6"/>
  <c r="AG2065" i="6"/>
  <c r="AE2065" i="6"/>
  <c r="AF2065" i="6" s="1"/>
  <c r="AC2065" i="6"/>
  <c r="AA2065" i="6"/>
  <c r="Z2065" i="6" s="1"/>
  <c r="AB2065" i="6" l="1"/>
  <c r="AD2065" i="6"/>
  <c r="AA2066" i="6"/>
  <c r="Z2066" i="6" s="1"/>
  <c r="AG2066" i="6"/>
  <c r="Y2067" i="6"/>
  <c r="AH2066" i="6"/>
  <c r="AE2066" i="6"/>
  <c r="AF2066" i="6" s="1"/>
  <c r="AC2066" i="6"/>
  <c r="AD2066" i="6" l="1"/>
  <c r="AB2066" i="6"/>
  <c r="Y2068" i="6"/>
  <c r="AG2067" i="6"/>
  <c r="AE2067" i="6"/>
  <c r="AF2067" i="6" s="1"/>
  <c r="AC2067" i="6"/>
  <c r="AA2067" i="6"/>
  <c r="Z2067" i="6" s="1"/>
  <c r="AH2067" i="6"/>
  <c r="AD2067" i="6" l="1"/>
  <c r="AB2067" i="6"/>
  <c r="Y2069" i="6"/>
  <c r="AH2068" i="6"/>
  <c r="AC2068" i="6"/>
  <c r="AG2068" i="6"/>
  <c r="AE2068" i="6"/>
  <c r="AF2068" i="6" s="1"/>
  <c r="AA2068" i="6"/>
  <c r="Z2068" i="6" s="1"/>
  <c r="AB2068" i="6" l="1"/>
  <c r="AD2068" i="6"/>
  <c r="AH2069" i="6"/>
  <c r="AC2069" i="6"/>
  <c r="AE2069" i="6"/>
  <c r="AF2069" i="6" s="1"/>
  <c r="AA2069" i="6"/>
  <c r="Z2069" i="6" s="1"/>
  <c r="Y2070" i="6"/>
  <c r="AG2069" i="6"/>
  <c r="AA2070" i="6" l="1"/>
  <c r="Z2070" i="6" s="1"/>
  <c r="Y2071" i="6"/>
  <c r="AH2070" i="6"/>
  <c r="AE2070" i="6"/>
  <c r="AF2070" i="6" s="1"/>
  <c r="AC2070" i="6"/>
  <c r="AG2070" i="6"/>
  <c r="AB2069" i="6"/>
  <c r="AD2069" i="6"/>
  <c r="AD2070" i="6" l="1"/>
  <c r="AB2070" i="6"/>
  <c r="AH2071" i="6"/>
  <c r="AE2071" i="6"/>
  <c r="AF2071" i="6" s="1"/>
  <c r="Y2072" i="6"/>
  <c r="AC2071" i="6"/>
  <c r="AA2071" i="6"/>
  <c r="Z2071" i="6" s="1"/>
  <c r="AG2071" i="6"/>
  <c r="AD2071" i="6" l="1"/>
  <c r="AB2071" i="6"/>
  <c r="AA2072" i="6"/>
  <c r="Z2072" i="6" s="1"/>
  <c r="Y2073" i="6"/>
  <c r="AG2072" i="6"/>
  <c r="AH2072" i="6"/>
  <c r="AE2072" i="6"/>
  <c r="AF2072" i="6" s="1"/>
  <c r="AC2072" i="6"/>
  <c r="AD2072" i="6" l="1"/>
  <c r="AB2072" i="6"/>
  <c r="AE2073" i="6"/>
  <c r="AF2073" i="6" s="1"/>
  <c r="AA2073" i="6"/>
  <c r="Z2073" i="6" s="1"/>
  <c r="AC2073" i="6"/>
  <c r="Y2074" i="6"/>
  <c r="AG2073" i="6"/>
  <c r="AH2073" i="6"/>
  <c r="AH2074" i="6" l="1"/>
  <c r="AG2074" i="6"/>
  <c r="Y2075" i="6"/>
  <c r="AE2074" i="6"/>
  <c r="AF2074" i="6" s="1"/>
  <c r="AC2074" i="6"/>
  <c r="AA2074" i="6"/>
  <c r="Z2074" i="6" s="1"/>
  <c r="AB2073" i="6"/>
  <c r="AD2073" i="6"/>
  <c r="AD2074" i="6" l="1"/>
  <c r="AB2074" i="6"/>
  <c r="AC2075" i="6"/>
  <c r="Y2076" i="6"/>
  <c r="AA2075" i="6"/>
  <c r="Z2075" i="6" s="1"/>
  <c r="AH2075" i="6"/>
  <c r="AG2075" i="6"/>
  <c r="AE2075" i="6"/>
  <c r="AF2075" i="6" s="1"/>
  <c r="AE2076" i="6" l="1"/>
  <c r="AF2076" i="6" s="1"/>
  <c r="Y2077" i="6"/>
  <c r="AH2076" i="6"/>
  <c r="AG2076" i="6"/>
  <c r="AA2076" i="6"/>
  <c r="Z2076" i="6" s="1"/>
  <c r="AC2076" i="6"/>
  <c r="AD2075" i="6"/>
  <c r="AB2075" i="6"/>
  <c r="AD2076" i="6" l="1"/>
  <c r="AB2076" i="6"/>
  <c r="Y2078" i="6"/>
  <c r="AA2077" i="6"/>
  <c r="Z2077" i="6" s="1"/>
  <c r="AH2077" i="6"/>
  <c r="AG2077" i="6"/>
  <c r="AE2077" i="6"/>
  <c r="AF2077" i="6" s="1"/>
  <c r="AC2077" i="6"/>
  <c r="AD2077" i="6" l="1"/>
  <c r="AB2077" i="6"/>
  <c r="AG2078" i="6"/>
  <c r="AE2078" i="6"/>
  <c r="AF2078" i="6" s="1"/>
  <c r="AH2078" i="6"/>
  <c r="Y2079" i="6"/>
  <c r="AC2078" i="6"/>
  <c r="AA2078" i="6"/>
  <c r="Z2078" i="6" s="1"/>
  <c r="AB2078" i="6" l="1"/>
  <c r="AD2078" i="6"/>
  <c r="Y2080" i="6"/>
  <c r="AG2079" i="6"/>
  <c r="AE2079" i="6"/>
  <c r="AF2079" i="6" s="1"/>
  <c r="AH2079" i="6"/>
  <c r="AC2079" i="6"/>
  <c r="AA2079" i="6"/>
  <c r="Z2079" i="6" s="1"/>
  <c r="AD2079" i="6" l="1"/>
  <c r="AB2079" i="6"/>
  <c r="AH2080" i="6"/>
  <c r="AG2080" i="6"/>
  <c r="AC2080" i="6"/>
  <c r="AA2080" i="6"/>
  <c r="Z2080" i="6" s="1"/>
  <c r="Y2081" i="6"/>
  <c r="AE2080" i="6"/>
  <c r="AF2080" i="6" s="1"/>
  <c r="AH2081" i="6" l="1"/>
  <c r="AE2081" i="6"/>
  <c r="AF2081" i="6" s="1"/>
  <c r="AA2081" i="6"/>
  <c r="Z2081" i="6" s="1"/>
  <c r="Y2082" i="6"/>
  <c r="AG2081" i="6"/>
  <c r="AC2081" i="6"/>
  <c r="AD2080" i="6"/>
  <c r="AB2080" i="6"/>
  <c r="AD2081" i="6" l="1"/>
  <c r="AB2081" i="6"/>
  <c r="Y2083" i="6"/>
  <c r="AE2082" i="6"/>
  <c r="AF2082" i="6" s="1"/>
  <c r="AC2082" i="6"/>
  <c r="AH2082" i="6"/>
  <c r="AG2082" i="6"/>
  <c r="AA2082" i="6"/>
  <c r="Z2082" i="6" s="1"/>
  <c r="AH2083" i="6" l="1"/>
  <c r="Y2084" i="6"/>
  <c r="AG2083" i="6"/>
  <c r="AE2083" i="6"/>
  <c r="AF2083" i="6" s="1"/>
  <c r="AC2083" i="6"/>
  <c r="AA2083" i="6"/>
  <c r="Z2083" i="6" s="1"/>
  <c r="AB2082" i="6"/>
  <c r="AD2082" i="6"/>
  <c r="AB2083" i="6" l="1"/>
  <c r="AD2083" i="6"/>
  <c r="Y2085" i="6"/>
  <c r="AG2084" i="6"/>
  <c r="AE2084" i="6"/>
  <c r="AF2084" i="6" s="1"/>
  <c r="AH2084" i="6"/>
  <c r="AC2084" i="6"/>
  <c r="AA2084" i="6"/>
  <c r="Z2084" i="6" s="1"/>
  <c r="AB2084" i="6" l="1"/>
  <c r="AD2084" i="6"/>
  <c r="AH2085" i="6"/>
  <c r="Y2086" i="6"/>
  <c r="AG2085" i="6"/>
  <c r="AC2085" i="6"/>
  <c r="AA2085" i="6"/>
  <c r="Z2085" i="6" s="1"/>
  <c r="AE2085" i="6"/>
  <c r="AF2085" i="6" s="1"/>
  <c r="AD2085" i="6" l="1"/>
  <c r="AB2085" i="6"/>
  <c r="AG2086" i="6"/>
  <c r="AA2086" i="6"/>
  <c r="Z2086" i="6" s="1"/>
  <c r="Y2087" i="6"/>
  <c r="AH2086" i="6"/>
  <c r="AE2086" i="6"/>
  <c r="AF2086" i="6" s="1"/>
  <c r="AC2086" i="6"/>
  <c r="AB2086" i="6" l="1"/>
  <c r="AD2086" i="6"/>
  <c r="AH2087" i="6"/>
  <c r="AG2087" i="6"/>
  <c r="AC2087" i="6"/>
  <c r="AE2087" i="6"/>
  <c r="AF2087" i="6" s="1"/>
  <c r="Y2088" i="6"/>
  <c r="AA2087" i="6"/>
  <c r="Z2087" i="6" s="1"/>
  <c r="AH2088" i="6" l="1"/>
  <c r="AC2088" i="6"/>
  <c r="AA2088" i="6"/>
  <c r="Z2088" i="6" s="1"/>
  <c r="Y2089" i="6"/>
  <c r="AG2088" i="6"/>
  <c r="AE2088" i="6"/>
  <c r="AF2088" i="6" s="1"/>
  <c r="AD2087" i="6"/>
  <c r="AB2087" i="6"/>
  <c r="AH2089" i="6" l="1"/>
  <c r="AG2089" i="6"/>
  <c r="AE2089" i="6"/>
  <c r="AF2089" i="6" s="1"/>
  <c r="Y2090" i="6"/>
  <c r="AC2089" i="6"/>
  <c r="AA2089" i="6"/>
  <c r="Z2089" i="6" s="1"/>
  <c r="AB2088" i="6"/>
  <c r="AD2088" i="6"/>
  <c r="AD2089" i="6" l="1"/>
  <c r="AB2089" i="6"/>
  <c r="Y2091" i="6"/>
  <c r="AH2090" i="6"/>
  <c r="AG2090" i="6"/>
  <c r="AE2090" i="6"/>
  <c r="AF2090" i="6" s="1"/>
  <c r="AC2090" i="6"/>
  <c r="AA2090" i="6"/>
  <c r="Z2090" i="6" s="1"/>
  <c r="AD2090" i="6" l="1"/>
  <c r="AB2090" i="6"/>
  <c r="AA2091" i="6"/>
  <c r="Z2091" i="6" s="1"/>
  <c r="Y2092" i="6"/>
  <c r="AH2091" i="6"/>
  <c r="AG2091" i="6"/>
  <c r="AE2091" i="6"/>
  <c r="AF2091" i="6" s="1"/>
  <c r="AC2091" i="6"/>
  <c r="AD2091" i="6" l="1"/>
  <c r="AB2091" i="6"/>
  <c r="AA2092" i="6"/>
  <c r="Z2092" i="6" s="1"/>
  <c r="AG2092" i="6"/>
  <c r="AE2092" i="6"/>
  <c r="AF2092" i="6" s="1"/>
  <c r="AC2092" i="6"/>
  <c r="Y2093" i="6"/>
  <c r="AH2092" i="6"/>
  <c r="Y2094" i="6" l="1"/>
  <c r="AE2093" i="6"/>
  <c r="AF2093" i="6" s="1"/>
  <c r="AH2093" i="6"/>
  <c r="AC2093" i="6"/>
  <c r="AA2093" i="6"/>
  <c r="Z2093" i="6" s="1"/>
  <c r="AG2093" i="6"/>
  <c r="AB2092" i="6"/>
  <c r="AD2092" i="6"/>
  <c r="AB2093" i="6" l="1"/>
  <c r="AD2093" i="6"/>
  <c r="AH2094" i="6"/>
  <c r="AC2094" i="6"/>
  <c r="Y2095" i="6"/>
  <c r="AE2094" i="6"/>
  <c r="AF2094" i="6" s="1"/>
  <c r="AG2094" i="6"/>
  <c r="AA2094" i="6"/>
  <c r="Z2094" i="6" s="1"/>
  <c r="AH2095" i="6" l="1"/>
  <c r="AG2095" i="6"/>
  <c r="AE2095" i="6"/>
  <c r="AF2095" i="6" s="1"/>
  <c r="AC2095" i="6"/>
  <c r="AA2095" i="6"/>
  <c r="Z2095" i="6" s="1"/>
  <c r="Y2096" i="6"/>
  <c r="AD2094" i="6"/>
  <c r="AB2094" i="6"/>
  <c r="AG2096" i="6" l="1"/>
  <c r="Y2097" i="6"/>
  <c r="AH2096" i="6"/>
  <c r="AE2096" i="6"/>
  <c r="AF2096" i="6" s="1"/>
  <c r="AC2096" i="6"/>
  <c r="AA2096" i="6"/>
  <c r="Z2096" i="6" s="1"/>
  <c r="AD2095" i="6"/>
  <c r="AB2095" i="6"/>
  <c r="AB2096" i="6" l="1"/>
  <c r="AD2096" i="6"/>
  <c r="AH2097" i="6"/>
  <c r="AG2097" i="6"/>
  <c r="AC2097" i="6"/>
  <c r="AA2097" i="6"/>
  <c r="Z2097" i="6" s="1"/>
  <c r="Y2098" i="6"/>
  <c r="AE2097" i="6"/>
  <c r="AF2097" i="6" s="1"/>
  <c r="Y2099" i="6" l="1"/>
  <c r="AH2098" i="6"/>
  <c r="AG2098" i="6"/>
  <c r="AC2098" i="6"/>
  <c r="AA2098" i="6"/>
  <c r="Z2098" i="6" s="1"/>
  <c r="AE2098" i="6"/>
  <c r="AF2098" i="6" s="1"/>
  <c r="AB2097" i="6"/>
  <c r="AD2097" i="6"/>
  <c r="AD2098" i="6" l="1"/>
  <c r="AB2098" i="6"/>
  <c r="AH2099" i="6"/>
  <c r="AC2099" i="6"/>
  <c r="AA2099" i="6"/>
  <c r="Z2099" i="6" s="1"/>
  <c r="Y2100" i="6"/>
  <c r="AG2099" i="6"/>
  <c r="AE2099" i="6"/>
  <c r="AF2099" i="6" s="1"/>
  <c r="AH2100" i="6" l="1"/>
  <c r="AG2100" i="6"/>
  <c r="AA2100" i="6"/>
  <c r="Z2100" i="6" s="1"/>
  <c r="Y2101" i="6"/>
  <c r="AE2100" i="6"/>
  <c r="AF2100" i="6" s="1"/>
  <c r="AC2100" i="6"/>
  <c r="AD2099" i="6"/>
  <c r="AB2099" i="6"/>
  <c r="AD2100" i="6" l="1"/>
  <c r="AB2100" i="6"/>
  <c r="Y2102" i="6"/>
  <c r="AG2101" i="6"/>
  <c r="AC2101" i="6"/>
  <c r="AA2101" i="6"/>
  <c r="Z2101" i="6" s="1"/>
  <c r="AH2101" i="6"/>
  <c r="AE2101" i="6"/>
  <c r="AF2101" i="6" s="1"/>
  <c r="AB2101" i="6" l="1"/>
  <c r="AD2101" i="6"/>
  <c r="AH2102" i="6"/>
  <c r="Y2103" i="6"/>
  <c r="AG2102" i="6"/>
  <c r="AE2102" i="6"/>
  <c r="AF2102" i="6" s="1"/>
  <c r="AC2102" i="6"/>
  <c r="AA2102" i="6"/>
  <c r="Z2102" i="6" s="1"/>
  <c r="AD2102" i="6" l="1"/>
  <c r="AB2102" i="6"/>
  <c r="Y2104" i="6"/>
  <c r="AE2103" i="6"/>
  <c r="AF2103" i="6" s="1"/>
  <c r="AC2103" i="6"/>
  <c r="AA2103" i="6"/>
  <c r="Z2103" i="6" s="1"/>
  <c r="AH2103" i="6"/>
  <c r="AG2103" i="6"/>
  <c r="Y2105" i="6" l="1"/>
  <c r="AH2104" i="6"/>
  <c r="AG2104" i="6"/>
  <c r="AA2104" i="6"/>
  <c r="Z2104" i="6" s="1"/>
  <c r="AE2104" i="6"/>
  <c r="AF2104" i="6" s="1"/>
  <c r="AC2104" i="6"/>
  <c r="AD2103" i="6"/>
  <c r="AB2103" i="6"/>
  <c r="AB2104" i="6" l="1"/>
  <c r="AD2104" i="6"/>
  <c r="AH2105" i="6"/>
  <c r="Y2106" i="6"/>
  <c r="AG2105" i="6"/>
  <c r="AC2105" i="6"/>
  <c r="AE2105" i="6"/>
  <c r="AF2105" i="6" s="1"/>
  <c r="AA2105" i="6"/>
  <c r="Z2105" i="6" s="1"/>
  <c r="AD2105" i="6" l="1"/>
  <c r="AB2105" i="6"/>
  <c r="AH2106" i="6"/>
  <c r="Y2107" i="6"/>
  <c r="AG2106" i="6"/>
  <c r="AE2106" i="6"/>
  <c r="AF2106" i="6" s="1"/>
  <c r="AC2106" i="6"/>
  <c r="AA2106" i="6"/>
  <c r="Z2106" i="6" s="1"/>
  <c r="AB2106" i="6" l="1"/>
  <c r="AD2106" i="6"/>
  <c r="AE2107" i="6"/>
  <c r="AF2107" i="6" s="1"/>
  <c r="AC2107" i="6"/>
  <c r="AA2107" i="6"/>
  <c r="Z2107" i="6" s="1"/>
  <c r="Y2108" i="6"/>
  <c r="AH2107" i="6"/>
  <c r="AG2107" i="6"/>
  <c r="AH2108" i="6" l="1"/>
  <c r="Y2109" i="6"/>
  <c r="AG2108" i="6"/>
  <c r="AE2108" i="6"/>
  <c r="AF2108" i="6" s="1"/>
  <c r="AC2108" i="6"/>
  <c r="AA2108" i="6"/>
  <c r="Z2108" i="6" s="1"/>
  <c r="AB2107" i="6"/>
  <c r="AD2107" i="6"/>
  <c r="AD2108" i="6" l="1"/>
  <c r="AB2108" i="6"/>
  <c r="AH2109" i="6"/>
  <c r="AG2109" i="6"/>
  <c r="AE2109" i="6"/>
  <c r="AF2109" i="6" s="1"/>
  <c r="AA2109" i="6"/>
  <c r="Z2109" i="6" s="1"/>
  <c r="Y2110" i="6"/>
  <c r="AC2109" i="6"/>
  <c r="AD2109" i="6" l="1"/>
  <c r="AB2109" i="6"/>
  <c r="AH2110" i="6"/>
  <c r="AE2110" i="6"/>
  <c r="AF2110" i="6" s="1"/>
  <c r="AA2110" i="6"/>
  <c r="Z2110" i="6" s="1"/>
  <c r="Y2111" i="6"/>
  <c r="AG2110" i="6"/>
  <c r="AC2110" i="6"/>
  <c r="AD2110" i="6" l="1"/>
  <c r="AB2110" i="6"/>
  <c r="AH2111" i="6"/>
  <c r="AE2111" i="6"/>
  <c r="AF2111" i="6" s="1"/>
  <c r="AC2111" i="6"/>
  <c r="AA2111" i="6"/>
  <c r="Z2111" i="6" s="1"/>
  <c r="Y2112" i="6"/>
  <c r="AG2111" i="6"/>
  <c r="Y2113" i="6" l="1"/>
  <c r="AH2112" i="6"/>
  <c r="AG2112" i="6"/>
  <c r="AE2112" i="6"/>
  <c r="AF2112" i="6" s="1"/>
  <c r="AA2112" i="6"/>
  <c r="Z2112" i="6" s="1"/>
  <c r="AC2112" i="6"/>
  <c r="AD2111" i="6"/>
  <c r="AB2111" i="6"/>
  <c r="AB2112" i="6" l="1"/>
  <c r="AD2112" i="6"/>
  <c r="AH2113" i="6"/>
  <c r="Y2114" i="6"/>
  <c r="AG2113" i="6"/>
  <c r="AC2113" i="6"/>
  <c r="AE2113" i="6"/>
  <c r="AF2113" i="6" s="1"/>
  <c r="AA2113" i="6"/>
  <c r="Z2113" i="6" s="1"/>
  <c r="AD2113" i="6" l="1"/>
  <c r="AB2113" i="6"/>
  <c r="AE2114" i="6"/>
  <c r="AF2114" i="6" s="1"/>
  <c r="AA2114" i="6"/>
  <c r="Z2114" i="6" s="1"/>
  <c r="Y2115" i="6"/>
  <c r="AH2114" i="6"/>
  <c r="AG2114" i="6"/>
  <c r="AC2114" i="6"/>
  <c r="AD2114" i="6" l="1"/>
  <c r="AB2114" i="6"/>
  <c r="AE2115" i="6"/>
  <c r="AF2115" i="6" s="1"/>
  <c r="AC2115" i="6"/>
  <c r="AA2115" i="6"/>
  <c r="Z2115" i="6" s="1"/>
  <c r="Y2116" i="6"/>
  <c r="AH2115" i="6"/>
  <c r="AG2115" i="6"/>
  <c r="AH2116" i="6" l="1"/>
  <c r="Y2117" i="6"/>
  <c r="AG2116" i="6"/>
  <c r="AE2116" i="6"/>
  <c r="AF2116" i="6" s="1"/>
  <c r="AC2116" i="6"/>
  <c r="AA2116" i="6"/>
  <c r="Z2116" i="6" s="1"/>
  <c r="AD2115" i="6"/>
  <c r="AB2115" i="6"/>
  <c r="AB2116" i="6" l="1"/>
  <c r="AD2116" i="6"/>
  <c r="Y2118" i="6"/>
  <c r="AG2117" i="6"/>
  <c r="AC2117" i="6"/>
  <c r="AA2117" i="6"/>
  <c r="Z2117" i="6" s="1"/>
  <c r="AH2117" i="6"/>
  <c r="AE2117" i="6"/>
  <c r="AF2117" i="6" s="1"/>
  <c r="AD2117" i="6" l="1"/>
  <c r="AB2117" i="6"/>
  <c r="Y2119" i="6"/>
  <c r="AH2118" i="6"/>
  <c r="AG2118" i="6"/>
  <c r="AE2118" i="6"/>
  <c r="AF2118" i="6" s="1"/>
  <c r="AC2118" i="6"/>
  <c r="AA2118" i="6"/>
  <c r="Z2118" i="6" s="1"/>
  <c r="AD2118" i="6" l="1"/>
  <c r="AB2118" i="6"/>
  <c r="AH2119" i="6"/>
  <c r="AG2119" i="6"/>
  <c r="AC2119" i="6"/>
  <c r="AA2119" i="6"/>
  <c r="Z2119" i="6" s="1"/>
  <c r="Y2120" i="6"/>
  <c r="AE2119" i="6"/>
  <c r="AF2119" i="6" s="1"/>
  <c r="Y2121" i="6" l="1"/>
  <c r="AE2120" i="6"/>
  <c r="AF2120" i="6" s="1"/>
  <c r="AH2120" i="6"/>
  <c r="AC2120" i="6"/>
  <c r="AG2120" i="6"/>
  <c r="AA2120" i="6"/>
  <c r="Z2120" i="6" s="1"/>
  <c r="AD2119" i="6"/>
  <c r="AB2119" i="6"/>
  <c r="AB2120" i="6" l="1"/>
  <c r="AD2120" i="6"/>
  <c r="AH2121" i="6"/>
  <c r="AE2121" i="6"/>
  <c r="AF2121" i="6" s="1"/>
  <c r="AC2121" i="6"/>
  <c r="AA2121" i="6"/>
  <c r="Z2121" i="6" s="1"/>
  <c r="Y2122" i="6"/>
  <c r="AG2121" i="6"/>
  <c r="AH2122" i="6" l="1"/>
  <c r="Y2123" i="6"/>
  <c r="AG2122" i="6"/>
  <c r="AE2122" i="6"/>
  <c r="AF2122" i="6" s="1"/>
  <c r="AC2122" i="6"/>
  <c r="AA2122" i="6"/>
  <c r="Z2122" i="6" s="1"/>
  <c r="AB2121" i="6"/>
  <c r="AD2121" i="6"/>
  <c r="AD2122" i="6" l="1"/>
  <c r="AB2122" i="6"/>
  <c r="AH2123" i="6"/>
  <c r="AC2123" i="6"/>
  <c r="AG2123" i="6"/>
  <c r="AE2123" i="6"/>
  <c r="AF2123" i="6" s="1"/>
  <c r="AA2123" i="6"/>
  <c r="Z2123" i="6" s="1"/>
  <c r="Y2124" i="6"/>
  <c r="AH2124" i="6" l="1"/>
  <c r="AE2124" i="6"/>
  <c r="AF2124" i="6" s="1"/>
  <c r="AC2124" i="6"/>
  <c r="AG2124" i="6"/>
  <c r="AA2124" i="6"/>
  <c r="Z2124" i="6" s="1"/>
  <c r="Y2125" i="6"/>
  <c r="AD2123" i="6"/>
  <c r="AB2123" i="6"/>
  <c r="AH2125" i="6" l="1"/>
  <c r="Y2126" i="6"/>
  <c r="AG2125" i="6"/>
  <c r="AE2125" i="6"/>
  <c r="AF2125" i="6" s="1"/>
  <c r="AC2125" i="6"/>
  <c r="AA2125" i="6"/>
  <c r="Z2125" i="6" s="1"/>
  <c r="AB2124" i="6"/>
  <c r="AD2124" i="6"/>
  <c r="AD2125" i="6" l="1"/>
  <c r="AB2125" i="6"/>
  <c r="AG2126" i="6"/>
  <c r="Y2127" i="6"/>
  <c r="AH2126" i="6"/>
  <c r="AE2126" i="6"/>
  <c r="AF2126" i="6" s="1"/>
  <c r="AC2126" i="6"/>
  <c r="AA2126" i="6"/>
  <c r="Z2126" i="6" s="1"/>
  <c r="AD2126" i="6" l="1"/>
  <c r="AB2126" i="6"/>
  <c r="AH2127" i="6"/>
  <c r="Y2128" i="6"/>
  <c r="AG2127" i="6"/>
  <c r="AE2127" i="6"/>
  <c r="AF2127" i="6" s="1"/>
  <c r="AC2127" i="6"/>
  <c r="AA2127" i="6"/>
  <c r="Z2127" i="6" s="1"/>
  <c r="AB2127" i="6" l="1"/>
  <c r="AD2127" i="6"/>
  <c r="AC2128" i="6"/>
  <c r="AE2128" i="6"/>
  <c r="AF2128" i="6" s="1"/>
  <c r="AA2128" i="6"/>
  <c r="Z2128" i="6" s="1"/>
  <c r="Y2129" i="6"/>
  <c r="AH2128" i="6"/>
  <c r="AG2128" i="6"/>
  <c r="AH2129" i="6" l="1"/>
  <c r="AG2129" i="6"/>
  <c r="AE2129" i="6"/>
  <c r="AF2129" i="6" s="1"/>
  <c r="Y2130" i="6"/>
  <c r="AC2129" i="6"/>
  <c r="AA2129" i="6"/>
  <c r="Z2129" i="6" s="1"/>
  <c r="AD2128" i="6"/>
  <c r="AB2128" i="6"/>
  <c r="AD2129" i="6" l="1"/>
  <c r="AB2129" i="6"/>
  <c r="AH2130" i="6"/>
  <c r="Y2131" i="6"/>
  <c r="AA2130" i="6"/>
  <c r="Z2130" i="6" s="1"/>
  <c r="AG2130" i="6"/>
  <c r="AE2130" i="6"/>
  <c r="AF2130" i="6" s="1"/>
  <c r="AC2130" i="6"/>
  <c r="AD2130" i="6" l="1"/>
  <c r="AB2130" i="6"/>
  <c r="Y2132" i="6"/>
  <c r="AG2131" i="6"/>
  <c r="AH2131" i="6"/>
  <c r="AE2131" i="6"/>
  <c r="AF2131" i="6" s="1"/>
  <c r="AC2131" i="6"/>
  <c r="AA2131" i="6"/>
  <c r="Z2131" i="6" s="1"/>
  <c r="AD2131" i="6" l="1"/>
  <c r="AB2131" i="6"/>
  <c r="AE2132" i="6"/>
  <c r="AF2132" i="6" s="1"/>
  <c r="AC2132" i="6"/>
  <c r="AA2132" i="6"/>
  <c r="Z2132" i="6" s="1"/>
  <c r="Y2133" i="6"/>
  <c r="AH2132" i="6"/>
  <c r="AG2132" i="6"/>
  <c r="AH2133" i="6" l="1"/>
  <c r="Y2134" i="6"/>
  <c r="AG2133" i="6"/>
  <c r="AE2133" i="6"/>
  <c r="AF2133" i="6" s="1"/>
  <c r="AC2133" i="6"/>
  <c r="AA2133" i="6"/>
  <c r="Z2133" i="6" s="1"/>
  <c r="AD2132" i="6"/>
  <c r="AB2132" i="6"/>
  <c r="AD2133" i="6" l="1"/>
  <c r="AB2133" i="6"/>
  <c r="AH2134" i="6"/>
  <c r="AC2134" i="6"/>
  <c r="AA2134" i="6"/>
  <c r="Z2134" i="6" s="1"/>
  <c r="Y2135" i="6"/>
  <c r="AG2134" i="6"/>
  <c r="AE2134" i="6"/>
  <c r="AF2134" i="6" s="1"/>
  <c r="AC2135" i="6" l="1"/>
  <c r="AA2135" i="6"/>
  <c r="Z2135" i="6" s="1"/>
  <c r="Y2136" i="6"/>
  <c r="AH2135" i="6"/>
  <c r="AG2135" i="6"/>
  <c r="AE2135" i="6"/>
  <c r="AF2135" i="6" s="1"/>
  <c r="AB2134" i="6"/>
  <c r="AD2134" i="6"/>
  <c r="AH2136" i="6" l="1"/>
  <c r="Y2137" i="6"/>
  <c r="AG2136" i="6"/>
  <c r="AE2136" i="6"/>
  <c r="AF2136" i="6" s="1"/>
  <c r="AC2136" i="6"/>
  <c r="AA2136" i="6"/>
  <c r="Z2136" i="6" s="1"/>
  <c r="AD2135" i="6"/>
  <c r="AB2135" i="6"/>
  <c r="AD2136" i="6" l="1"/>
  <c r="AB2136" i="6"/>
  <c r="AE2137" i="6"/>
  <c r="AF2137" i="6" s="1"/>
  <c r="Y2138" i="6"/>
  <c r="AH2137" i="6"/>
  <c r="AG2137" i="6"/>
  <c r="AC2137" i="6"/>
  <c r="AA2137" i="6"/>
  <c r="Z2137" i="6" s="1"/>
  <c r="AD2137" i="6" l="1"/>
  <c r="AB2137" i="6"/>
  <c r="AH2138" i="6"/>
  <c r="AG2138" i="6"/>
  <c r="AE2138" i="6"/>
  <c r="AF2138" i="6" s="1"/>
  <c r="AC2138" i="6"/>
  <c r="Y2139" i="6"/>
  <c r="AA2138" i="6"/>
  <c r="Z2138" i="6" s="1"/>
  <c r="AH2139" i="6" l="1"/>
  <c r="Y2140" i="6"/>
  <c r="AG2139" i="6"/>
  <c r="AE2139" i="6"/>
  <c r="AF2139" i="6" s="1"/>
  <c r="AC2139" i="6"/>
  <c r="AA2139" i="6"/>
  <c r="Z2139" i="6" s="1"/>
  <c r="AD2138" i="6"/>
  <c r="AB2138" i="6"/>
  <c r="AD2139" i="6" l="1"/>
  <c r="AB2139" i="6"/>
  <c r="Y2141" i="6"/>
  <c r="AH2140" i="6"/>
  <c r="AG2140" i="6"/>
  <c r="AE2140" i="6"/>
  <c r="AF2140" i="6" s="1"/>
  <c r="AC2140" i="6"/>
  <c r="AA2140" i="6"/>
  <c r="Z2140" i="6" s="1"/>
  <c r="AD2140" i="6" l="1"/>
  <c r="AB2140" i="6"/>
  <c r="AH2141" i="6"/>
  <c r="Y2142" i="6"/>
  <c r="AA2141" i="6"/>
  <c r="Z2141" i="6" s="1"/>
  <c r="AG2141" i="6"/>
  <c r="AC2141" i="6"/>
  <c r="AE2141" i="6"/>
  <c r="AF2141" i="6" s="1"/>
  <c r="AD2141" i="6" l="1"/>
  <c r="AB2141" i="6"/>
  <c r="AG2142" i="6"/>
  <c r="AC2142" i="6"/>
  <c r="AA2142" i="6"/>
  <c r="Z2142" i="6" s="1"/>
  <c r="AE2142" i="6"/>
  <c r="AF2142" i="6" s="1"/>
  <c r="Y2143" i="6"/>
  <c r="AH2142" i="6"/>
  <c r="Y2144" i="6" l="1"/>
  <c r="AH2143" i="6"/>
  <c r="AG2143" i="6"/>
  <c r="AE2143" i="6"/>
  <c r="AF2143" i="6" s="1"/>
  <c r="AC2143" i="6"/>
  <c r="AA2143" i="6"/>
  <c r="Z2143" i="6" s="1"/>
  <c r="AD2142" i="6"/>
  <c r="AB2142" i="6"/>
  <c r="AD2143" i="6" l="1"/>
  <c r="AB2143" i="6"/>
  <c r="AH2144" i="6"/>
  <c r="AC2144" i="6"/>
  <c r="Y2145" i="6"/>
  <c r="AG2144" i="6"/>
  <c r="AE2144" i="6"/>
  <c r="AF2144" i="6" s="1"/>
  <c r="AA2144" i="6"/>
  <c r="Z2144" i="6" s="1"/>
  <c r="AD2144" i="6" l="1"/>
  <c r="AB2144" i="6"/>
  <c r="Y2146" i="6"/>
  <c r="AH2145" i="6"/>
  <c r="AG2145" i="6"/>
  <c r="AC2145" i="6"/>
  <c r="AE2145" i="6"/>
  <c r="AF2145" i="6" s="1"/>
  <c r="AA2145" i="6"/>
  <c r="Z2145" i="6" s="1"/>
  <c r="AD2145" i="6" l="1"/>
  <c r="AB2145" i="6"/>
  <c r="AA2146" i="6"/>
  <c r="Z2146" i="6" s="1"/>
  <c r="AC2146" i="6"/>
  <c r="AG2146" i="6"/>
  <c r="Y2147" i="6"/>
  <c r="AH2146" i="6"/>
  <c r="AE2146" i="6"/>
  <c r="AF2146" i="6" s="1"/>
  <c r="AH2147" i="6" l="1"/>
  <c r="Y2148" i="6"/>
  <c r="AG2147" i="6"/>
  <c r="AE2147" i="6"/>
  <c r="AF2147" i="6" s="1"/>
  <c r="AC2147" i="6"/>
  <c r="AA2147" i="6"/>
  <c r="Z2147" i="6" s="1"/>
  <c r="AB2146" i="6"/>
  <c r="AD2146" i="6"/>
  <c r="AD2147" i="6" l="1"/>
  <c r="AB2147" i="6"/>
  <c r="AH2148" i="6"/>
  <c r="AC2148" i="6"/>
  <c r="AA2148" i="6"/>
  <c r="Z2148" i="6" s="1"/>
  <c r="Y2149" i="6"/>
  <c r="AG2148" i="6"/>
  <c r="AE2148" i="6"/>
  <c r="AF2148" i="6" s="1"/>
  <c r="AE2149" i="6" l="1"/>
  <c r="AF2149" i="6" s="1"/>
  <c r="AC2149" i="6"/>
  <c r="AA2149" i="6"/>
  <c r="Z2149" i="6" s="1"/>
  <c r="Y2150" i="6"/>
  <c r="AH2149" i="6"/>
  <c r="AG2149" i="6"/>
  <c r="AB2148" i="6"/>
  <c r="AD2148" i="6"/>
  <c r="AH2150" i="6" l="1"/>
  <c r="Y2151" i="6"/>
  <c r="AG2150" i="6"/>
  <c r="AE2150" i="6"/>
  <c r="AF2150" i="6" s="1"/>
  <c r="AC2150" i="6"/>
  <c r="AA2150" i="6"/>
  <c r="Z2150" i="6" s="1"/>
  <c r="AD2149" i="6"/>
  <c r="AB2149" i="6"/>
  <c r="AD2150" i="6" l="1"/>
  <c r="AB2150" i="6"/>
  <c r="AG2151" i="6"/>
  <c r="AE2151" i="6"/>
  <c r="AF2151" i="6" s="1"/>
  <c r="AA2151" i="6"/>
  <c r="Z2151" i="6" s="1"/>
  <c r="AH2151" i="6"/>
  <c r="Y2152" i="6"/>
  <c r="AC2151" i="6"/>
  <c r="AD2151" i="6" l="1"/>
  <c r="AB2151" i="6"/>
  <c r="AH2152" i="6"/>
  <c r="Y2153" i="6"/>
  <c r="AG2152" i="6"/>
  <c r="AE2152" i="6"/>
  <c r="AF2152" i="6" s="1"/>
  <c r="AA2152" i="6"/>
  <c r="Z2152" i="6" s="1"/>
  <c r="AC2152" i="6"/>
  <c r="AB2152" i="6" l="1"/>
  <c r="AD2152" i="6"/>
  <c r="AH2153" i="6"/>
  <c r="AA2153" i="6"/>
  <c r="Z2153" i="6" s="1"/>
  <c r="Y2154" i="6"/>
  <c r="AG2153" i="6"/>
  <c r="AE2153" i="6"/>
  <c r="AF2153" i="6" s="1"/>
  <c r="AC2153" i="6"/>
  <c r="AD2153" i="6" l="1"/>
  <c r="AB2153" i="6"/>
  <c r="Y2155" i="6"/>
  <c r="AH2154" i="6"/>
  <c r="AG2154" i="6"/>
  <c r="AE2154" i="6"/>
  <c r="AF2154" i="6" s="1"/>
  <c r="AC2154" i="6"/>
  <c r="AA2154" i="6"/>
  <c r="Z2154" i="6" s="1"/>
  <c r="AD2154" i="6" l="1"/>
  <c r="AB2154" i="6"/>
  <c r="AH2155" i="6"/>
  <c r="AG2155" i="6"/>
  <c r="AE2155" i="6"/>
  <c r="AF2155" i="6" s="1"/>
  <c r="AA2155" i="6"/>
  <c r="Z2155" i="6" s="1"/>
  <c r="Y2156" i="6"/>
  <c r="AC2155" i="6"/>
  <c r="AD2155" i="6" l="1"/>
  <c r="AB2155" i="6"/>
  <c r="Y2157" i="6"/>
  <c r="AH2156" i="6"/>
  <c r="AG2156" i="6"/>
  <c r="AE2156" i="6"/>
  <c r="AF2156" i="6" s="1"/>
  <c r="AC2156" i="6"/>
  <c r="AA2156" i="6"/>
  <c r="Z2156" i="6" s="1"/>
  <c r="AD2156" i="6" l="1"/>
  <c r="AB2156" i="6"/>
  <c r="AA2157" i="6"/>
  <c r="Z2157" i="6" s="1"/>
  <c r="Y2158" i="6"/>
  <c r="AE2157" i="6"/>
  <c r="AF2157" i="6" s="1"/>
  <c r="AH2157" i="6"/>
  <c r="AG2157" i="6"/>
  <c r="AC2157" i="6"/>
  <c r="AD2157" i="6" l="1"/>
  <c r="AB2157" i="6"/>
  <c r="AH2158" i="6"/>
  <c r="AG2158" i="6"/>
  <c r="AE2158" i="6"/>
  <c r="AF2158" i="6" s="1"/>
  <c r="AC2158" i="6"/>
  <c r="Y2159" i="6"/>
  <c r="AA2158" i="6"/>
  <c r="Z2158" i="6" s="1"/>
  <c r="Y2160" i="6" l="1"/>
  <c r="AG2159" i="6"/>
  <c r="AE2159" i="6"/>
  <c r="AF2159" i="6" s="1"/>
  <c r="AH2159" i="6"/>
  <c r="AC2159" i="6"/>
  <c r="AA2159" i="6"/>
  <c r="Z2159" i="6" s="1"/>
  <c r="AD2158" i="6"/>
  <c r="AB2158" i="6"/>
  <c r="AD2159" i="6" l="1"/>
  <c r="AB2159" i="6"/>
  <c r="AC2160" i="6"/>
  <c r="AA2160" i="6"/>
  <c r="Z2160" i="6" s="1"/>
  <c r="Y2161" i="6"/>
  <c r="AH2160" i="6"/>
  <c r="AG2160" i="6"/>
  <c r="AE2160" i="6"/>
  <c r="AF2160" i="6" s="1"/>
  <c r="AH2161" i="6" l="1"/>
  <c r="Y2162" i="6"/>
  <c r="AG2161" i="6"/>
  <c r="AE2161" i="6"/>
  <c r="AF2161" i="6" s="1"/>
  <c r="AC2161" i="6"/>
  <c r="AA2161" i="6"/>
  <c r="Z2161" i="6" s="1"/>
  <c r="AB2160" i="6"/>
  <c r="AD2160" i="6"/>
  <c r="AD2161" i="6" l="1"/>
  <c r="AB2161" i="6"/>
  <c r="Y2163" i="6"/>
  <c r="AG2162" i="6"/>
  <c r="AE2162" i="6"/>
  <c r="AF2162" i="6" s="1"/>
  <c r="AC2162" i="6"/>
  <c r="AA2162" i="6"/>
  <c r="Z2162" i="6" s="1"/>
  <c r="AH2162" i="6"/>
  <c r="AB2162" i="6" l="1"/>
  <c r="AD2162" i="6"/>
  <c r="AH2163" i="6"/>
  <c r="AG2163" i="6"/>
  <c r="AE2163" i="6"/>
  <c r="AF2163" i="6" s="1"/>
  <c r="AC2163" i="6"/>
  <c r="AA2163" i="6"/>
  <c r="Z2163" i="6" s="1"/>
  <c r="Y2164" i="6"/>
  <c r="AH2164" i="6" l="1"/>
  <c r="Y2165" i="6"/>
  <c r="AG2164" i="6"/>
  <c r="AA2164" i="6"/>
  <c r="Z2164" i="6" s="1"/>
  <c r="AE2164" i="6"/>
  <c r="AF2164" i="6" s="1"/>
  <c r="AC2164" i="6"/>
  <c r="AD2163" i="6"/>
  <c r="AB2163" i="6"/>
  <c r="AD2164" i="6" l="1"/>
  <c r="AB2164" i="6"/>
  <c r="Y2166" i="6"/>
  <c r="AH2165" i="6"/>
  <c r="AG2165" i="6"/>
  <c r="AE2165" i="6"/>
  <c r="AF2165" i="6" s="1"/>
  <c r="AC2165" i="6"/>
  <c r="AA2165" i="6"/>
  <c r="Z2165" i="6" s="1"/>
  <c r="AD2165" i="6" l="1"/>
  <c r="AB2165" i="6"/>
  <c r="AH2166" i="6"/>
  <c r="AG2166" i="6"/>
  <c r="AE2166" i="6"/>
  <c r="AF2166" i="6" s="1"/>
  <c r="Y2167" i="6"/>
  <c r="AC2166" i="6"/>
  <c r="AA2166" i="6"/>
  <c r="Z2166" i="6" s="1"/>
  <c r="AD2166" i="6" l="1"/>
  <c r="AB2166" i="6"/>
  <c r="AH2167" i="6"/>
  <c r="Y2168" i="6"/>
  <c r="AG2167" i="6"/>
  <c r="AE2167" i="6"/>
  <c r="AF2167" i="6" s="1"/>
  <c r="AC2167" i="6"/>
  <c r="AA2167" i="6"/>
  <c r="Z2167" i="6" s="1"/>
  <c r="AD2167" i="6" l="1"/>
  <c r="AB2167" i="6"/>
  <c r="AH2168" i="6"/>
  <c r="AG2168" i="6"/>
  <c r="AE2168" i="6"/>
  <c r="AF2168" i="6" s="1"/>
  <c r="AC2168" i="6"/>
  <c r="AA2168" i="6"/>
  <c r="Z2168" i="6" s="1"/>
  <c r="Y2169" i="6"/>
  <c r="AH2169" i="6" l="1"/>
  <c r="AG2169" i="6"/>
  <c r="AE2169" i="6"/>
  <c r="AF2169" i="6" s="1"/>
  <c r="AC2169" i="6"/>
  <c r="Y2170" i="6"/>
  <c r="AA2169" i="6"/>
  <c r="Z2169" i="6" s="1"/>
  <c r="AD2168" i="6"/>
  <c r="AB2168" i="6"/>
  <c r="AH2170" i="6" l="1"/>
  <c r="AG2170" i="6"/>
  <c r="AE2170" i="6"/>
  <c r="AF2170" i="6" s="1"/>
  <c r="AC2170" i="6"/>
  <c r="AA2170" i="6"/>
  <c r="Z2170" i="6" s="1"/>
  <c r="Y2171" i="6"/>
  <c r="AD2169" i="6"/>
  <c r="AB2169" i="6"/>
  <c r="AC2171" i="6" l="1"/>
  <c r="AA2171" i="6"/>
  <c r="Z2171" i="6" s="1"/>
  <c r="Y2172" i="6"/>
  <c r="AH2171" i="6"/>
  <c r="AG2171" i="6"/>
  <c r="AE2171" i="6"/>
  <c r="AF2171" i="6" s="1"/>
  <c r="AD2170" i="6"/>
  <c r="AB2170" i="6"/>
  <c r="AH2172" i="6" l="1"/>
  <c r="Y2173" i="6"/>
  <c r="AG2172" i="6"/>
  <c r="AE2172" i="6"/>
  <c r="AF2172" i="6" s="1"/>
  <c r="AC2172" i="6"/>
  <c r="AA2172" i="6"/>
  <c r="Z2172" i="6" s="1"/>
  <c r="AD2171" i="6"/>
  <c r="AB2171" i="6"/>
  <c r="AD2172" i="6" l="1"/>
  <c r="AB2172" i="6"/>
  <c r="Y2174" i="6"/>
  <c r="AG2173" i="6"/>
  <c r="AE2173" i="6"/>
  <c r="AF2173" i="6" s="1"/>
  <c r="AH2173" i="6"/>
  <c r="AC2173" i="6"/>
  <c r="AA2173" i="6"/>
  <c r="Z2173" i="6" s="1"/>
  <c r="AD2173" i="6" l="1"/>
  <c r="AB2173" i="6"/>
  <c r="Y2175" i="6"/>
  <c r="AH2174" i="6"/>
  <c r="AG2174" i="6"/>
  <c r="AE2174" i="6"/>
  <c r="AF2174" i="6" s="1"/>
  <c r="AC2174" i="6"/>
  <c r="AA2174" i="6"/>
  <c r="Z2174" i="6" s="1"/>
  <c r="AB2174" i="6" l="1"/>
  <c r="AD2174" i="6"/>
  <c r="AH2175" i="6"/>
  <c r="Y2176" i="6"/>
  <c r="AG2175" i="6"/>
  <c r="AE2175" i="6"/>
  <c r="AF2175" i="6" s="1"/>
  <c r="AC2175" i="6"/>
  <c r="AA2175" i="6"/>
  <c r="Z2175" i="6" s="1"/>
  <c r="AD2175" i="6" l="1"/>
  <c r="AB2175" i="6"/>
  <c r="AC2176" i="6"/>
  <c r="AA2176" i="6"/>
  <c r="Z2176" i="6" s="1"/>
  <c r="AG2176" i="6"/>
  <c r="AE2176" i="6"/>
  <c r="AF2176" i="6" s="1"/>
  <c r="Y2177" i="6"/>
  <c r="AH2176" i="6"/>
  <c r="AH2177" i="6" l="1"/>
  <c r="Y2178" i="6"/>
  <c r="AG2177" i="6"/>
  <c r="AE2177" i="6"/>
  <c r="AF2177" i="6" s="1"/>
  <c r="AA2177" i="6"/>
  <c r="Z2177" i="6" s="1"/>
  <c r="AC2177" i="6"/>
  <c r="AB2176" i="6"/>
  <c r="AD2176" i="6"/>
  <c r="AD2177" i="6" l="1"/>
  <c r="AB2177" i="6"/>
  <c r="Y2179" i="6"/>
  <c r="AH2178" i="6"/>
  <c r="AG2178" i="6"/>
  <c r="AE2178" i="6"/>
  <c r="AF2178" i="6" s="1"/>
  <c r="AC2178" i="6"/>
  <c r="AA2178" i="6"/>
  <c r="Z2178" i="6" s="1"/>
  <c r="AD2178" i="6" l="1"/>
  <c r="AB2178" i="6"/>
  <c r="AA2179" i="6"/>
  <c r="Z2179" i="6" s="1"/>
  <c r="Y2180" i="6"/>
  <c r="AH2179" i="6"/>
  <c r="AG2179" i="6"/>
  <c r="AE2179" i="6"/>
  <c r="AF2179" i="6" s="1"/>
  <c r="AC2179" i="6"/>
  <c r="AB2179" i="6" l="1"/>
  <c r="AD2179" i="6"/>
  <c r="AH2180" i="6"/>
  <c r="Y2181" i="6"/>
  <c r="AG2180" i="6"/>
  <c r="AE2180" i="6"/>
  <c r="AF2180" i="6" s="1"/>
  <c r="AC2180" i="6"/>
  <c r="AA2180" i="6"/>
  <c r="Z2180" i="6" s="1"/>
  <c r="AD2180" i="6" l="1"/>
  <c r="AB2180" i="6"/>
  <c r="AH2181" i="6"/>
  <c r="AG2181" i="6"/>
  <c r="Y2182" i="6"/>
  <c r="AE2181" i="6"/>
  <c r="AF2181" i="6" s="1"/>
  <c r="AA2181" i="6"/>
  <c r="Z2181" i="6" s="1"/>
  <c r="AC2181" i="6"/>
  <c r="AD2181" i="6" l="1"/>
  <c r="AB2181" i="6"/>
  <c r="AH2182" i="6"/>
  <c r="AG2182" i="6"/>
  <c r="AE2182" i="6"/>
  <c r="AF2182" i="6" s="1"/>
  <c r="AC2182" i="6"/>
  <c r="AA2182" i="6"/>
  <c r="Z2182" i="6" s="1"/>
  <c r="Y2183" i="6"/>
  <c r="AH2183" i="6" l="1"/>
  <c r="AE2183" i="6"/>
  <c r="AF2183" i="6" s="1"/>
  <c r="AC2183" i="6"/>
  <c r="AA2183" i="6"/>
  <c r="Z2183" i="6" s="1"/>
  <c r="Y2184" i="6"/>
  <c r="AG2183" i="6"/>
  <c r="AD2182" i="6"/>
  <c r="AB2182" i="6"/>
  <c r="AE2184" i="6" l="1"/>
  <c r="AF2184" i="6" s="1"/>
  <c r="AC2184" i="6"/>
  <c r="Y2185" i="6"/>
  <c r="AH2184" i="6"/>
  <c r="AG2184" i="6"/>
  <c r="AA2184" i="6"/>
  <c r="Z2184" i="6" s="1"/>
  <c r="AD2183" i="6"/>
  <c r="AB2183" i="6"/>
  <c r="Y2186" i="6" l="1"/>
  <c r="AH2185" i="6"/>
  <c r="AG2185" i="6"/>
  <c r="AE2185" i="6"/>
  <c r="AF2185" i="6" s="1"/>
  <c r="AA2185" i="6"/>
  <c r="Z2185" i="6" s="1"/>
  <c r="AC2185" i="6"/>
  <c r="AD2184" i="6"/>
  <c r="AB2184" i="6"/>
  <c r="AD2185" i="6" l="1"/>
  <c r="AB2185" i="6"/>
  <c r="AH2186" i="6"/>
  <c r="AG2186" i="6"/>
  <c r="AE2186" i="6"/>
  <c r="AF2186" i="6" s="1"/>
  <c r="AC2186" i="6"/>
  <c r="AA2186" i="6"/>
  <c r="Z2186" i="6" s="1"/>
  <c r="Y2187" i="6"/>
  <c r="AC2187" i="6" l="1"/>
  <c r="Y2188" i="6"/>
  <c r="AH2187" i="6"/>
  <c r="AG2187" i="6"/>
  <c r="AE2187" i="6"/>
  <c r="AF2187" i="6" s="1"/>
  <c r="AA2187" i="6"/>
  <c r="Z2187" i="6" s="1"/>
  <c r="AD2186" i="6"/>
  <c r="AB2186" i="6"/>
  <c r="AH2188" i="6" l="1"/>
  <c r="AG2188" i="6"/>
  <c r="Y2189" i="6"/>
  <c r="AE2188" i="6"/>
  <c r="AF2188" i="6" s="1"/>
  <c r="AC2188" i="6"/>
  <c r="AA2188" i="6"/>
  <c r="Z2188" i="6" s="1"/>
  <c r="AD2187" i="6"/>
  <c r="AB2187" i="6"/>
  <c r="AD2188" i="6" l="1"/>
  <c r="AB2188" i="6"/>
  <c r="AH2189" i="6"/>
  <c r="Y2190" i="6"/>
  <c r="AG2189" i="6"/>
  <c r="AE2189" i="6"/>
  <c r="AF2189" i="6" s="1"/>
  <c r="AC2189" i="6"/>
  <c r="AA2189" i="6"/>
  <c r="Z2189" i="6" s="1"/>
  <c r="AD2189" i="6" l="1"/>
  <c r="AB2189" i="6"/>
  <c r="AA2190" i="6"/>
  <c r="Z2190" i="6" s="1"/>
  <c r="AH2190" i="6"/>
  <c r="AG2190" i="6"/>
  <c r="AE2190" i="6"/>
  <c r="AF2190" i="6" s="1"/>
  <c r="AC2190" i="6"/>
  <c r="Y2191" i="6"/>
  <c r="AH2191" i="6" l="1"/>
  <c r="AC2191" i="6"/>
  <c r="AA2191" i="6"/>
  <c r="Z2191" i="6" s="1"/>
  <c r="Y2192" i="6"/>
  <c r="AE2191" i="6"/>
  <c r="AF2191" i="6" s="1"/>
  <c r="AG2191" i="6"/>
  <c r="AB2190" i="6"/>
  <c r="AD2190" i="6"/>
  <c r="Y2193" i="6" l="1"/>
  <c r="AH2192" i="6"/>
  <c r="AG2192" i="6"/>
  <c r="AE2192" i="6"/>
  <c r="AF2192" i="6" s="1"/>
  <c r="AA2192" i="6"/>
  <c r="Z2192" i="6" s="1"/>
  <c r="AC2192" i="6"/>
  <c r="AD2191" i="6"/>
  <c r="AB2191" i="6"/>
  <c r="AD2192" i="6" l="1"/>
  <c r="AB2192" i="6"/>
  <c r="Y2194" i="6"/>
  <c r="AH2193" i="6"/>
  <c r="AG2193" i="6"/>
  <c r="AE2193" i="6"/>
  <c r="AF2193" i="6" s="1"/>
  <c r="AA2193" i="6"/>
  <c r="Z2193" i="6" s="1"/>
  <c r="AC2193" i="6"/>
  <c r="AD2193" i="6" l="1"/>
  <c r="AB2193" i="6"/>
  <c r="AH2194" i="6"/>
  <c r="AC2194" i="6"/>
  <c r="AA2194" i="6"/>
  <c r="Z2194" i="6" s="1"/>
  <c r="Y2195" i="6"/>
  <c r="AG2194" i="6"/>
  <c r="AE2194" i="6"/>
  <c r="AF2194" i="6" s="1"/>
  <c r="AH2195" i="6" l="1"/>
  <c r="AG2195" i="6"/>
  <c r="AE2195" i="6"/>
  <c r="AF2195" i="6" s="1"/>
  <c r="Y2196" i="6"/>
  <c r="AC2195" i="6"/>
  <c r="AA2195" i="6"/>
  <c r="Z2195" i="6" s="1"/>
  <c r="AD2194" i="6"/>
  <c r="AB2194" i="6"/>
  <c r="AD2195" i="6" l="1"/>
  <c r="AB2195" i="6"/>
  <c r="Y2197" i="6"/>
  <c r="AH2196" i="6"/>
  <c r="AG2196" i="6"/>
  <c r="AE2196" i="6"/>
  <c r="AF2196" i="6" s="1"/>
  <c r="AC2196" i="6"/>
  <c r="AA2196" i="6"/>
  <c r="Z2196" i="6" s="1"/>
  <c r="AD2196" i="6" l="1"/>
  <c r="AB2196" i="6"/>
  <c r="AH2197" i="6"/>
  <c r="Y2198" i="6"/>
  <c r="AG2197" i="6"/>
  <c r="AE2197" i="6"/>
  <c r="AF2197" i="6" s="1"/>
  <c r="AC2197" i="6"/>
  <c r="AA2197" i="6"/>
  <c r="Z2197" i="6" s="1"/>
  <c r="AD2197" i="6" l="1"/>
  <c r="AB2197" i="6"/>
  <c r="AE2198" i="6"/>
  <c r="AF2198" i="6" s="1"/>
  <c r="AC2198" i="6"/>
  <c r="Y2199" i="6"/>
  <c r="AH2198" i="6"/>
  <c r="AG2198" i="6"/>
  <c r="AA2198" i="6"/>
  <c r="Z2198" i="6" s="1"/>
  <c r="Y2200" i="6" l="1"/>
  <c r="AH2199" i="6"/>
  <c r="AG2199" i="6"/>
  <c r="AE2199" i="6"/>
  <c r="AF2199" i="6" s="1"/>
  <c r="AC2199" i="6"/>
  <c r="AA2199" i="6"/>
  <c r="Z2199" i="6" s="1"/>
  <c r="AD2198" i="6"/>
  <c r="AB2198" i="6"/>
  <c r="AD2199" i="6" l="1"/>
  <c r="AB2199" i="6"/>
  <c r="AH2200" i="6"/>
  <c r="AG2200" i="6"/>
  <c r="Y2201" i="6"/>
  <c r="AE2200" i="6"/>
  <c r="AF2200" i="6" s="1"/>
  <c r="AA2200" i="6"/>
  <c r="Z2200" i="6" s="1"/>
  <c r="AC2200" i="6"/>
  <c r="AD2200" i="6" l="1"/>
  <c r="AB2200" i="6"/>
  <c r="AC2201" i="6"/>
  <c r="AA2201" i="6"/>
  <c r="Z2201" i="6" s="1"/>
  <c r="Y2202" i="6"/>
  <c r="AH2201" i="6"/>
  <c r="AE2201" i="6"/>
  <c r="AF2201" i="6" s="1"/>
  <c r="AG2201" i="6"/>
  <c r="AH2202" i="6" l="1"/>
  <c r="AG2202" i="6"/>
  <c r="AE2202" i="6"/>
  <c r="AF2202" i="6" s="1"/>
  <c r="AC2202" i="6"/>
  <c r="AA2202" i="6"/>
  <c r="Z2202" i="6" s="1"/>
  <c r="Y2203" i="6"/>
  <c r="AD2201" i="6"/>
  <c r="AB2201" i="6"/>
  <c r="Y2204" i="6" l="1"/>
  <c r="AH2203" i="6"/>
  <c r="AE2203" i="6"/>
  <c r="AF2203" i="6" s="1"/>
  <c r="AA2203" i="6"/>
  <c r="Z2203" i="6" s="1"/>
  <c r="AG2203" i="6"/>
  <c r="AC2203" i="6"/>
  <c r="AD2202" i="6"/>
  <c r="AB2202" i="6"/>
  <c r="AD2203" i="6" l="1"/>
  <c r="AB2203" i="6"/>
  <c r="AA2204" i="6"/>
  <c r="Z2204" i="6" s="1"/>
  <c r="AH2204" i="6"/>
  <c r="Y2205" i="6"/>
  <c r="AG2204" i="6"/>
  <c r="AE2204" i="6"/>
  <c r="AF2204" i="6" s="1"/>
  <c r="AC2204" i="6"/>
  <c r="AB2204" i="6" l="1"/>
  <c r="AD2204" i="6"/>
  <c r="AH2205" i="6"/>
  <c r="Y2206" i="6"/>
  <c r="AG2205" i="6"/>
  <c r="AE2205" i="6"/>
  <c r="AF2205" i="6" s="1"/>
  <c r="AC2205" i="6"/>
  <c r="AA2205" i="6"/>
  <c r="Z2205" i="6" s="1"/>
  <c r="AD2205" i="6" l="1"/>
  <c r="AB2205" i="6"/>
  <c r="Y2207" i="6"/>
  <c r="AH2206" i="6"/>
  <c r="AG2206" i="6"/>
  <c r="AC2206" i="6"/>
  <c r="AE2206" i="6"/>
  <c r="AF2206" i="6" s="1"/>
  <c r="AA2206" i="6"/>
  <c r="Z2206" i="6" s="1"/>
  <c r="AD2206" i="6" l="1"/>
  <c r="AB2206" i="6"/>
  <c r="AH2207" i="6"/>
  <c r="AG2207" i="6"/>
  <c r="AE2207" i="6"/>
  <c r="AF2207" i="6" s="1"/>
  <c r="AC2207" i="6"/>
  <c r="AA2207" i="6"/>
  <c r="Z2207" i="6" s="1"/>
  <c r="Y2208" i="6"/>
  <c r="AH2208" i="6" l="1"/>
  <c r="Y2209" i="6"/>
  <c r="AG2208" i="6"/>
  <c r="AE2208" i="6"/>
  <c r="AF2208" i="6" s="1"/>
  <c r="AC2208" i="6"/>
  <c r="AA2208" i="6"/>
  <c r="Z2208" i="6" s="1"/>
  <c r="AD2207" i="6"/>
  <c r="AB2207" i="6"/>
  <c r="AD2208" i="6" l="1"/>
  <c r="AB2208" i="6"/>
  <c r="AH2209" i="6"/>
  <c r="AG2209" i="6"/>
  <c r="AE2209" i="6"/>
  <c r="AF2209" i="6" s="1"/>
  <c r="AA2209" i="6"/>
  <c r="Z2209" i="6" s="1"/>
  <c r="Y2210" i="6"/>
  <c r="AC2209" i="6"/>
  <c r="AD2209" i="6" l="1"/>
  <c r="AB2209" i="6"/>
  <c r="Y2211" i="6"/>
  <c r="AH2210" i="6"/>
  <c r="AG2210" i="6"/>
  <c r="AE2210" i="6"/>
  <c r="AF2210" i="6" s="1"/>
  <c r="AC2210" i="6"/>
  <c r="AA2210" i="6"/>
  <c r="Z2210" i="6" s="1"/>
  <c r="AD2210" i="6" l="1"/>
  <c r="AB2210" i="6"/>
  <c r="Y2212" i="6"/>
  <c r="AH2211" i="6"/>
  <c r="AG2211" i="6"/>
  <c r="AE2211" i="6"/>
  <c r="AF2211" i="6" s="1"/>
  <c r="AC2211" i="6"/>
  <c r="AA2211" i="6"/>
  <c r="Z2211" i="6" s="1"/>
  <c r="AD2211" i="6" l="1"/>
  <c r="AB2211" i="6"/>
  <c r="AE2212" i="6"/>
  <c r="AF2212" i="6" s="1"/>
  <c r="AC2212" i="6"/>
  <c r="AG2212" i="6"/>
  <c r="AA2212" i="6"/>
  <c r="Z2212" i="6" s="1"/>
  <c r="Y2213" i="6"/>
  <c r="AH2212" i="6"/>
  <c r="Y2214" i="6" l="1"/>
  <c r="AH2213" i="6"/>
  <c r="AA2213" i="6"/>
  <c r="Z2213" i="6" s="1"/>
  <c r="AE2213" i="6"/>
  <c r="AF2213" i="6" s="1"/>
  <c r="AC2213" i="6"/>
  <c r="AG2213" i="6"/>
  <c r="AD2212" i="6"/>
  <c r="AB2212" i="6"/>
  <c r="AB2213" i="6" l="1"/>
  <c r="AD2213" i="6"/>
  <c r="Y2215" i="6"/>
  <c r="AH2214" i="6"/>
  <c r="AG2214" i="6"/>
  <c r="AE2214" i="6"/>
  <c r="AF2214" i="6" s="1"/>
  <c r="AC2214" i="6"/>
  <c r="AA2214" i="6"/>
  <c r="Z2214" i="6" s="1"/>
  <c r="AD2214" i="6" l="1"/>
  <c r="AB2214" i="6"/>
  <c r="AC2215" i="6"/>
  <c r="AA2215" i="6"/>
  <c r="Z2215" i="6" s="1"/>
  <c r="Y2216" i="6"/>
  <c r="AH2215" i="6"/>
  <c r="AG2215" i="6"/>
  <c r="AE2215" i="6"/>
  <c r="AF2215" i="6" s="1"/>
  <c r="AH2216" i="6" l="1"/>
  <c r="Y2217" i="6"/>
  <c r="AG2216" i="6"/>
  <c r="AE2216" i="6"/>
  <c r="AF2216" i="6" s="1"/>
  <c r="AC2216" i="6"/>
  <c r="AA2216" i="6"/>
  <c r="Z2216" i="6" s="1"/>
  <c r="AD2215" i="6"/>
  <c r="AB2215" i="6"/>
  <c r="AD2216" i="6" l="1"/>
  <c r="AB2216" i="6"/>
  <c r="Y2218" i="6"/>
  <c r="AH2217" i="6"/>
  <c r="AG2217" i="6"/>
  <c r="AE2217" i="6"/>
  <c r="AF2217" i="6" s="1"/>
  <c r="AA2217" i="6"/>
  <c r="Z2217" i="6" s="1"/>
  <c r="AC2217" i="6"/>
  <c r="AD2217" i="6" l="1"/>
  <c r="AB2217" i="6"/>
  <c r="AA2218" i="6"/>
  <c r="Z2218" i="6" s="1"/>
  <c r="AH2218" i="6"/>
  <c r="Y2219" i="6"/>
  <c r="AG2218" i="6"/>
  <c r="AE2218" i="6"/>
  <c r="AF2218" i="6" s="1"/>
  <c r="AC2218" i="6"/>
  <c r="AB2218" i="6" l="1"/>
  <c r="AD2218" i="6"/>
  <c r="Y2220" i="6"/>
  <c r="AH2219" i="6"/>
  <c r="AG2219" i="6"/>
  <c r="AE2219" i="6"/>
  <c r="AF2219" i="6" s="1"/>
  <c r="AC2219" i="6"/>
  <c r="AA2219" i="6"/>
  <c r="Z2219" i="6" s="1"/>
  <c r="AD2219" i="6" l="1"/>
  <c r="AB2219" i="6"/>
  <c r="Y2221" i="6"/>
  <c r="AH2220" i="6"/>
  <c r="AG2220" i="6"/>
  <c r="AE2220" i="6"/>
  <c r="AF2220" i="6" s="1"/>
  <c r="AC2220" i="6"/>
  <c r="AA2220" i="6"/>
  <c r="Z2220" i="6" s="1"/>
  <c r="AD2220" i="6" l="1"/>
  <c r="AB2220" i="6"/>
  <c r="Y2222" i="6"/>
  <c r="AH2221" i="6"/>
  <c r="AG2221" i="6"/>
  <c r="AE2221" i="6"/>
  <c r="AF2221" i="6" s="1"/>
  <c r="AC2221" i="6"/>
  <c r="AA2221" i="6"/>
  <c r="Z2221" i="6" s="1"/>
  <c r="AD2221" i="6" l="1"/>
  <c r="AB2221" i="6"/>
  <c r="AH2222" i="6"/>
  <c r="AG2222" i="6"/>
  <c r="AE2222" i="6"/>
  <c r="AF2222" i="6" s="1"/>
  <c r="AC2222" i="6"/>
  <c r="AA2222" i="6"/>
  <c r="Z2222" i="6" s="1"/>
  <c r="Y2223" i="6"/>
  <c r="AH2223" i="6" l="1"/>
  <c r="AG2223" i="6"/>
  <c r="AE2223" i="6"/>
  <c r="AF2223" i="6" s="1"/>
  <c r="AC2223" i="6"/>
  <c r="AA2223" i="6"/>
  <c r="Z2223" i="6" s="1"/>
  <c r="Y2224" i="6"/>
  <c r="AD2222" i="6"/>
  <c r="AB2222" i="6"/>
  <c r="Y2225" i="6" l="1"/>
  <c r="AC2224" i="6"/>
  <c r="AA2224" i="6"/>
  <c r="Z2224" i="6" s="1"/>
  <c r="AH2224" i="6"/>
  <c r="AE2224" i="6"/>
  <c r="AF2224" i="6" s="1"/>
  <c r="AG2224" i="6"/>
  <c r="AD2223" i="6"/>
  <c r="AB2223" i="6"/>
  <c r="AD2224" i="6" l="1"/>
  <c r="AB2224" i="6"/>
  <c r="Y2226" i="6"/>
  <c r="AH2225" i="6"/>
  <c r="AG2225" i="6"/>
  <c r="AE2225" i="6"/>
  <c r="AF2225" i="6" s="1"/>
  <c r="AC2225" i="6"/>
  <c r="AA2225" i="6"/>
  <c r="Z2225" i="6" s="1"/>
  <c r="AD2225" i="6" l="1"/>
  <c r="AB2225" i="6"/>
  <c r="AE2226" i="6"/>
  <c r="AF2226" i="6" s="1"/>
  <c r="AC2226" i="6"/>
  <c r="AA2226" i="6"/>
  <c r="Z2226" i="6" s="1"/>
  <c r="AH2226" i="6"/>
  <c r="Y2227" i="6"/>
  <c r="AG2226" i="6"/>
  <c r="Y2228" i="6" l="1"/>
  <c r="AH2227" i="6"/>
  <c r="AG2227" i="6"/>
  <c r="AE2227" i="6"/>
  <c r="AF2227" i="6" s="1"/>
  <c r="AC2227" i="6"/>
  <c r="AA2227" i="6"/>
  <c r="Z2227" i="6" s="1"/>
  <c r="AD2226" i="6"/>
  <c r="AB2226" i="6"/>
  <c r="AB2227" i="6" l="1"/>
  <c r="AD2227" i="6"/>
  <c r="Y2229" i="6"/>
  <c r="AH2228" i="6"/>
  <c r="AG2228" i="6"/>
  <c r="AE2228" i="6"/>
  <c r="AF2228" i="6" s="1"/>
  <c r="AC2228" i="6"/>
  <c r="AA2228" i="6"/>
  <c r="Z2228" i="6" s="1"/>
  <c r="AD2228" i="6" l="1"/>
  <c r="AB2228" i="6"/>
  <c r="AC2229" i="6"/>
  <c r="AA2229" i="6"/>
  <c r="Z2229" i="6" s="1"/>
  <c r="AG2229" i="6"/>
  <c r="AE2229" i="6"/>
  <c r="AF2229" i="6" s="1"/>
  <c r="Y2230" i="6"/>
  <c r="AH2229" i="6"/>
  <c r="AH2230" i="6" l="1"/>
  <c r="AG2230" i="6"/>
  <c r="Y2231" i="6"/>
  <c r="AE2230" i="6"/>
  <c r="AF2230" i="6" s="1"/>
  <c r="AC2230" i="6"/>
  <c r="AA2230" i="6"/>
  <c r="Z2230" i="6" s="1"/>
  <c r="AD2229" i="6"/>
  <c r="AB2229" i="6"/>
  <c r="AD2230" i="6" l="1"/>
  <c r="AB2230" i="6"/>
  <c r="Y2232" i="6"/>
  <c r="AH2231" i="6"/>
  <c r="AG2231" i="6"/>
  <c r="AE2231" i="6"/>
  <c r="AF2231" i="6" s="1"/>
  <c r="AC2231" i="6"/>
  <c r="AA2231" i="6"/>
  <c r="Z2231" i="6" s="1"/>
  <c r="AD2231" i="6" l="1"/>
  <c r="AB2231" i="6"/>
  <c r="AA2232" i="6"/>
  <c r="Z2232" i="6" s="1"/>
  <c r="AH2232" i="6"/>
  <c r="Y2233" i="6"/>
  <c r="AG2232" i="6"/>
  <c r="AE2232" i="6"/>
  <c r="AF2232" i="6" s="1"/>
  <c r="AC2232" i="6"/>
  <c r="AB2232" i="6" l="1"/>
  <c r="AD2232" i="6"/>
  <c r="Y2234" i="6"/>
  <c r="AH2233" i="6"/>
  <c r="AG2233" i="6"/>
  <c r="AE2233" i="6"/>
  <c r="AF2233" i="6" s="1"/>
  <c r="AC2233" i="6"/>
  <c r="AA2233" i="6"/>
  <c r="Z2233" i="6" s="1"/>
  <c r="AD2233" i="6" l="1"/>
  <c r="AB2233" i="6"/>
  <c r="Y2235" i="6"/>
  <c r="AH2234" i="6"/>
  <c r="AG2234" i="6"/>
  <c r="AE2234" i="6"/>
  <c r="AF2234" i="6" s="1"/>
  <c r="AC2234" i="6"/>
  <c r="AA2234" i="6"/>
  <c r="Z2234" i="6" s="1"/>
  <c r="AD2234" i="6" l="1"/>
  <c r="AB2234" i="6"/>
  <c r="AH2235" i="6"/>
  <c r="AG2235" i="6"/>
  <c r="AE2235" i="6"/>
  <c r="AF2235" i="6" s="1"/>
  <c r="AC2235" i="6"/>
  <c r="AA2235" i="6"/>
  <c r="Z2235" i="6" s="1"/>
  <c r="Y2236" i="6"/>
  <c r="Y2237" i="6" l="1"/>
  <c r="AH2236" i="6"/>
  <c r="AG2236" i="6"/>
  <c r="AE2236" i="6"/>
  <c r="AF2236" i="6" s="1"/>
  <c r="AC2236" i="6"/>
  <c r="AA2236" i="6"/>
  <c r="Z2236" i="6" s="1"/>
  <c r="AB2235" i="6"/>
  <c r="AD2235" i="6"/>
  <c r="AD2236" i="6" l="1"/>
  <c r="AB2236" i="6"/>
  <c r="AH2237" i="6"/>
  <c r="AG2237" i="6"/>
  <c r="AE2237" i="6"/>
  <c r="AF2237" i="6" s="1"/>
  <c r="AC2237" i="6"/>
  <c r="AA2237" i="6"/>
  <c r="Z2237" i="6" s="1"/>
  <c r="Y2238" i="6"/>
  <c r="Y2239" i="6" l="1"/>
  <c r="AH2238" i="6"/>
  <c r="AG2238" i="6"/>
  <c r="AE2238" i="6"/>
  <c r="AF2238" i="6" s="1"/>
  <c r="AC2238" i="6"/>
  <c r="AA2238" i="6"/>
  <c r="Z2238" i="6" s="1"/>
  <c r="AD2237" i="6"/>
  <c r="AB2237" i="6"/>
  <c r="AD2238" i="6" l="1"/>
  <c r="AB2238" i="6"/>
  <c r="Y2240" i="6"/>
  <c r="AH2239" i="6"/>
  <c r="AG2239" i="6"/>
  <c r="AE2239" i="6"/>
  <c r="AF2239" i="6" s="1"/>
  <c r="AC2239" i="6"/>
  <c r="AA2239" i="6"/>
  <c r="Z2239" i="6" s="1"/>
  <c r="AD2239" i="6" l="1"/>
  <c r="AB2239" i="6"/>
  <c r="AE2240" i="6"/>
  <c r="AF2240" i="6" s="1"/>
  <c r="AC2240" i="6"/>
  <c r="AA2240" i="6"/>
  <c r="Z2240" i="6" s="1"/>
  <c r="AH2240" i="6"/>
  <c r="Y2241" i="6"/>
  <c r="AG2240" i="6"/>
  <c r="Y2242" i="6" l="1"/>
  <c r="AH2241" i="6"/>
  <c r="AG2241" i="6"/>
  <c r="AE2241" i="6"/>
  <c r="AF2241" i="6" s="1"/>
  <c r="AC2241" i="6"/>
  <c r="AA2241" i="6"/>
  <c r="Z2241" i="6" s="1"/>
  <c r="AD2240" i="6"/>
  <c r="AB2240" i="6"/>
  <c r="AB2241" i="6" l="1"/>
  <c r="AD2241" i="6"/>
  <c r="Y2243" i="6"/>
  <c r="AH2242" i="6"/>
  <c r="AG2242" i="6"/>
  <c r="AE2242" i="6"/>
  <c r="AF2242" i="6" s="1"/>
  <c r="AC2242" i="6"/>
  <c r="AA2242" i="6"/>
  <c r="Z2242" i="6" s="1"/>
  <c r="AD2242" i="6" l="1"/>
  <c r="AB2242" i="6"/>
  <c r="AC2243" i="6"/>
  <c r="AA2243" i="6"/>
  <c r="Z2243" i="6" s="1"/>
  <c r="AH2243" i="6"/>
  <c r="AG2243" i="6"/>
  <c r="AE2243" i="6"/>
  <c r="AF2243" i="6" s="1"/>
  <c r="Y2244" i="6"/>
  <c r="AH2244" i="6" l="1"/>
  <c r="Y2245" i="6"/>
  <c r="AG2244" i="6"/>
  <c r="AE2244" i="6"/>
  <c r="AF2244" i="6" s="1"/>
  <c r="AC2244" i="6"/>
  <c r="AA2244" i="6"/>
  <c r="Z2244" i="6" s="1"/>
  <c r="AD2243" i="6"/>
  <c r="AB2243" i="6"/>
  <c r="AD2244" i="6" l="1"/>
  <c r="AB2244" i="6"/>
  <c r="Y2246" i="6"/>
  <c r="AH2245" i="6"/>
  <c r="AG2245" i="6"/>
  <c r="AE2245" i="6"/>
  <c r="AF2245" i="6" s="1"/>
  <c r="AC2245" i="6"/>
  <c r="AA2245" i="6"/>
  <c r="Z2245" i="6" s="1"/>
  <c r="AD2245" i="6" l="1"/>
  <c r="AB2245" i="6"/>
  <c r="AA2246" i="6"/>
  <c r="Z2246" i="6" s="1"/>
  <c r="Y2247" i="6"/>
  <c r="AH2246" i="6"/>
  <c r="AG2246" i="6"/>
  <c r="AE2246" i="6"/>
  <c r="AF2246" i="6" s="1"/>
  <c r="AC2246" i="6"/>
  <c r="AB2246" i="6" l="1"/>
  <c r="AD2246" i="6"/>
  <c r="Y2248" i="6"/>
  <c r="AH2247" i="6"/>
  <c r="AC2247" i="6"/>
  <c r="AA2247" i="6"/>
  <c r="Z2247" i="6" s="1"/>
  <c r="AG2247" i="6"/>
  <c r="AE2247" i="6"/>
  <c r="AF2247" i="6" s="1"/>
  <c r="AD2247" i="6" l="1"/>
  <c r="AB2247" i="6"/>
  <c r="Y2249" i="6"/>
  <c r="AH2248" i="6"/>
  <c r="AG2248" i="6"/>
  <c r="AE2248" i="6"/>
  <c r="AF2248" i="6" s="1"/>
  <c r="AC2248" i="6"/>
  <c r="AA2248" i="6"/>
  <c r="Z2248" i="6" s="1"/>
  <c r="AD2248" i="6" l="1"/>
  <c r="AB2248" i="6"/>
  <c r="Y2250" i="6"/>
  <c r="AH2249" i="6"/>
  <c r="AG2249" i="6"/>
  <c r="AE2249" i="6"/>
  <c r="AF2249" i="6" s="1"/>
  <c r="AC2249" i="6"/>
  <c r="AA2249" i="6"/>
  <c r="Z2249" i="6" s="1"/>
  <c r="AD2249" i="6" l="1"/>
  <c r="AB2249" i="6"/>
  <c r="Y2251" i="6"/>
  <c r="AH2250" i="6"/>
  <c r="AG2250" i="6"/>
  <c r="AA2250" i="6"/>
  <c r="Z2250" i="6" s="1"/>
  <c r="AE2250" i="6"/>
  <c r="AF2250" i="6" s="1"/>
  <c r="AC2250" i="6"/>
  <c r="AD2250" i="6" l="1"/>
  <c r="AB2250" i="6"/>
  <c r="AH2251" i="6"/>
  <c r="AG2251" i="6"/>
  <c r="AE2251" i="6"/>
  <c r="AF2251" i="6" s="1"/>
  <c r="AC2251" i="6"/>
  <c r="AA2251" i="6"/>
  <c r="Z2251" i="6" s="1"/>
  <c r="Y2252" i="6"/>
  <c r="Y2253" i="6" l="1"/>
  <c r="AH2252" i="6"/>
  <c r="AG2252" i="6"/>
  <c r="AE2252" i="6"/>
  <c r="AF2252" i="6" s="1"/>
  <c r="AA2252" i="6"/>
  <c r="Z2252" i="6" s="1"/>
  <c r="AC2252" i="6"/>
  <c r="AD2251" i="6"/>
  <c r="AB2251" i="6"/>
  <c r="AD2252" i="6" l="1"/>
  <c r="AB2252" i="6"/>
  <c r="Y2254" i="6"/>
  <c r="AH2253" i="6"/>
  <c r="AG2253" i="6"/>
  <c r="AE2253" i="6"/>
  <c r="AF2253" i="6" s="1"/>
  <c r="AA2253" i="6"/>
  <c r="Z2253" i="6" s="1"/>
  <c r="AC2253" i="6"/>
  <c r="AD2253" i="6" l="1"/>
  <c r="AB2253" i="6"/>
  <c r="AE2254" i="6"/>
  <c r="AF2254" i="6" s="1"/>
  <c r="AC2254" i="6"/>
  <c r="AA2254" i="6"/>
  <c r="Z2254" i="6" s="1"/>
  <c r="AH2254" i="6"/>
  <c r="AG2254" i="6"/>
  <c r="AD2254" i="6" l="1"/>
  <c r="AB2254" i="6"/>
</calcChain>
</file>

<file path=xl/sharedStrings.xml><?xml version="1.0" encoding="utf-8"?>
<sst xmlns="http://schemas.openxmlformats.org/spreadsheetml/2006/main" count="1441" uniqueCount="478">
  <si>
    <t>12/10/2025</t>
  </si>
  <si>
    <t>Brent</t>
  </si>
  <si>
    <t>WTI</t>
  </si>
  <si>
    <t>BRENT</t>
  </si>
  <si>
    <t>CMA to MEH Premium</t>
  </si>
  <si>
    <t>Link Data Services End of Day</t>
  </si>
  <si>
    <t>US DOMESTIC PIPELINE ASSESSMENTS</t>
  </si>
  <si>
    <t>GRADE</t>
  </si>
  <si>
    <t>CMA</t>
  </si>
  <si>
    <t>mat</t>
  </si>
  <si>
    <t>MEH</t>
  </si>
  <si>
    <t>MIDSWT</t>
  </si>
  <si>
    <t>WTL</t>
  </si>
  <si>
    <t>WTS</t>
  </si>
  <si>
    <t>WTI EX BASIN</t>
  </si>
  <si>
    <t>LLS</t>
  </si>
  <si>
    <t>HLS</t>
  </si>
  <si>
    <t>MARS</t>
  </si>
  <si>
    <t>LOOP SOUR</t>
  </si>
  <si>
    <t>POSEIDON</t>
  </si>
  <si>
    <t>T-HORSE</t>
  </si>
  <si>
    <t>SGC</t>
  </si>
  <si>
    <t>ROCKIES AND MIDCONTINENT PIPELINE ASSESSMENTS</t>
  </si>
  <si>
    <t>BLS CUSHING</t>
  </si>
  <si>
    <t>NIO CUSHING</t>
  </si>
  <si>
    <t>WHITECLIFFS</t>
  </si>
  <si>
    <t>GRAND MESA LT</t>
  </si>
  <si>
    <t>BAKKEN US GULF</t>
  </si>
  <si>
    <t>CANADIAN PIPELINE ASSESSMENTS</t>
  </si>
  <si>
    <t>WCS CUSHING</t>
  </si>
  <si>
    <t>CLK CUSHING</t>
  </si>
  <si>
    <t>AWB CUSHING</t>
  </si>
  <si>
    <t>WCS US GULF</t>
  </si>
  <si>
    <t>CLK US GULF</t>
  </si>
  <si>
    <t>AWB US GULF</t>
  </si>
  <si>
    <t>CLK @ PATOKA</t>
  </si>
  <si>
    <t>PHYSICAL FORWARD PIPELINE ASSESSMENTS</t>
  </si>
  <si>
    <t>3Q26</t>
  </si>
  <si>
    <t>4Q26</t>
  </si>
  <si>
    <t>1Q27</t>
  </si>
  <si>
    <t>2Q27</t>
  </si>
  <si>
    <t>3Q27</t>
  </si>
  <si>
    <t>1H27</t>
  </si>
  <si>
    <t>2H27</t>
  </si>
  <si>
    <t>Cal 27</t>
  </si>
  <si>
    <t>Cal 28</t>
  </si>
  <si>
    <t>Cal 29</t>
  </si>
  <si>
    <t>vs. Cal Month Arrival Dated</t>
  </si>
  <si>
    <t>MEH Premium</t>
  </si>
  <si>
    <t>Decade Loader</t>
  </si>
  <si>
    <t>FFA Curve Value (WS)</t>
  </si>
  <si>
    <t>FOB Level vs ICE Brent</t>
  </si>
  <si>
    <t>Arrival Month</t>
  </si>
  <si>
    <t>Spreads</t>
  </si>
  <si>
    <t>DFLs</t>
  </si>
  <si>
    <t xml:space="preserve">Landed Rotterdam </t>
  </si>
  <si>
    <t>Landed Augusta</t>
  </si>
  <si>
    <t>Landed Kalundborg (720kb)</t>
  </si>
  <si>
    <t>1st</t>
  </si>
  <si>
    <t>2nd</t>
  </si>
  <si>
    <t>3rd</t>
  </si>
  <si>
    <t>**STS at Disport for Buyer's account</t>
  </si>
  <si>
    <t>VLCC Freight LS ($MMs)</t>
  </si>
  <si>
    <t>Marker Grade</t>
  </si>
  <si>
    <t>Grade Marker</t>
  </si>
  <si>
    <t>FOB  diff</t>
  </si>
  <si>
    <t xml:space="preserve">vs June ICE Brent </t>
  </si>
  <si>
    <t xml:space="preserve">vs July ICE Brent </t>
  </si>
  <si>
    <t>WTI (Corpus)</t>
  </si>
  <si>
    <t>EF45*</t>
  </si>
  <si>
    <t>Mars VLCC (LOOP)</t>
  </si>
  <si>
    <t>Mars</t>
  </si>
  <si>
    <t>WTL (Corpus)</t>
  </si>
  <si>
    <t>CLK (Freeport)</t>
  </si>
  <si>
    <t>AWB</t>
  </si>
  <si>
    <t>WTI MIDLAND / BRENT EFP Arbs</t>
  </si>
  <si>
    <t>WTI Avails</t>
  </si>
  <si>
    <t>US Load Month</t>
  </si>
  <si>
    <r>
      <rPr>
        <b/>
        <sz val="11"/>
        <color rgb="FFFF0000"/>
        <rFont val="Calibri"/>
        <family val="2"/>
        <scheme val="minor"/>
      </rPr>
      <t>(Closed)</t>
    </r>
    <r>
      <rPr>
        <sz val="11"/>
        <color theme="1"/>
        <rFont val="Calibri"/>
        <family val="2"/>
        <scheme val="minor"/>
      </rPr>
      <t>/Open</t>
    </r>
  </si>
  <si>
    <t>Europe Arrival Month</t>
  </si>
  <si>
    <t>Load Window</t>
  </si>
  <si>
    <t>Volume</t>
  </si>
  <si>
    <t>CIF Rotterdam (DATED Cal Month Arrival)</t>
  </si>
  <si>
    <t>DAP Korea (Cal Month DUBAI  M-1 Arrival)</t>
  </si>
  <si>
    <t>Houstom</t>
  </si>
  <si>
    <t>delayed to 23-24</t>
  </si>
  <si>
    <t>Houston</t>
  </si>
  <si>
    <t>can be delayed to 27-28</t>
  </si>
  <si>
    <t>Corpus</t>
  </si>
  <si>
    <t>Sold June EFP</t>
  </si>
  <si>
    <t>EHSC</t>
  </si>
  <si>
    <t>Sold ex-pipe</t>
  </si>
  <si>
    <t>Sold July EFP</t>
  </si>
  <si>
    <t>Total Unsold</t>
  </si>
  <si>
    <t>CFD WEEKS</t>
  </si>
  <si>
    <t>vs. Cal Dtd</t>
  </si>
  <si>
    <t>1-Wkr</t>
  </si>
  <si>
    <t>2-Wkr</t>
  </si>
  <si>
    <t>3-Wkr</t>
  </si>
  <si>
    <r>
      <t xml:space="preserve">WTI arrivals (MEH </t>
    </r>
    <r>
      <rPr>
        <b/>
        <sz val="11"/>
        <color rgb="FFFF0000"/>
        <rFont val="Calibri"/>
        <family val="2"/>
        <scheme val="minor"/>
      </rPr>
      <t>FLAT</t>
    </r>
    <r>
      <rPr>
        <b/>
        <sz val="11"/>
        <color theme="1"/>
        <rFont val="Calibri"/>
        <family val="2"/>
        <scheme val="minor"/>
      </rPr>
      <t>, Platts pxg)</t>
    </r>
  </si>
  <si>
    <t>Week</t>
  </si>
  <si>
    <t>Balmo</t>
  </si>
  <si>
    <t>CFD Week</t>
  </si>
  <si>
    <t>vs. ICE Brent</t>
  </si>
  <si>
    <t>Diff</t>
  </si>
  <si>
    <t>Delivery Window</t>
  </si>
  <si>
    <t>MEH/Brent</t>
  </si>
  <si>
    <t>FOB Premium</t>
  </si>
  <si>
    <t>Cash Roll</t>
  </si>
  <si>
    <t>Freight+Cost</t>
  </si>
  <si>
    <t>Curve Value</t>
  </si>
  <si>
    <t>USGC Load Window</t>
  </si>
  <si>
    <t>Load WTI</t>
  </si>
  <si>
    <t>Delivery Brent</t>
  </si>
  <si>
    <t>Full Month</t>
  </si>
  <si>
    <t>CFD Weeker</t>
  </si>
  <si>
    <t>Platts Window</t>
  </si>
  <si>
    <t>Gunvor</t>
  </si>
  <si>
    <t>MID/MEH</t>
  </si>
  <si>
    <t>HTT</t>
  </si>
  <si>
    <t>PREMIUM</t>
  </si>
  <si>
    <t>CASH</t>
  </si>
  <si>
    <t>Freight</t>
  </si>
  <si>
    <t>CASH PREMIUM</t>
  </si>
  <si>
    <t>Freight-TD25</t>
  </si>
  <si>
    <t>Freight-TD7</t>
  </si>
  <si>
    <t>Freight-TD25 $/MT</t>
  </si>
  <si>
    <t>Freight-TD7 $/MT</t>
  </si>
  <si>
    <t>ICE Brent</t>
  </si>
  <si>
    <t>CLK</t>
  </si>
  <si>
    <t>Feb</t>
  </si>
  <si>
    <t>March</t>
  </si>
  <si>
    <t>April</t>
  </si>
  <si>
    <t>June</t>
  </si>
  <si>
    <t>September</t>
  </si>
  <si>
    <t>October</t>
  </si>
  <si>
    <t>Taiwan</t>
  </si>
  <si>
    <t>CPC Term</t>
  </si>
  <si>
    <t>CPC Spot</t>
  </si>
  <si>
    <t>Korea</t>
  </si>
  <si>
    <t>SK</t>
  </si>
  <si>
    <t>GS</t>
  </si>
  <si>
    <t>Hyundai</t>
  </si>
  <si>
    <t>Japan</t>
  </si>
  <si>
    <t>Taiyo</t>
  </si>
  <si>
    <t>Cosmo</t>
  </si>
  <si>
    <t>Eneos</t>
  </si>
  <si>
    <t>Singapore Area</t>
  </si>
  <si>
    <t>Load Month</t>
  </si>
  <si>
    <t>P&amp;L</t>
  </si>
  <si>
    <t>EXXON SG</t>
  </si>
  <si>
    <t>Dec</t>
  </si>
  <si>
    <t>PTT</t>
  </si>
  <si>
    <t>Jan</t>
  </si>
  <si>
    <t>SPRC</t>
  </si>
  <si>
    <t>Ampol</t>
  </si>
  <si>
    <t>BSR</t>
  </si>
  <si>
    <t>Geelong</t>
  </si>
  <si>
    <t>May</t>
  </si>
  <si>
    <t>China</t>
  </si>
  <si>
    <t>Unipec</t>
  </si>
  <si>
    <t>India</t>
  </si>
  <si>
    <t>IOC</t>
  </si>
  <si>
    <t>HPCL</t>
  </si>
  <si>
    <t>Reliance</t>
  </si>
  <si>
    <t>November</t>
  </si>
  <si>
    <t>MRPL</t>
  </si>
  <si>
    <t>December</t>
  </si>
  <si>
    <t>BPCL</t>
  </si>
  <si>
    <t>Total</t>
  </si>
  <si>
    <t>kbd</t>
  </si>
  <si>
    <t>EUROPE vs BFOETM Cash (Cal Dated basis)</t>
  </si>
  <si>
    <t>ASIA vs. Murban (m-1 Dubai basis)</t>
  </si>
  <si>
    <t>First decade loaders</t>
  </si>
  <si>
    <t>Second/Third Decade</t>
  </si>
  <si>
    <t>** 2/3 of actual spread</t>
  </si>
  <si>
    <t>Load</t>
  </si>
  <si>
    <t>WTI Sprds</t>
  </si>
  <si>
    <t>Arbs</t>
  </si>
  <si>
    <t>FOB WTI vs. Brent</t>
  </si>
  <si>
    <t>Arrival</t>
  </si>
  <si>
    <t>WTI CIF Rdam</t>
  </si>
  <si>
    <t>FOB Nsea</t>
  </si>
  <si>
    <t>X-Nsea Freight</t>
  </si>
  <si>
    <t>M1-M3 Brent</t>
  </si>
  <si>
    <t>Cash BFOETM</t>
  </si>
  <si>
    <t>Brent Sprds</t>
  </si>
  <si>
    <t>B/D</t>
  </si>
  <si>
    <t>WTI CFR N.Asia vs DUB</t>
  </si>
  <si>
    <t>Murban FOB</t>
  </si>
  <si>
    <t>MURBAN CFR N.Asia vs DUB</t>
  </si>
  <si>
    <t>EFP</t>
  </si>
  <si>
    <t>Cash</t>
  </si>
  <si>
    <t>tvm, ETC</t>
  </si>
  <si>
    <t>Dated</t>
  </si>
  <si>
    <t>Cal-26</t>
  </si>
  <si>
    <t>Cal-27</t>
  </si>
  <si>
    <t>TD25</t>
  </si>
  <si>
    <t>TD9</t>
  </si>
  <si>
    <t>TD22</t>
  </si>
  <si>
    <t>Murban</t>
  </si>
  <si>
    <t>ICE</t>
  </si>
  <si>
    <t>Grade</t>
  </si>
  <si>
    <t>Diff to Dated</t>
  </si>
  <si>
    <t>vs. FM ICE</t>
  </si>
  <si>
    <t>EFP Value</t>
  </si>
  <si>
    <t>Arb?</t>
  </si>
  <si>
    <t>Forties</t>
  </si>
  <si>
    <t>Oseberg</t>
  </si>
  <si>
    <t>Ekofisk</t>
  </si>
  <si>
    <t>Troll</t>
  </si>
  <si>
    <t>Expired</t>
  </si>
  <si>
    <t>WTI Extra Costs</t>
  </si>
  <si>
    <t>CLk Extra Costs</t>
  </si>
  <si>
    <t>Month</t>
  </si>
  <si>
    <t>TD3C</t>
  </si>
  <si>
    <t>TD20</t>
  </si>
  <si>
    <t>Canada</t>
  </si>
  <si>
    <t>XCONT AFRA</t>
  </si>
  <si>
    <t>TD25 $/MT</t>
  </si>
  <si>
    <t>XCONT AFRA $/MT</t>
  </si>
  <si>
    <t>Europe</t>
  </si>
  <si>
    <t>WTI Asia</t>
  </si>
  <si>
    <t>USG/INDIA</t>
  </si>
  <si>
    <t>Murban/China</t>
  </si>
  <si>
    <t>Cal-24</t>
  </si>
  <si>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</si>
  <si>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</si>
  <si>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</si>
  <si>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</si>
  <si>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</si>
  <si>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</si>
  <si>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</si>
  <si>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</si>
  <si>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</si>
  <si>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</si>
  <si>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</si>
  <si>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</si>
  <si>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</si>
  <si>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</si>
  <si>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</si>
  <si>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</si>
  <si>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USG Afra Exc</t>
  </si>
  <si>
    <t>USG AFRA Inc</t>
  </si>
  <si>
    <t>TC11</t>
  </si>
  <si>
    <t>TC20</t>
  </si>
  <si>
    <t>TC23</t>
  </si>
  <si>
    <t>BLPG2</t>
  </si>
  <si>
    <t>X-UK Cont P.</t>
  </si>
  <si>
    <t>TC17</t>
  </si>
  <si>
    <t>TD28</t>
  </si>
  <si>
    <t>Q4-26</t>
  </si>
  <si>
    <t>Q1-27</t>
  </si>
  <si>
    <t>Q2-27</t>
  </si>
  <si>
    <t>Q3-27</t>
  </si>
  <si>
    <t>Q4-27</t>
  </si>
  <si>
    <t>Cal-28</t>
  </si>
  <si>
    <t>Cal-29</t>
  </si>
  <si>
    <t xml:space="preserve"> </t>
  </si>
  <si>
    <t>WSFR 2026</t>
  </si>
  <si>
    <t>N/A</t>
  </si>
  <si>
    <t>USD/Tonne</t>
  </si>
  <si>
    <t>Swaps</t>
  </si>
  <si>
    <t>281-565-5465</t>
  </si>
  <si>
    <t>Pricing In</t>
  </si>
  <si>
    <t>Aug</t>
  </si>
  <si>
    <t>Sep</t>
  </si>
  <si>
    <t>Oct</t>
  </si>
  <si>
    <t>WCS CUSH</t>
  </si>
  <si>
    <t>YXBK</t>
  </si>
  <si>
    <t>Pipeline Schedule</t>
  </si>
  <si>
    <t>MID</t>
  </si>
  <si>
    <t>BONITO</t>
  </si>
  <si>
    <t>WTI CMA</t>
  </si>
  <si>
    <t>BAKKEN</t>
  </si>
  <si>
    <t>CMA ARB</t>
  </si>
  <si>
    <t>US PHYSICAL GRADES</t>
  </si>
  <si>
    <t>3Q19</t>
  </si>
  <si>
    <t>4Q19</t>
  </si>
  <si>
    <t>2H19</t>
  </si>
  <si>
    <t>1Q20</t>
  </si>
  <si>
    <t>2Q20</t>
  </si>
  <si>
    <t>3Q20</t>
  </si>
  <si>
    <t>4Q20</t>
  </si>
  <si>
    <t xml:space="preserve">Cal 20 </t>
  </si>
  <si>
    <t>Cal 21</t>
  </si>
  <si>
    <t>FOB</t>
  </si>
  <si>
    <t>US FINANCIAL MARKET</t>
  </si>
  <si>
    <t>CODE</t>
  </si>
  <si>
    <t>BK / BTD</t>
  </si>
  <si>
    <t>WJ / ARK</t>
  </si>
  <si>
    <t>E5 / ARL</t>
  </si>
  <si>
    <t>YX / ARO</t>
  </si>
  <si>
    <t>YV / ARW</t>
  </si>
  <si>
    <t>HTT/ACM</t>
  </si>
  <si>
    <t>WTT / MSV</t>
  </si>
  <si>
    <t>FF / MLT</t>
  </si>
  <si>
    <t>FH / AVT</t>
  </si>
  <si>
    <t>WTT/MSV</t>
  </si>
  <si>
    <t>YEST_LAST_TRADE</t>
  </si>
  <si>
    <t>LAST_PRIC</t>
  </si>
  <si>
    <t>LAST_PRICE</t>
  </si>
  <si>
    <t>CURRENT_CONTRACT_MONTH_YR</t>
  </si>
  <si>
    <t>PX_SETTLE</t>
  </si>
  <si>
    <t>PX_SETTLE_ACTUAL_RT</t>
  </si>
  <si>
    <t>Contract</t>
  </si>
  <si>
    <t>Last</t>
  </si>
  <si>
    <t>Settle</t>
  </si>
  <si>
    <t>F</t>
  </si>
  <si>
    <t>JAN</t>
  </si>
  <si>
    <t>G</t>
  </si>
  <si>
    <t>FEB</t>
  </si>
  <si>
    <t>H</t>
  </si>
  <si>
    <t>MAR</t>
  </si>
  <si>
    <t>J</t>
  </si>
  <si>
    <t>APR</t>
  </si>
  <si>
    <t>K</t>
  </si>
  <si>
    <t>MAY</t>
  </si>
  <si>
    <t>M</t>
  </si>
  <si>
    <t>JUN</t>
  </si>
  <si>
    <t>N</t>
  </si>
  <si>
    <t>JUL</t>
  </si>
  <si>
    <t>Q</t>
  </si>
  <si>
    <t>AUG</t>
  </si>
  <si>
    <t>U</t>
  </si>
  <si>
    <t>SEP</t>
  </si>
  <si>
    <t>V</t>
  </si>
  <si>
    <t>OCT</t>
  </si>
  <si>
    <t>X</t>
  </si>
  <si>
    <t>NOV</t>
  </si>
  <si>
    <t>Z</t>
  </si>
  <si>
    <t>DEC</t>
  </si>
  <si>
    <t>FSCCY 22 Index</t>
  </si>
  <si>
    <t>FSCLQ Q221 Index</t>
  </si>
  <si>
    <t>FDBSY 22 Index</t>
  </si>
  <si>
    <t>CFVL 22 Index</t>
  </si>
  <si>
    <t>Brent CMA</t>
  </si>
  <si>
    <t>Fm ICE</t>
  </si>
  <si>
    <t>BDSS</t>
  </si>
  <si>
    <t>MURBAN/BRENT SS</t>
  </si>
  <si>
    <t>Change EOM</t>
  </si>
  <si>
    <t>MURBAN</t>
  </si>
  <si>
    <t>OMAN</t>
  </si>
  <si>
    <t>CSW</t>
  </si>
  <si>
    <t>Landed Canada</t>
  </si>
  <si>
    <t>TC2</t>
  </si>
  <si>
    <t>TC6</t>
  </si>
  <si>
    <t>TC14</t>
  </si>
  <si>
    <t>TC9</t>
  </si>
  <si>
    <t>TD22 / USG VLCC</t>
  </si>
  <si>
    <t>TD25 / USG Afra</t>
  </si>
  <si>
    <t>Q4-21</t>
  </si>
  <si>
    <t>Q1-22</t>
  </si>
  <si>
    <t>Q2-22</t>
  </si>
  <si>
    <t>Q3-22</t>
  </si>
  <si>
    <t>Q4-22</t>
  </si>
  <si>
    <t>Q1-23</t>
  </si>
  <si>
    <t>Q2-23</t>
  </si>
  <si>
    <t>Sep-Dec</t>
  </si>
  <si>
    <t>Cal-22</t>
  </si>
  <si>
    <t>Cal-23</t>
  </si>
  <si>
    <t>WSFR 2021</t>
  </si>
  <si>
    <t>TC15</t>
  </si>
  <si>
    <t>Q3-21</t>
  </si>
  <si>
    <t>BITR</t>
  </si>
  <si>
    <t>Change</t>
  </si>
  <si>
    <t>TD1</t>
  </si>
  <si>
    <t>TD2</t>
  </si>
  <si>
    <t>TD4</t>
  </si>
  <si>
    <t>TD5</t>
  </si>
  <si>
    <t>TD6</t>
  </si>
  <si>
    <t>TD12</t>
  </si>
  <si>
    <t>TD14</t>
  </si>
  <si>
    <t>TD15</t>
  </si>
  <si>
    <t>TD17</t>
  </si>
  <si>
    <t>TD18</t>
  </si>
  <si>
    <t>TD21</t>
  </si>
  <si>
    <t>TD23</t>
  </si>
  <si>
    <t>TD24</t>
  </si>
  <si>
    <t xml:space="preserve">TC1 </t>
  </si>
  <si>
    <t>TC2_37</t>
  </si>
  <si>
    <t xml:space="preserve">TC5 </t>
  </si>
  <si>
    <t>TC8</t>
  </si>
  <si>
    <t>TC4</t>
  </si>
  <si>
    <t>TC10</t>
  </si>
  <si>
    <t>TC16</t>
  </si>
  <si>
    <t>BLPG</t>
  </si>
  <si>
    <t>EXPIRATION WTI</t>
  </si>
  <si>
    <t>EXPIRATION BRENT</t>
  </si>
  <si>
    <t>DATE</t>
  </si>
  <si>
    <t>WTI Exp Date</t>
  </si>
  <si>
    <t>WTI Code Month</t>
  </si>
  <si>
    <t>BRENT Exp Date</t>
  </si>
  <si>
    <t>BRENT Code Month</t>
  </si>
  <si>
    <t>WTI Code Month 2</t>
  </si>
  <si>
    <t>ARBS Code Month</t>
  </si>
  <si>
    <t>Spread BRT Code Month</t>
  </si>
  <si>
    <t>DAYS OFF</t>
  </si>
  <si>
    <t>CL</t>
  </si>
  <si>
    <t>LCO</t>
  </si>
  <si>
    <t>Mar</t>
  </si>
  <si>
    <t>Apr</t>
  </si>
  <si>
    <t>Jun</t>
  </si>
  <si>
    <t>Jul</t>
  </si>
  <si>
    <t>Nov</t>
  </si>
  <si>
    <t>HOLIDAYS</t>
  </si>
  <si>
    <t>ASCI</t>
  </si>
  <si>
    <t>WTI ex-Midland</t>
  </si>
  <si>
    <t>(a)</t>
  </si>
  <si>
    <t>Argus WTI Midland Diff</t>
  </si>
  <si>
    <t>(b)</t>
  </si>
  <si>
    <t>Permian Express Tariff</t>
  </si>
  <si>
    <t>1.002 adjustment (TVM, Linefill)</t>
  </si>
  <si>
    <t>WTI ex-Midland landed Nederland</t>
  </si>
  <si>
    <t>Argus MEH Diff</t>
  </si>
  <si>
    <t>Diff vs MEH</t>
  </si>
  <si>
    <t>WTI ex-Cushing</t>
  </si>
  <si>
    <t>Argus WTI Cushing ex-pipe (ex-basin)</t>
  </si>
  <si>
    <t>ML Walkup Tariff</t>
  </si>
  <si>
    <t>WTI ex-Cushing landed Nederland</t>
  </si>
  <si>
    <t>Average</t>
  </si>
  <si>
    <t>TD25 inc</t>
  </si>
  <si>
    <t>CIF Rdam</t>
  </si>
  <si>
    <t>CIF Nsea</t>
  </si>
  <si>
    <t>Open/Closed</t>
  </si>
  <si>
    <t>4Q27</t>
  </si>
  <si>
    <t>Q1-28</t>
  </si>
  <si>
    <t>1Q37</t>
  </si>
  <si>
    <t>2Q28</t>
  </si>
  <si>
    <t>Q328</t>
  </si>
  <si>
    <t>Q428</t>
  </si>
  <si>
    <t>2Q29</t>
  </si>
  <si>
    <t>Q329</t>
  </si>
  <si>
    <t>Q429</t>
  </si>
  <si>
    <t>1Q28</t>
  </si>
  <si>
    <t>HTT-BK</t>
  </si>
  <si>
    <t>Aug DFL</t>
  </si>
  <si>
    <t>Oct Arbs</t>
  </si>
  <si>
    <t>Sep/Oct WTI</t>
  </si>
  <si>
    <t>vs Sep WTI</t>
  </si>
  <si>
    <t>RCV</t>
  </si>
  <si>
    <t>Secondary</t>
  </si>
  <si>
    <t>Breakeven</t>
  </si>
  <si>
    <t>Margin</t>
  </si>
  <si>
    <t>Liza CFR USG</t>
  </si>
  <si>
    <t>Sep SGC</t>
  </si>
  <si>
    <t>Avg. VaR</t>
  </si>
  <si>
    <t>Multiple</t>
  </si>
  <si>
    <t>Max DD</t>
  </si>
  <si>
    <t>% Months Positive</t>
  </si>
  <si>
    <t>3-15 days</t>
  </si>
  <si>
    <t>5-25 days</t>
  </si>
  <si>
    <t>Year</t>
  </si>
  <si>
    <t>Position Held Timeline</t>
  </si>
  <si>
    <t>Snapshot Date</t>
  </si>
  <si>
    <t>FWD Row</t>
  </si>
  <si>
    <t>FWD_History — daily snapshot warehouse</t>
  </si>
  <si>
    <t>Organized by Load Month (Col B = FWD!E)</t>
  </si>
  <si>
    <t>D=MEH(FWD!F) · E=WTI Sprds(FWD!G) · F=Arbs(FWD!H)</t>
  </si>
  <si>
    <t>G=FOB WTI vs Brent(FWD!J) · H=HTT-BK(FWD!K)</t>
  </si>
  <si>
    <t>I=WTI CIF Rdam(FWD!P) · J=Cash BFOETM(FWD!U)</t>
  </si>
  <si>
    <t>Each daily run appends a new ~37-row block stamped by date</t>
  </si>
  <si>
    <t>Next step: analytics</t>
  </si>
  <si>
    <t>1H28</t>
  </si>
  <si>
    <t>A.De</t>
  </si>
  <si>
    <t>A26</t>
  </si>
  <si>
    <t>A27</t>
  </si>
  <si>
    <t>A28</t>
  </si>
  <si>
    <t>Sal</t>
  </si>
  <si>
    <t>NPV @ 5%</t>
  </si>
  <si>
    <t>NPV @ 7%</t>
  </si>
  <si>
    <t>Alt 1 (I80:N80)</t>
  </si>
  <si>
    <t>Alt 2 (I89:N89)</t>
  </si>
  <si>
    <t>SHL LIGHT</t>
  </si>
  <si>
    <t>SHL CRUDE</t>
  </si>
  <si>
    <t>Q2-28</t>
  </si>
  <si>
    <t>TD34</t>
  </si>
  <si>
    <t>Nov-Dec'26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</si>
</sst>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mmm\-yy;@"/>
    <numFmt numFmtId="166" formatCode="0.000"/>
    <numFmt numFmtId="167" formatCode="_(* #,##0_);_(* \(#,##0\);_(* &quot;-&quot;??_);_(@_)"/>
    <numFmt numFmtId="168" formatCode="[$-409]d\-mmm\-yy;@"/>
    <numFmt numFmtId="169" formatCode="mm/dd/yyyy"/>
    <numFmt numFmtId="170" formatCode="0.00_);[Red]\(0.00\)"/>
    <numFmt numFmtId="171" formatCode="[$-409]d\-mmm;@"/>
    <numFmt numFmtId="172" formatCode="&quot;$&quot;#,##0.0000_);[Red]\(&quot;$&quot;#,##0.0000\)"/>
    <numFmt numFmtId="173" formatCode="mmm\-dd"/>
    <numFmt numFmtId="174" formatCode="_(&quot;$&quot;* #,##0_);_(&quot;$&quot;* \(#,##0\);_(&quot;$&quot;* &quot;-&quot;??_);_(@_)"/>
    <numFmt numFmtId="175" formatCode="_(&quot;$&quot;* #,##0.000_);_(&quot;$&quot;* \(#,##0.000\);_(&quot;$&quot;* &quot;-&quot;??_);_(@_)"/>
    <numFmt numFmtId="176" formatCode="&quot;$&quot;#,##0.0_);[Red]\(&quot;$&quot;#,##0.0\)"/>
    <numFmt numFmtId="177" formatCode="##\x"/>
  </numFmts>
  <fonts count="38" x14ac:knownFonts="1">
    <font>
      <sz val="11"/>
      <color theme="1"/>
      <name val="Calibri"/>
      <family val="2"/>
      <scheme val="minor"/>
    </font>
    <font>
      <sz val="12"/>
      <color theme="4" tint="-0.249977111117893"/>
      <name val="Arial Narrow"/>
      <family val="2"/>
    </font>
    <font>
      <b/>
      <sz val="12"/>
      <color theme="4" tint="-0.249977111117893"/>
      <name val="Copperplate Gothic Light"/>
      <family val="2"/>
    </font>
    <font>
      <b/>
      <sz val="12"/>
      <color theme="4" tint="-0.249977111117893"/>
      <name val="Arial Narrow"/>
      <family val="2"/>
    </font>
    <font>
      <b/>
      <sz val="11"/>
      <color theme="4" tint="-0.249977111117893"/>
      <name val="Arial Narrow"/>
      <family val="2"/>
    </font>
    <font>
      <u/>
      <sz val="12"/>
      <color theme="4" tint="-0.249977111117893"/>
      <name val="Arial Narrow"/>
      <family val="2"/>
    </font>
    <font>
      <sz val="11"/>
      <color theme="1"/>
      <name val="Calibri"/>
      <family val="2"/>
      <scheme val="minor"/>
    </font>
    <font>
      <b/>
      <u/>
      <sz val="12"/>
      <color theme="4" tint="-0.249977111117893"/>
      <name val="Arial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58595B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u/>
      <sz val="12"/>
      <color theme="4" tint="-0.249977111117893"/>
      <name val="Calibri"/>
      <family val="2"/>
      <scheme val="minor"/>
    </font>
    <font>
      <i/>
      <sz val="10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3"/>
      <name val="Calibri"/>
      <family val="2"/>
      <scheme val="minor"/>
    </font>
    <font>
      <b/>
      <i/>
      <sz val="1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171" fontId="18" fillId="0" borderId="0"/>
    <xf numFmtId="0" fontId="6" fillId="0" borderId="0"/>
    <xf numFmtId="0" fontId="6" fillId="0" borderId="0"/>
    <xf numFmtId="0" fontId="6" fillId="0" borderId="0"/>
    <xf numFmtId="0" fontId="18" fillId="0" borderId="0"/>
    <xf numFmtId="171" fontId="18" fillId="0" borderId="0"/>
    <xf numFmtId="9" fontId="6" fillId="0" borderId="0" applyFont="0" applyFill="0" applyBorder="0" applyAlignment="0" applyProtection="0"/>
  </cellStyleXfs>
  <cellXfs count="68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43" fontId="1" fillId="0" borderId="0" xfId="1" applyFont="1" applyAlignment="1">
      <alignment horizontal="center" wrapText="1"/>
    </xf>
    <xf numFmtId="16" fontId="1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43" fontId="1" fillId="0" borderId="0" xfId="0" applyNumberFormat="1" applyFont="1" applyAlignment="1">
      <alignment horizontal="center"/>
    </xf>
    <xf numFmtId="43" fontId="1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43" fontId="3" fillId="3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43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7" fontId="3" fillId="0" borderId="7" xfId="0" applyNumberFormat="1" applyFont="1" applyBorder="1" applyAlignment="1">
      <alignment horizontal="center" vertical="center" wrapText="1"/>
    </xf>
    <xf numFmtId="17" fontId="3" fillId="0" borderId="8" xfId="0" applyNumberFormat="1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2" fontId="1" fillId="0" borderId="10" xfId="0" applyNumberFormat="1" applyFont="1" applyBorder="1" applyAlignment="1">
      <alignment horizontal="center" wrapText="1"/>
    </xf>
    <xf numFmtId="2" fontId="1" fillId="0" borderId="11" xfId="0" applyNumberFormat="1" applyFont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2" fontId="1" fillId="0" borderId="13" xfId="0" applyNumberFormat="1" applyFont="1" applyBorder="1" applyAlignment="1">
      <alignment horizontal="center" wrapText="1"/>
    </xf>
    <xf numFmtId="2" fontId="1" fillId="0" borderId="14" xfId="0" applyNumberFormat="1" applyFont="1" applyBorder="1" applyAlignment="1">
      <alignment horizontal="center" wrapText="1"/>
    </xf>
    <xf numFmtId="17" fontId="3" fillId="2" borderId="12" xfId="0" applyNumberFormat="1" applyFont="1" applyFill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17" fontId="1" fillId="2" borderId="18" xfId="0" applyNumberFormat="1" applyFont="1" applyFill="1" applyBorder="1" applyAlignment="1">
      <alignment horizontal="center"/>
    </xf>
    <xf numFmtId="2" fontId="1" fillId="2" borderId="19" xfId="0" applyNumberFormat="1" applyFont="1" applyFill="1" applyBorder="1" applyAlignment="1">
      <alignment horizontal="center"/>
    </xf>
    <xf numFmtId="17" fontId="1" fillId="2" borderId="19" xfId="0" applyNumberFormat="1" applyFont="1" applyFill="1" applyBorder="1" applyAlignment="1">
      <alignment horizontal="center"/>
    </xf>
    <xf numFmtId="2" fontId="3" fillId="2" borderId="19" xfId="0" applyNumberFormat="1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 vertical="center"/>
    </xf>
    <xf numFmtId="17" fontId="3" fillId="0" borderId="24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7" fontId="3" fillId="0" borderId="7" xfId="0" applyNumberFormat="1" applyFont="1" applyBorder="1" applyAlignment="1">
      <alignment horizontal="center" vertical="center"/>
    </xf>
    <xf numFmtId="17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167" fontId="0" fillId="0" borderId="0" xfId="1" applyNumberFormat="1" applyFont="1"/>
    <xf numFmtId="14" fontId="0" fillId="4" borderId="24" xfId="0" applyNumberFormat="1" applyFill="1" applyBorder="1"/>
    <xf numFmtId="43" fontId="0" fillId="0" borderId="0" xfId="0" applyNumberFormat="1"/>
    <xf numFmtId="0" fontId="0" fillId="8" borderId="13" xfId="0" applyFill="1" applyBorder="1"/>
    <xf numFmtId="0" fontId="0" fillId="10" borderId="0" xfId="0" applyFill="1" applyAlignment="1">
      <alignment horizontal="center"/>
    </xf>
    <xf numFmtId="168" fontId="0" fillId="11" borderId="13" xfId="0" applyNumberForma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9" borderId="13" xfId="0" applyFill="1" applyBorder="1"/>
    <xf numFmtId="168" fontId="0" fillId="9" borderId="13" xfId="0" applyNumberFormat="1" applyFill="1" applyBorder="1"/>
    <xf numFmtId="0" fontId="0" fillId="10" borderId="13" xfId="0" applyFill="1" applyBorder="1"/>
    <xf numFmtId="168" fontId="0" fillId="10" borderId="13" xfId="0" applyNumberFormat="1" applyFill="1" applyBorder="1"/>
    <xf numFmtId="14" fontId="0" fillId="11" borderId="13" xfId="0" applyNumberFormat="1" applyFill="1" applyBorder="1" applyAlignment="1">
      <alignment horizontal="center"/>
    </xf>
    <xf numFmtId="0" fontId="0" fillId="8" borderId="47" xfId="0" applyFill="1" applyBorder="1"/>
    <xf numFmtId="0" fontId="0" fillId="12" borderId="13" xfId="0" applyFill="1" applyBorder="1"/>
    <xf numFmtId="16" fontId="0" fillId="12" borderId="13" xfId="0" applyNumberFormat="1" applyFill="1" applyBorder="1"/>
    <xf numFmtId="43" fontId="0" fillId="0" borderId="0" xfId="1" applyFont="1"/>
    <xf numFmtId="0" fontId="11" fillId="4" borderId="0" xfId="0" applyFont="1" applyFill="1"/>
    <xf numFmtId="17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16" fontId="0" fillId="0" borderId="0" xfId="0" applyNumberFormat="1"/>
    <xf numFmtId="14" fontId="13" fillId="0" borderId="62" xfId="0" applyNumberFormat="1" applyFont="1" applyBorder="1" applyAlignment="1">
      <alignment horizontal="right" vertical="center" wrapText="1"/>
    </xf>
    <xf numFmtId="43" fontId="0" fillId="0" borderId="0" xfId="0" applyNumberFormat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3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169" fontId="8" fillId="0" borderId="0" xfId="0" applyNumberFormat="1" applyFont="1"/>
    <xf numFmtId="43" fontId="11" fillId="0" borderId="0" xfId="0" applyNumberFormat="1" applyFont="1" applyAlignment="1">
      <alignment horizontal="center" vertical="center"/>
    </xf>
    <xf numFmtId="0" fontId="0" fillId="6" borderId="0" xfId="0" applyFill="1"/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17" fontId="0" fillId="0" borderId="39" xfId="0" applyNumberFormat="1" applyBorder="1" applyAlignment="1">
      <alignment horizontal="center"/>
    </xf>
    <xf numFmtId="17" fontId="0" fillId="0" borderId="41" xfId="0" applyNumberFormat="1" applyBorder="1" applyAlignment="1">
      <alignment horizontal="center"/>
    </xf>
    <xf numFmtId="16" fontId="11" fillId="4" borderId="0" xfId="0" applyNumberFormat="1" applyFont="1" applyFill="1"/>
    <xf numFmtId="0" fontId="11" fillId="5" borderId="0" xfId="0" applyFont="1" applyFill="1"/>
    <xf numFmtId="17" fontId="0" fillId="11" borderId="39" xfId="0" applyNumberFormat="1" applyFill="1" applyBorder="1" applyAlignment="1">
      <alignment horizontal="center"/>
    </xf>
    <xf numFmtId="43" fontId="0" fillId="11" borderId="45" xfId="0" applyNumberFormat="1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17" fontId="0" fillId="11" borderId="41" xfId="0" applyNumberFormat="1" applyFill="1" applyBorder="1" applyAlignment="1">
      <alignment horizontal="center"/>
    </xf>
    <xf numFmtId="0" fontId="0" fillId="11" borderId="46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170" fontId="0" fillId="7" borderId="47" xfId="0" applyNumberFormat="1" applyFill="1" applyBorder="1" applyAlignment="1">
      <alignment horizontal="center"/>
    </xf>
    <xf numFmtId="17" fontId="0" fillId="7" borderId="39" xfId="0" applyNumberFormat="1" applyFill="1" applyBorder="1" applyAlignment="1">
      <alignment horizontal="center"/>
    </xf>
    <xf numFmtId="43" fontId="0" fillId="7" borderId="45" xfId="0" applyNumberFormat="1" applyFill="1" applyBorder="1" applyAlignment="1">
      <alignment horizontal="center" vertical="center"/>
    </xf>
    <xf numFmtId="17" fontId="0" fillId="7" borderId="41" xfId="0" applyNumberFormat="1" applyFill="1" applyBorder="1" applyAlignment="1">
      <alignment horizontal="center"/>
    </xf>
    <xf numFmtId="43" fontId="0" fillId="7" borderId="0" xfId="0" applyNumberFormat="1" applyFill="1" applyAlignment="1">
      <alignment horizontal="center" vertical="center"/>
    </xf>
    <xf numFmtId="43" fontId="0" fillId="7" borderId="42" xfId="0" applyNumberFormat="1" applyFill="1" applyBorder="1" applyAlignment="1">
      <alignment horizontal="center" vertical="center"/>
    </xf>
    <xf numFmtId="43" fontId="0" fillId="7" borderId="46" xfId="0" applyNumberFormat="1" applyFill="1" applyBorder="1" applyAlignment="1">
      <alignment horizontal="center" vertical="center"/>
    </xf>
    <xf numFmtId="0" fontId="0" fillId="5" borderId="0" xfId="0" applyFill="1"/>
    <xf numFmtId="43" fontId="0" fillId="5" borderId="0" xfId="1" applyFont="1" applyFill="1"/>
    <xf numFmtId="0" fontId="14" fillId="0" borderId="24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17" fontId="14" fillId="13" borderId="59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6" borderId="1" xfId="0" applyFill="1" applyBorder="1"/>
    <xf numFmtId="0" fontId="0" fillId="6" borderId="59" xfId="0" applyFill="1" applyBorder="1"/>
    <xf numFmtId="17" fontId="14" fillId="13" borderId="60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0" xfId="0" applyNumberFormat="1" applyBorder="1" applyAlignment="1">
      <alignment horizontal="center"/>
    </xf>
    <xf numFmtId="0" fontId="14" fillId="13" borderId="60" xfId="0" applyFont="1" applyFill="1" applyBorder="1" applyAlignment="1">
      <alignment horizontal="center"/>
    </xf>
    <xf numFmtId="0" fontId="14" fillId="13" borderId="61" xfId="0" applyFon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0" fontId="14" fillId="0" borderId="0" xfId="0" applyFont="1"/>
    <xf numFmtId="0" fontId="0" fillId="0" borderId="19" xfId="0" applyBorder="1"/>
    <xf numFmtId="2" fontId="14" fillId="0" borderId="22" xfId="0" applyNumberFormat="1" applyFont="1" applyBorder="1" applyAlignment="1">
      <alignment horizontal="center"/>
    </xf>
    <xf numFmtId="0" fontId="0" fillId="6" borderId="4" xfId="0" applyFill="1" applyBorder="1"/>
    <xf numFmtId="2" fontId="0" fillId="6" borderId="5" xfId="0" applyNumberFormat="1" applyFill="1" applyBorder="1" applyAlignment="1">
      <alignment horizontal="center"/>
    </xf>
    <xf numFmtId="2" fontId="0" fillId="0" borderId="4" xfId="0" applyNumberFormat="1" applyBorder="1"/>
    <xf numFmtId="2" fontId="0" fillId="0" borderId="59" xfId="0" applyNumberFormat="1" applyBorder="1" applyAlignment="1">
      <alignment horizontal="center"/>
    </xf>
    <xf numFmtId="17" fontId="14" fillId="13" borderId="61" xfId="0" applyNumberFormat="1" applyFont="1" applyFill="1" applyBorder="1" applyAlignment="1">
      <alignment horizontal="center"/>
    </xf>
    <xf numFmtId="2" fontId="0" fillId="0" borderId="18" xfId="0" applyNumberFormat="1" applyBorder="1"/>
    <xf numFmtId="0" fontId="14" fillId="0" borderId="21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14" fillId="0" borderId="23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14" fillId="13" borderId="5" xfId="0" applyNumberFormat="1" applyFont="1" applyFill="1" applyBorder="1" applyAlignment="1">
      <alignment horizontal="center"/>
    </xf>
    <xf numFmtId="0" fontId="14" fillId="13" borderId="20" xfId="0" applyFont="1" applyFill="1" applyBorder="1" applyAlignment="1">
      <alignment horizontal="center"/>
    </xf>
    <xf numFmtId="17" fontId="14" fillId="13" borderId="3" xfId="0" applyNumberFormat="1" applyFont="1" applyFill="1" applyBorder="1" applyAlignment="1">
      <alignment horizontal="center"/>
    </xf>
    <xf numFmtId="0" fontId="14" fillId="13" borderId="5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39" xfId="0" applyNumberFormat="1" applyBorder="1"/>
    <xf numFmtId="14" fontId="0" fillId="0" borderId="45" xfId="0" applyNumberFormat="1" applyBorder="1"/>
    <xf numFmtId="43" fontId="0" fillId="0" borderId="45" xfId="0" applyNumberFormat="1" applyBorder="1" applyAlignment="1">
      <alignment horizontal="center" vertical="center"/>
    </xf>
    <xf numFmtId="17" fontId="0" fillId="0" borderId="41" xfId="0" applyNumberFormat="1" applyBorder="1"/>
    <xf numFmtId="17" fontId="0" fillId="0" borderId="43" xfId="0" applyNumberFormat="1" applyBorder="1" applyAlignment="1">
      <alignment horizontal="center"/>
    </xf>
    <xf numFmtId="0" fontId="0" fillId="0" borderId="46" xfId="0" applyBorder="1" applyAlignment="1">
      <alignment horizontal="center" vertical="center"/>
    </xf>
    <xf numFmtId="17" fontId="0" fillId="11" borderId="43" xfId="0" applyNumberFormat="1" applyFill="1" applyBorder="1" applyAlignment="1">
      <alignment horizontal="center"/>
    </xf>
    <xf numFmtId="17" fontId="0" fillId="7" borderId="43" xfId="0" applyNumberFormat="1" applyFill="1" applyBorder="1" applyAlignment="1">
      <alignment horizontal="center"/>
    </xf>
    <xf numFmtId="43" fontId="0" fillId="4" borderId="0" xfId="1" applyFont="1" applyFill="1"/>
    <xf numFmtId="0" fontId="19" fillId="0" borderId="0" xfId="0" applyFont="1"/>
    <xf numFmtId="0" fontId="16" fillId="17" borderId="23" xfId="0" applyFont="1" applyFill="1" applyBorder="1" applyAlignment="1">
      <alignment horizontal="center" vertical="center"/>
    </xf>
    <xf numFmtId="0" fontId="16" fillId="18" borderId="23" xfId="0" applyFont="1" applyFill="1" applyBorder="1" applyAlignment="1">
      <alignment horizontal="center" vertical="center"/>
    </xf>
    <xf numFmtId="0" fontId="17" fillId="16" borderId="60" xfId="0" applyFont="1" applyFill="1" applyBorder="1" applyAlignment="1">
      <alignment vertical="center"/>
    </xf>
    <xf numFmtId="0" fontId="17" fillId="16" borderId="5" xfId="0" applyFont="1" applyFill="1" applyBorder="1" applyAlignment="1">
      <alignment vertical="center"/>
    </xf>
    <xf numFmtId="0" fontId="17" fillId="19" borderId="5" xfId="0" applyFont="1" applyFill="1" applyBorder="1" applyAlignment="1">
      <alignment horizontal="center" vertical="center"/>
    </xf>
    <xf numFmtId="0" fontId="17" fillId="20" borderId="60" xfId="0" applyFont="1" applyFill="1" applyBorder="1" applyAlignment="1">
      <alignment vertical="center"/>
    </xf>
    <xf numFmtId="0" fontId="17" fillId="20" borderId="5" xfId="0" applyFont="1" applyFill="1" applyBorder="1" applyAlignment="1">
      <alignment vertical="center"/>
    </xf>
    <xf numFmtId="0" fontId="17" fillId="20" borderId="61" xfId="0" applyFont="1" applyFill="1" applyBorder="1" applyAlignment="1">
      <alignment vertical="center"/>
    </xf>
    <xf numFmtId="0" fontId="17" fillId="20" borderId="20" xfId="0" applyFont="1" applyFill="1" applyBorder="1" applyAlignment="1">
      <alignment vertical="center"/>
    </xf>
    <xf numFmtId="0" fontId="17" fillId="19" borderId="20" xfId="0" applyFont="1" applyFill="1" applyBorder="1" applyAlignment="1">
      <alignment horizontal="center" vertical="center"/>
    </xf>
    <xf numFmtId="43" fontId="16" fillId="19" borderId="5" xfId="0" applyNumberFormat="1" applyFont="1" applyFill="1" applyBorder="1" applyAlignment="1">
      <alignment horizontal="center" vertical="center"/>
    </xf>
    <xf numFmtId="43" fontId="16" fillId="19" borderId="20" xfId="0" applyNumberFormat="1" applyFont="1" applyFill="1" applyBorder="1" applyAlignment="1">
      <alignment horizontal="center" vertical="center"/>
    </xf>
    <xf numFmtId="0" fontId="16" fillId="17" borderId="24" xfId="0" applyFont="1" applyFill="1" applyBorder="1" applyAlignment="1">
      <alignment horizontal="center" vertical="center"/>
    </xf>
    <xf numFmtId="43" fontId="17" fillId="16" borderId="60" xfId="1" applyFont="1" applyFill="1" applyBorder="1" applyAlignment="1">
      <alignment horizontal="center" vertical="center"/>
    </xf>
    <xf numFmtId="43" fontId="17" fillId="20" borderId="60" xfId="1" applyFont="1" applyFill="1" applyBorder="1" applyAlignment="1">
      <alignment horizontal="center" vertical="center"/>
    </xf>
    <xf numFmtId="43" fontId="17" fillId="16" borderId="61" xfId="1" applyFont="1" applyFill="1" applyBorder="1" applyAlignment="1">
      <alignment horizontal="center" vertical="center"/>
    </xf>
    <xf numFmtId="0" fontId="17" fillId="16" borderId="60" xfId="0" applyFont="1" applyFill="1" applyBorder="1" applyAlignment="1">
      <alignment horizontal="center" vertical="center"/>
    </xf>
    <xf numFmtId="14" fontId="17" fillId="16" borderId="60" xfId="0" applyNumberFormat="1" applyFont="1" applyFill="1" applyBorder="1" applyAlignment="1">
      <alignment horizontal="center" vertical="center"/>
    </xf>
    <xf numFmtId="0" fontId="17" fillId="20" borderId="60" xfId="0" applyFont="1" applyFill="1" applyBorder="1" applyAlignment="1">
      <alignment horizontal="center" vertical="center"/>
    </xf>
    <xf numFmtId="14" fontId="17" fillId="20" borderId="60" xfId="0" applyNumberFormat="1" applyFont="1" applyFill="1" applyBorder="1" applyAlignment="1">
      <alignment horizontal="center" vertical="center"/>
    </xf>
    <xf numFmtId="0" fontId="17" fillId="16" borderId="61" xfId="0" applyFont="1" applyFill="1" applyBorder="1" applyAlignment="1">
      <alignment horizontal="center" vertical="center"/>
    </xf>
    <xf numFmtId="14" fontId="17" fillId="16" borderId="61" xfId="0" applyNumberFormat="1" applyFont="1" applyFill="1" applyBorder="1" applyAlignment="1">
      <alignment horizontal="center" vertical="center"/>
    </xf>
    <xf numFmtId="0" fontId="16" fillId="18" borderId="23" xfId="0" applyFont="1" applyFill="1" applyBorder="1" applyAlignment="1">
      <alignment horizontal="center" vertical="center" wrapText="1"/>
    </xf>
    <xf numFmtId="44" fontId="0" fillId="0" borderId="0" xfId="0" applyNumberFormat="1"/>
    <xf numFmtId="0" fontId="19" fillId="4" borderId="0" xfId="0" applyFont="1" applyFill="1"/>
    <xf numFmtId="0" fontId="16" fillId="17" borderId="24" xfId="0" applyFont="1" applyFill="1" applyBorder="1" applyAlignment="1">
      <alignment horizontal="center" vertical="center" wrapText="1"/>
    </xf>
    <xf numFmtId="0" fontId="12" fillId="0" borderId="19" xfId="0" applyFont="1" applyBorder="1"/>
    <xf numFmtId="44" fontId="17" fillId="16" borderId="60" xfId="3" applyFont="1" applyFill="1" applyBorder="1" applyAlignment="1">
      <alignment horizontal="center" vertical="center"/>
    </xf>
    <xf numFmtId="44" fontId="17" fillId="20" borderId="60" xfId="0" applyNumberFormat="1" applyFont="1" applyFill="1" applyBorder="1" applyAlignment="1">
      <alignment horizontal="center" vertical="center"/>
    </xf>
    <xf numFmtId="44" fontId="17" fillId="16" borderId="6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3" fontId="11" fillId="11" borderId="0" xfId="0" applyNumberFormat="1" applyFont="1" applyFill="1" applyAlignment="1">
      <alignment horizontal="center" vertical="center"/>
    </xf>
    <xf numFmtId="43" fontId="11" fillId="11" borderId="0" xfId="1" applyFont="1" applyFill="1" applyBorder="1" applyAlignment="1">
      <alignment horizontal="center" vertical="center"/>
    </xf>
    <xf numFmtId="43" fontId="11" fillId="11" borderId="45" xfId="1" applyFont="1" applyFill="1" applyBorder="1" applyAlignment="1">
      <alignment horizontal="center" vertical="center"/>
    </xf>
    <xf numFmtId="43" fontId="11" fillId="11" borderId="46" xfId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3" fontId="0" fillId="11" borderId="0" xfId="1" applyFont="1" applyFill="1" applyBorder="1" applyAlignment="1">
      <alignment horizontal="center" vertical="center"/>
    </xf>
    <xf numFmtId="43" fontId="6" fillId="11" borderId="0" xfId="1" applyFont="1" applyFill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43" fontId="11" fillId="0" borderId="40" xfId="1" applyFont="1" applyBorder="1" applyAlignment="1">
      <alignment horizontal="center" vertical="center"/>
    </xf>
    <xf numFmtId="43" fontId="11" fillId="0" borderId="42" xfId="1" applyFon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43" fontId="11" fillId="0" borderId="44" xfId="1" applyFont="1" applyBorder="1" applyAlignment="1">
      <alignment horizontal="center" vertical="center"/>
    </xf>
    <xf numFmtId="43" fontId="0" fillId="11" borderId="45" xfId="1" applyFont="1" applyFill="1" applyBorder="1" applyAlignment="1">
      <alignment horizontal="center" vertical="center"/>
    </xf>
    <xf numFmtId="43" fontId="0" fillId="11" borderId="46" xfId="1" applyFont="1" applyFill="1" applyBorder="1" applyAlignment="1">
      <alignment horizontal="center" vertical="center"/>
    </xf>
    <xf numFmtId="0" fontId="0" fillId="5" borderId="42" xfId="0" applyFill="1" applyBorder="1"/>
    <xf numFmtId="43" fontId="0" fillId="7" borderId="0" xfId="1" applyFont="1" applyFill="1" applyBorder="1" applyAlignment="1">
      <alignment horizontal="center"/>
    </xf>
    <xf numFmtId="43" fontId="11" fillId="7" borderId="40" xfId="0" applyNumberFormat="1" applyFont="1" applyFill="1" applyBorder="1" applyAlignment="1">
      <alignment horizontal="center" vertical="center"/>
    </xf>
    <xf numFmtId="43" fontId="11" fillId="7" borderId="42" xfId="0" applyNumberFormat="1" applyFont="1" applyFill="1" applyBorder="1" applyAlignment="1">
      <alignment horizontal="center" vertical="center"/>
    </xf>
    <xf numFmtId="43" fontId="11" fillId="7" borderId="44" xfId="0" applyNumberFormat="1" applyFont="1" applyFill="1" applyBorder="1" applyAlignment="1">
      <alignment horizontal="center" vertical="center"/>
    </xf>
    <xf numFmtId="43" fontId="0" fillId="7" borderId="45" xfId="1" applyFont="1" applyFill="1" applyBorder="1" applyAlignment="1">
      <alignment horizontal="center"/>
    </xf>
    <xf numFmtId="43" fontId="0" fillId="7" borderId="46" xfId="1" applyFont="1" applyFill="1" applyBorder="1" applyAlignment="1">
      <alignment horizontal="center"/>
    </xf>
    <xf numFmtId="170" fontId="11" fillId="7" borderId="40" xfId="0" applyNumberFormat="1" applyFont="1" applyFill="1" applyBorder="1" applyAlignment="1">
      <alignment horizontal="center" vertical="center"/>
    </xf>
    <xf numFmtId="170" fontId="11" fillId="7" borderId="42" xfId="0" applyNumberFormat="1" applyFont="1" applyFill="1" applyBorder="1" applyAlignment="1">
      <alignment horizontal="center" vertical="center"/>
    </xf>
    <xf numFmtId="170" fontId="0" fillId="7" borderId="42" xfId="0" applyNumberFormat="1" applyFill="1" applyBorder="1" applyAlignment="1">
      <alignment horizontal="center" vertical="center"/>
    </xf>
    <xf numFmtId="170" fontId="11" fillId="7" borderId="44" xfId="0" applyNumberFormat="1" applyFont="1" applyFill="1" applyBorder="1" applyAlignment="1">
      <alignment horizontal="center" vertical="center"/>
    </xf>
    <xf numFmtId="170" fontId="11" fillId="21" borderId="48" xfId="0" applyNumberFormat="1" applyFont="1" applyFill="1" applyBorder="1" applyAlignment="1">
      <alignment horizontal="center" vertical="center"/>
    </xf>
    <xf numFmtId="170" fontId="11" fillId="21" borderId="30" xfId="0" applyNumberFormat="1" applyFont="1" applyFill="1" applyBorder="1" applyAlignment="1">
      <alignment horizontal="center" vertical="center"/>
    </xf>
    <xf numFmtId="43" fontId="11" fillId="0" borderId="40" xfId="1" applyFont="1" applyBorder="1" applyAlignment="1">
      <alignment horizontal="center"/>
    </xf>
    <xf numFmtId="0" fontId="0" fillId="11" borderId="13" xfId="0" applyFill="1" applyBorder="1" applyAlignment="1">
      <alignment horizontal="center" vertical="center"/>
    </xf>
    <xf numFmtId="0" fontId="0" fillId="11" borderId="50" xfId="0" applyFill="1" applyBorder="1" applyAlignment="1">
      <alignment horizontal="center" vertical="center"/>
    </xf>
    <xf numFmtId="170" fontId="0" fillId="21" borderId="13" xfId="0" applyNumberForma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7" borderId="47" xfId="0" applyFont="1" applyFill="1" applyBorder="1" applyAlignment="1">
      <alignment horizontal="center"/>
    </xf>
    <xf numFmtId="0" fontId="11" fillId="0" borderId="64" xfId="0" applyFont="1" applyBorder="1" applyAlignment="1">
      <alignment horizontal="left"/>
    </xf>
    <xf numFmtId="0" fontId="0" fillId="4" borderId="0" xfId="0" applyFill="1"/>
    <xf numFmtId="0" fontId="11" fillId="0" borderId="0" xfId="0" applyFont="1" applyAlignment="1">
      <alignment horizontal="center"/>
    </xf>
    <xf numFmtId="43" fontId="11" fillId="0" borderId="47" xfId="1" applyFont="1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43" fontId="0" fillId="5" borderId="46" xfId="0" applyNumberFormat="1" applyFill="1" applyBorder="1"/>
    <xf numFmtId="1" fontId="0" fillId="0" borderId="0" xfId="0" applyNumberFormat="1"/>
    <xf numFmtId="0" fontId="21" fillId="22" borderId="40" xfId="0" applyFont="1" applyFill="1" applyBorder="1" applyAlignment="1">
      <alignment horizontal="center"/>
    </xf>
    <xf numFmtId="14" fontId="21" fillId="22" borderId="45" xfId="0" applyNumberFormat="1" applyFont="1" applyFill="1" applyBorder="1" applyAlignment="1">
      <alignment horizontal="center"/>
    </xf>
    <xf numFmtId="0" fontId="21" fillId="22" borderId="39" xfId="0" applyFont="1" applyFill="1" applyBorder="1" applyAlignment="1">
      <alignment horizontal="center"/>
    </xf>
    <xf numFmtId="43" fontId="0" fillId="21" borderId="45" xfId="1" applyFont="1" applyFill="1" applyBorder="1" applyAlignment="1">
      <alignment horizontal="center"/>
    </xf>
    <xf numFmtId="43" fontId="11" fillId="4" borderId="50" xfId="1" applyFont="1" applyFill="1" applyBorder="1" applyAlignment="1">
      <alignment horizontal="center"/>
    </xf>
    <xf numFmtId="43" fontId="11" fillId="4" borderId="65" xfId="0" applyNumberFormat="1" applyFont="1" applyFill="1" applyBorder="1" applyAlignment="1">
      <alignment horizontal="center"/>
    </xf>
    <xf numFmtId="0" fontId="21" fillId="22" borderId="59" xfId="0" applyFont="1" applyFill="1" applyBorder="1" applyAlignment="1">
      <alignment horizontal="center"/>
    </xf>
    <xf numFmtId="0" fontId="21" fillId="22" borderId="45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43" fontId="0" fillId="21" borderId="46" xfId="1" applyFont="1" applyFill="1" applyBorder="1" applyAlignment="1">
      <alignment horizontal="center"/>
    </xf>
    <xf numFmtId="43" fontId="0" fillId="21" borderId="0" xfId="1" applyFont="1" applyFill="1" applyAlignment="1">
      <alignment horizontal="center"/>
    </xf>
    <xf numFmtId="43" fontId="11" fillId="21" borderId="60" xfId="0" applyNumberFormat="1" applyFont="1" applyFill="1" applyBorder="1" applyAlignment="1">
      <alignment horizontal="center"/>
    </xf>
    <xf numFmtId="43" fontId="11" fillId="21" borderId="65" xfId="0" applyNumberFormat="1" applyFont="1" applyFill="1" applyBorder="1" applyAlignment="1">
      <alignment horizontal="center"/>
    </xf>
    <xf numFmtId="170" fontId="11" fillId="4" borderId="48" xfId="0" applyNumberFormat="1" applyFont="1" applyFill="1" applyBorder="1" applyAlignment="1">
      <alignment horizontal="center" vertical="center"/>
    </xf>
    <xf numFmtId="43" fontId="11" fillId="7" borderId="45" xfId="0" applyNumberFormat="1" applyFont="1" applyFill="1" applyBorder="1" applyAlignment="1">
      <alignment horizontal="center" vertical="center"/>
    </xf>
    <xf numFmtId="43" fontId="11" fillId="7" borderId="0" xfId="0" applyNumberFormat="1" applyFont="1" applyFill="1" applyAlignment="1">
      <alignment horizontal="center" vertical="center"/>
    </xf>
    <xf numFmtId="43" fontId="11" fillId="7" borderId="46" xfId="0" applyNumberFormat="1" applyFont="1" applyFill="1" applyBorder="1" applyAlignment="1">
      <alignment horizontal="center" vertical="center"/>
    </xf>
    <xf numFmtId="17" fontId="0" fillId="4" borderId="39" xfId="0" applyNumberForma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14" borderId="0" xfId="0" applyFont="1" applyFill="1" applyAlignment="1">
      <alignment horizontal="center" wrapText="1"/>
    </xf>
    <xf numFmtId="16" fontId="25" fillId="0" borderId="0" xfId="0" applyNumberFormat="1" applyFont="1" applyAlignment="1">
      <alignment horizontal="center" vertical="center"/>
    </xf>
    <xf numFmtId="0" fontId="23" fillId="0" borderId="2" xfId="0" applyFont="1" applyBorder="1" applyAlignment="1">
      <alignment horizontal="center"/>
    </xf>
    <xf numFmtId="2" fontId="23" fillId="0" borderId="2" xfId="0" applyNumberFormat="1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43" fontId="26" fillId="4" borderId="24" xfId="1" applyFont="1" applyFill="1" applyBorder="1" applyAlignment="1">
      <alignment horizontal="center" wrapText="1"/>
    </xf>
    <xf numFmtId="43" fontId="26" fillId="0" borderId="0" xfId="1" applyFont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3" fillId="4" borderId="0" xfId="0" applyFont="1" applyFill="1" applyAlignment="1">
      <alignment horizontal="center"/>
    </xf>
    <xf numFmtId="0" fontId="23" fillId="0" borderId="0" xfId="3" applyNumberFormat="1" applyFont="1" applyAlignment="1">
      <alignment horizontal="center" vertical="center" wrapText="1"/>
    </xf>
    <xf numFmtId="43" fontId="23" fillId="0" borderId="24" xfId="0" applyNumberFormat="1" applyFont="1" applyBorder="1" applyAlignment="1">
      <alignment horizontal="center"/>
    </xf>
    <xf numFmtId="0" fontId="0" fillId="21" borderId="39" xfId="0" applyFill="1" applyBorder="1" applyAlignment="1">
      <alignment horizontal="center"/>
    </xf>
    <xf numFmtId="14" fontId="0" fillId="21" borderId="45" xfId="0" applyNumberFormat="1" applyFill="1" applyBorder="1" applyAlignment="1">
      <alignment horizontal="center"/>
    </xf>
    <xf numFmtId="0" fontId="0" fillId="21" borderId="40" xfId="0" applyFill="1" applyBorder="1" applyAlignment="1">
      <alignment horizontal="center"/>
    </xf>
    <xf numFmtId="14" fontId="0" fillId="21" borderId="39" xfId="0" applyNumberFormat="1" applyFill="1" applyBorder="1" applyAlignment="1">
      <alignment horizontal="center"/>
    </xf>
    <xf numFmtId="14" fontId="0" fillId="21" borderId="40" xfId="0" applyNumberFormat="1" applyFill="1" applyBorder="1" applyAlignment="1">
      <alignment horizontal="center"/>
    </xf>
    <xf numFmtId="43" fontId="0" fillId="21" borderId="39" xfId="0" applyNumberFormat="1" applyFill="1" applyBorder="1" applyAlignment="1">
      <alignment horizontal="center"/>
    </xf>
    <xf numFmtId="43" fontId="23" fillId="5" borderId="24" xfId="0" applyNumberFormat="1" applyFont="1" applyFill="1" applyBorder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42" xfId="0" applyFill="1" applyBorder="1" applyAlignment="1">
      <alignment horizontal="center"/>
    </xf>
    <xf numFmtId="14" fontId="0" fillId="21" borderId="41" xfId="0" applyNumberFormat="1" applyFill="1" applyBorder="1" applyAlignment="1">
      <alignment horizontal="center"/>
    </xf>
    <xf numFmtId="14" fontId="0" fillId="21" borderId="42" xfId="0" applyNumberFormat="1" applyFill="1" applyBorder="1" applyAlignment="1">
      <alignment horizontal="center"/>
    </xf>
    <xf numFmtId="43" fontId="0" fillId="21" borderId="41" xfId="0" applyNumberFormat="1" applyFill="1" applyBorder="1" applyAlignment="1">
      <alignment horizontal="center"/>
    </xf>
    <xf numFmtId="0" fontId="27" fillId="15" borderId="0" xfId="0" applyFont="1" applyFill="1" applyAlignment="1">
      <alignment horizontal="center" wrapText="1"/>
    </xf>
    <xf numFmtId="0" fontId="0" fillId="21" borderId="41" xfId="0" applyFill="1" applyBorder="1" applyAlignment="1">
      <alignment horizontal="center"/>
    </xf>
    <xf numFmtId="16" fontId="23" fillId="0" borderId="0" xfId="0" applyNumberFormat="1" applyFont="1" applyAlignment="1">
      <alignment horizontal="center"/>
    </xf>
    <xf numFmtId="43" fontId="23" fillId="5" borderId="0" xfId="0" applyNumberFormat="1" applyFont="1" applyFill="1" applyAlignment="1">
      <alignment horizontal="center"/>
    </xf>
    <xf numFmtId="0" fontId="0" fillId="21" borderId="43" xfId="0" applyFill="1" applyBorder="1" applyAlignment="1">
      <alignment horizontal="center"/>
    </xf>
    <xf numFmtId="14" fontId="0" fillId="21" borderId="46" xfId="0" applyNumberFormat="1" applyFill="1" applyBorder="1" applyAlignment="1">
      <alignment horizontal="center"/>
    </xf>
    <xf numFmtId="0" fontId="0" fillId="21" borderId="44" xfId="0" applyFill="1" applyBorder="1" applyAlignment="1">
      <alignment horizontal="center"/>
    </xf>
    <xf numFmtId="14" fontId="0" fillId="21" borderId="43" xfId="0" applyNumberFormat="1" applyFill="1" applyBorder="1" applyAlignment="1">
      <alignment horizontal="center"/>
    </xf>
    <xf numFmtId="14" fontId="0" fillId="21" borderId="44" xfId="0" applyNumberFormat="1" applyFill="1" applyBorder="1" applyAlignment="1">
      <alignment horizontal="center"/>
    </xf>
    <xf numFmtId="43" fontId="0" fillId="21" borderId="43" xfId="0" applyNumberFormat="1" applyFill="1" applyBorder="1" applyAlignment="1">
      <alignment horizontal="center"/>
    </xf>
    <xf numFmtId="43" fontId="23" fillId="0" borderId="0" xfId="1" applyFont="1" applyAlignment="1">
      <alignment horizontal="center"/>
    </xf>
    <xf numFmtId="43" fontId="26" fillId="4" borderId="0" xfId="0" applyNumberFormat="1" applyFont="1" applyFill="1" applyAlignment="1">
      <alignment horizontal="center"/>
    </xf>
    <xf numFmtId="43" fontId="23" fillId="0" borderId="0" xfId="0" applyNumberFormat="1" applyFont="1" applyAlignment="1">
      <alignment horizontal="center"/>
    </xf>
    <xf numFmtId="43" fontId="23" fillId="0" borderId="0" xfId="1" applyFont="1" applyAlignment="1">
      <alignment horizontal="center" vertical="center"/>
    </xf>
    <xf numFmtId="43" fontId="0" fillId="21" borderId="65" xfId="0" applyNumberFormat="1" applyFill="1" applyBorder="1" applyAlignment="1">
      <alignment horizontal="center"/>
    </xf>
    <xf numFmtId="43" fontId="0" fillId="21" borderId="45" xfId="0" applyNumberFormat="1" applyFill="1" applyBorder="1" applyAlignment="1">
      <alignment horizontal="center"/>
    </xf>
    <xf numFmtId="44" fontId="0" fillId="21" borderId="45" xfId="0" applyNumberFormat="1" applyFill="1" applyBorder="1" applyAlignment="1">
      <alignment horizontal="center"/>
    </xf>
    <xf numFmtId="14" fontId="0" fillId="21" borderId="34" xfId="0" applyNumberForma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8" fontId="23" fillId="0" borderId="0" xfId="0" applyNumberFormat="1" applyFont="1" applyAlignment="1">
      <alignment horizontal="center"/>
    </xf>
    <xf numFmtId="43" fontId="26" fillId="0" borderId="0" xfId="1" applyFont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18" xfId="0" applyFill="1" applyBorder="1" applyAlignment="1">
      <alignment horizontal="center"/>
    </xf>
    <xf numFmtId="16" fontId="0" fillId="4" borderId="0" xfId="0" applyNumberFormat="1" applyFill="1"/>
    <xf numFmtId="0" fontId="24" fillId="0" borderId="0" xfId="0" applyFont="1" applyAlignment="1">
      <alignment horizontal="center"/>
    </xf>
    <xf numFmtId="16" fontId="28" fillId="4" borderId="24" xfId="0" applyNumberFormat="1" applyFont="1" applyFill="1" applyBorder="1" applyAlignment="1">
      <alignment horizontal="center"/>
    </xf>
    <xf numFmtId="16" fontId="26" fillId="0" borderId="0" xfId="0" applyNumberFormat="1" applyFont="1" applyAlignment="1">
      <alignment horizontal="center"/>
    </xf>
    <xf numFmtId="16" fontId="23" fillId="0" borderId="0" xfId="0" applyNumberFormat="1" applyFont="1" applyAlignment="1">
      <alignment horizontal="center" vertical="center" wrapText="1"/>
    </xf>
    <xf numFmtId="16" fontId="26" fillId="0" borderId="0" xfId="0" applyNumberFormat="1" applyFont="1" applyAlignment="1">
      <alignment horizontal="center" vertical="center" wrapText="1"/>
    </xf>
    <xf numFmtId="43" fontId="26" fillId="0" borderId="24" xfId="1" applyFont="1" applyBorder="1" applyAlignment="1">
      <alignment horizontal="center"/>
    </xf>
    <xf numFmtId="0" fontId="0" fillId="21" borderId="1" xfId="0" applyFill="1" applyBorder="1" applyAlignment="1">
      <alignment horizontal="center"/>
    </xf>
    <xf numFmtId="4" fontId="29" fillId="0" borderId="12" xfId="0" applyNumberFormat="1" applyFont="1" applyBorder="1" applyAlignment="1">
      <alignment horizontal="center"/>
    </xf>
    <xf numFmtId="0" fontId="29" fillId="0" borderId="41" xfId="0" applyFont="1" applyBorder="1" applyAlignment="1">
      <alignment horizontal="center"/>
    </xf>
    <xf numFmtId="167" fontId="29" fillId="0" borderId="33" xfId="1" applyNumberFormat="1" applyFont="1" applyBorder="1" applyAlignment="1">
      <alignment horizontal="center"/>
    </xf>
    <xf numFmtId="167" fontId="29" fillId="0" borderId="68" xfId="1" applyNumberFormat="1" applyFont="1" applyBorder="1" applyAlignment="1">
      <alignment horizontal="center"/>
    </xf>
    <xf numFmtId="43" fontId="29" fillId="0" borderId="33" xfId="1" applyFont="1" applyBorder="1" applyAlignment="1">
      <alignment horizontal="center"/>
    </xf>
    <xf numFmtId="43" fontId="29" fillId="7" borderId="45" xfId="1" applyFont="1" applyFill="1" applyBorder="1" applyAlignment="1">
      <alignment horizontal="center" vertical="center"/>
    </xf>
    <xf numFmtId="43" fontId="29" fillId="7" borderId="0" xfId="1" applyFont="1" applyFill="1" applyBorder="1" applyAlignment="1">
      <alignment horizontal="center" vertical="center"/>
    </xf>
    <xf numFmtId="43" fontId="29" fillId="9" borderId="0" xfId="1" applyFont="1" applyFill="1" applyBorder="1" applyAlignment="1">
      <alignment horizontal="center" vertical="center"/>
    </xf>
    <xf numFmtId="167" fontId="29" fillId="9" borderId="0" xfId="1" applyNumberFormat="1" applyFont="1" applyFill="1" applyBorder="1" applyAlignment="1">
      <alignment horizontal="center" vertical="center"/>
    </xf>
    <xf numFmtId="167" fontId="29" fillId="9" borderId="5" xfId="1" applyNumberFormat="1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/>
    </xf>
    <xf numFmtId="43" fontId="29" fillId="9" borderId="45" xfId="1" applyFont="1" applyFill="1" applyBorder="1" applyAlignment="1">
      <alignment horizontal="center" vertical="center"/>
    </xf>
    <xf numFmtId="43" fontId="29" fillId="9" borderId="40" xfId="1" applyFont="1" applyFill="1" applyBorder="1" applyAlignment="1">
      <alignment horizontal="center" vertical="center"/>
    </xf>
    <xf numFmtId="43" fontId="29" fillId="9" borderId="42" xfId="1" applyFont="1" applyFill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0" fontId="30" fillId="22" borderId="32" xfId="0" applyFont="1" applyFill="1" applyBorder="1" applyAlignment="1">
      <alignment horizontal="center"/>
    </xf>
    <xf numFmtId="0" fontId="30" fillId="22" borderId="33" xfId="0" applyFont="1" applyFill="1" applyBorder="1" applyAlignment="1">
      <alignment horizontal="center"/>
    </xf>
    <xf numFmtId="0" fontId="30" fillId="22" borderId="68" xfId="0" applyFont="1" applyFill="1" applyBorder="1" applyAlignment="1">
      <alignment horizontal="center"/>
    </xf>
    <xf numFmtId="17" fontId="30" fillId="22" borderId="69" xfId="0" applyNumberFormat="1" applyFont="1" applyFill="1" applyBorder="1" applyAlignment="1">
      <alignment horizontal="center"/>
    </xf>
    <xf numFmtId="17" fontId="30" fillId="22" borderId="28" xfId="0" applyNumberFormat="1" applyFont="1" applyFill="1" applyBorder="1" applyAlignment="1">
      <alignment horizontal="center"/>
    </xf>
    <xf numFmtId="0" fontId="30" fillId="22" borderId="28" xfId="0" applyFont="1" applyFill="1" applyBorder="1" applyAlignment="1">
      <alignment horizontal="center" vertical="center"/>
    </xf>
    <xf numFmtId="0" fontId="30" fillId="22" borderId="67" xfId="0" applyFont="1" applyFill="1" applyBorder="1" applyAlignment="1">
      <alignment horizontal="center" vertical="center"/>
    </xf>
    <xf numFmtId="43" fontId="32" fillId="0" borderId="33" xfId="1" applyFont="1" applyBorder="1" applyAlignment="1">
      <alignment horizontal="center"/>
    </xf>
    <xf numFmtId="43" fontId="30" fillId="22" borderId="33" xfId="1" applyFont="1" applyFill="1" applyBorder="1" applyAlignment="1">
      <alignment horizontal="center"/>
    </xf>
    <xf numFmtId="43" fontId="30" fillId="22" borderId="68" xfId="1" applyFont="1" applyFill="1" applyBorder="1" applyAlignment="1">
      <alignment horizontal="center"/>
    </xf>
    <xf numFmtId="170" fontId="11" fillId="21" borderId="42" xfId="0" applyNumberFormat="1" applyFont="1" applyFill="1" applyBorder="1" applyAlignment="1">
      <alignment horizontal="center" vertical="center"/>
    </xf>
    <xf numFmtId="170" fontId="11" fillId="21" borderId="44" xfId="0" applyNumberFormat="1" applyFont="1" applyFill="1" applyBorder="1" applyAlignment="1">
      <alignment horizontal="center" vertical="center"/>
    </xf>
    <xf numFmtId="0" fontId="30" fillId="22" borderId="66" xfId="0" applyFont="1" applyFill="1" applyBorder="1" applyAlignment="1">
      <alignment horizontal="center"/>
    </xf>
    <xf numFmtId="0" fontId="30" fillId="22" borderId="45" xfId="0" applyFont="1" applyFill="1" applyBorder="1" applyAlignment="1">
      <alignment horizontal="center"/>
    </xf>
    <xf numFmtId="0" fontId="30" fillId="22" borderId="70" xfId="0" applyFont="1" applyFill="1" applyBorder="1" applyAlignment="1">
      <alignment horizontal="center"/>
    </xf>
    <xf numFmtId="43" fontId="11" fillId="21" borderId="5" xfId="0" applyNumberFormat="1" applyFont="1" applyFill="1" applyBorder="1" applyAlignment="1">
      <alignment horizontal="center"/>
    </xf>
    <xf numFmtId="43" fontId="30" fillId="22" borderId="45" xfId="1" applyFont="1" applyFill="1" applyBorder="1" applyAlignment="1">
      <alignment horizontal="center"/>
    </xf>
    <xf numFmtId="43" fontId="30" fillId="22" borderId="70" xfId="1" applyFont="1" applyFill="1" applyBorder="1" applyAlignment="1">
      <alignment horizontal="center"/>
    </xf>
    <xf numFmtId="43" fontId="0" fillId="21" borderId="39" xfId="1" applyFont="1" applyFill="1" applyBorder="1" applyAlignment="1">
      <alignment horizontal="center"/>
    </xf>
    <xf numFmtId="43" fontId="11" fillId="21" borderId="71" xfId="0" applyNumberFormat="1" applyFont="1" applyFill="1" applyBorder="1" applyAlignment="1">
      <alignment horizontal="center"/>
    </xf>
    <xf numFmtId="43" fontId="11" fillId="21" borderId="70" xfId="0" applyNumberFormat="1" applyFont="1" applyFill="1" applyBorder="1" applyAlignment="1">
      <alignment horizontal="center"/>
    </xf>
    <xf numFmtId="0" fontId="21" fillId="22" borderId="0" xfId="0" applyFont="1" applyFill="1" applyAlignment="1">
      <alignment horizontal="center"/>
    </xf>
    <xf numFmtId="43" fontId="0" fillId="21" borderId="0" xfId="1" applyFont="1" applyFill="1" applyBorder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0" fontId="26" fillId="0" borderId="0" xfId="0" applyFont="1" applyAlignment="1">
      <alignment horizontal="center"/>
    </xf>
    <xf numFmtId="16" fontId="23" fillId="0" borderId="4" xfId="0" applyNumberFormat="1" applyFont="1" applyBorder="1" applyAlignment="1">
      <alignment horizontal="center"/>
    </xf>
    <xf numFmtId="43" fontId="30" fillId="22" borderId="45" xfId="0" applyNumberFormat="1" applyFont="1" applyFill="1" applyBorder="1" applyAlignment="1">
      <alignment horizontal="center"/>
    </xf>
    <xf numFmtId="43" fontId="30" fillId="22" borderId="40" xfId="0" applyNumberFormat="1" applyFont="1" applyFill="1" applyBorder="1" applyAlignment="1">
      <alignment horizontal="center"/>
    </xf>
    <xf numFmtId="167" fontId="29" fillId="9" borderId="2" xfId="1" applyNumberFormat="1" applyFont="1" applyFill="1" applyBorder="1" applyAlignment="1">
      <alignment horizontal="center" vertical="center"/>
    </xf>
    <xf numFmtId="167" fontId="29" fillId="9" borderId="3" xfId="1" applyNumberFormat="1" applyFont="1" applyFill="1" applyBorder="1" applyAlignment="1">
      <alignment horizontal="center" vertical="center"/>
    </xf>
    <xf numFmtId="14" fontId="0" fillId="4" borderId="0" xfId="0" applyNumberFormat="1" applyFill="1"/>
    <xf numFmtId="43" fontId="31" fillId="12" borderId="0" xfId="0" applyNumberFormat="1" applyFont="1" applyFill="1" applyAlignment="1">
      <alignment horizontal="center"/>
    </xf>
    <xf numFmtId="43" fontId="30" fillId="22" borderId="0" xfId="0" applyNumberFormat="1" applyFont="1" applyFill="1" applyAlignment="1">
      <alignment horizontal="center"/>
    </xf>
    <xf numFmtId="0" fontId="30" fillId="22" borderId="4" xfId="0" applyFont="1" applyFill="1" applyBorder="1" applyAlignment="1">
      <alignment horizontal="center"/>
    </xf>
    <xf numFmtId="0" fontId="30" fillId="22" borderId="0" xfId="0" applyFont="1" applyFill="1" applyAlignment="1">
      <alignment horizontal="center"/>
    </xf>
    <xf numFmtId="0" fontId="30" fillId="22" borderId="5" xfId="0" applyFont="1" applyFill="1" applyBorder="1" applyAlignment="1">
      <alignment horizontal="center"/>
    </xf>
    <xf numFmtId="0" fontId="29" fillId="9" borderId="1" xfId="0" applyFont="1" applyFill="1" applyBorder="1" applyAlignment="1">
      <alignment horizontal="center"/>
    </xf>
    <xf numFmtId="43" fontId="29" fillId="9" borderId="2" xfId="1" applyFont="1" applyFill="1" applyBorder="1" applyAlignment="1">
      <alignment horizontal="center" vertical="center"/>
    </xf>
    <xf numFmtId="43" fontId="29" fillId="7" borderId="2" xfId="1" applyFont="1" applyFill="1" applyBorder="1" applyAlignment="1">
      <alignment horizontal="center" vertical="center"/>
    </xf>
    <xf numFmtId="43" fontId="11" fillId="21" borderId="61" xfId="0" applyNumberFormat="1" applyFont="1" applyFill="1" applyBorder="1" applyAlignment="1">
      <alignment horizontal="center"/>
    </xf>
    <xf numFmtId="0" fontId="21" fillId="22" borderId="50" xfId="0" applyFont="1" applyFill="1" applyBorder="1" applyAlignment="1">
      <alignment horizontal="center"/>
    </xf>
    <xf numFmtId="0" fontId="21" fillId="22" borderId="34" xfId="0" applyFont="1" applyFill="1" applyBorder="1" applyAlignment="1">
      <alignment horizontal="center"/>
    </xf>
    <xf numFmtId="14" fontId="21" fillId="22" borderId="50" xfId="0" applyNumberFormat="1" applyFont="1" applyFill="1" applyBorder="1" applyAlignment="1">
      <alignment horizontal="center"/>
    </xf>
    <xf numFmtId="14" fontId="21" fillId="22" borderId="34" xfId="0" applyNumberFormat="1" applyFont="1" applyFill="1" applyBorder="1" applyAlignment="1">
      <alignment horizontal="center"/>
    </xf>
    <xf numFmtId="0" fontId="11" fillId="0" borderId="50" xfId="0" applyFont="1" applyBorder="1"/>
    <xf numFmtId="17" fontId="0" fillId="0" borderId="41" xfId="0" applyNumberFormat="1" applyBorder="1" applyAlignment="1">
      <alignment horizontal="center" vertical="center"/>
    </xf>
    <xf numFmtId="0" fontId="19" fillId="0" borderId="39" xfId="0" applyFont="1" applyBorder="1"/>
    <xf numFmtId="0" fontId="29" fillId="0" borderId="40" xfId="0" applyFont="1" applyBorder="1" applyAlignment="1">
      <alignment horizontal="center"/>
    </xf>
    <xf numFmtId="0" fontId="31" fillId="0" borderId="42" xfId="0" applyFont="1" applyBorder="1"/>
    <xf numFmtId="0" fontId="19" fillId="0" borderId="42" xfId="0" applyFont="1" applyBorder="1"/>
    <xf numFmtId="0" fontId="29" fillId="0" borderId="42" xfId="0" applyFont="1" applyBorder="1"/>
    <xf numFmtId="0" fontId="19" fillId="0" borderId="41" xfId="0" applyFont="1" applyBorder="1"/>
    <xf numFmtId="0" fontId="22" fillId="0" borderId="42" xfId="0" applyFont="1" applyBorder="1"/>
    <xf numFmtId="0" fontId="19" fillId="0" borderId="43" xfId="0" applyFont="1" applyBorder="1"/>
    <xf numFmtId="43" fontId="19" fillId="0" borderId="44" xfId="1" applyFont="1" applyBorder="1" applyAlignment="1"/>
    <xf numFmtId="0" fontId="31" fillId="0" borderId="40" xfId="0" applyFont="1" applyBorder="1"/>
    <xf numFmtId="0" fontId="19" fillId="0" borderId="44" xfId="0" applyFont="1" applyBorder="1"/>
    <xf numFmtId="0" fontId="29" fillId="0" borderId="44" xfId="0" applyFont="1" applyBorder="1"/>
    <xf numFmtId="0" fontId="33" fillId="0" borderId="47" xfId="0" applyFont="1" applyBorder="1"/>
    <xf numFmtId="0" fontId="19" fillId="0" borderId="48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3" fillId="0" borderId="48" xfId="0" applyFont="1" applyBorder="1"/>
    <xf numFmtId="0" fontId="29" fillId="0" borderId="48" xfId="0" applyFont="1" applyBorder="1" applyAlignment="1">
      <alignment horizontal="center"/>
    </xf>
    <xf numFmtId="0" fontId="31" fillId="0" borderId="47" xfId="0" applyFont="1" applyBorder="1"/>
    <xf numFmtId="0" fontId="19" fillId="0" borderId="48" xfId="0" applyFont="1" applyBorder="1"/>
    <xf numFmtId="0" fontId="19" fillId="0" borderId="30" xfId="0" applyFont="1" applyBorder="1"/>
    <xf numFmtId="0" fontId="29" fillId="0" borderId="30" xfId="0" applyFont="1" applyBorder="1"/>
    <xf numFmtId="0" fontId="31" fillId="0" borderId="48" xfId="0" applyFont="1" applyBorder="1"/>
    <xf numFmtId="0" fontId="29" fillId="0" borderId="48" xfId="0" applyFont="1" applyBorder="1"/>
    <xf numFmtId="0" fontId="22" fillId="0" borderId="48" xfId="0" applyFont="1" applyBorder="1"/>
    <xf numFmtId="43" fontId="19" fillId="0" borderId="30" xfId="1" applyFont="1" applyBorder="1" applyAlignment="1"/>
    <xf numFmtId="170" fontId="11" fillId="4" borderId="42" xfId="0" applyNumberFormat="1" applyFont="1" applyFill="1" applyBorder="1" applyAlignment="1">
      <alignment horizontal="center" vertical="center"/>
    </xf>
    <xf numFmtId="43" fontId="26" fillId="4" borderId="0" xfId="1" applyFont="1" applyFill="1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41" xfId="0" applyBorder="1" applyAlignment="1">
      <alignment horizontal="center"/>
    </xf>
    <xf numFmtId="43" fontId="0" fillId="0" borderId="48" xfId="1" applyFont="1" applyBorder="1" applyAlignment="1"/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9" xfId="0" applyBorder="1" applyAlignment="1">
      <alignment horizontal="center"/>
    </xf>
    <xf numFmtId="43" fontId="0" fillId="0" borderId="47" xfId="1" applyFont="1" applyBorder="1" applyAlignment="1"/>
    <xf numFmtId="0" fontId="0" fillId="0" borderId="33" xfId="0" applyBorder="1"/>
    <xf numFmtId="173" fontId="11" fillId="0" borderId="41" xfId="0" applyNumberFormat="1" applyFont="1" applyBorder="1"/>
    <xf numFmtId="173" fontId="11" fillId="0" borderId="42" xfId="0" applyNumberFormat="1" applyFont="1" applyBorder="1"/>
    <xf numFmtId="173" fontId="11" fillId="0" borderId="39" xfId="0" applyNumberFormat="1" applyFont="1" applyBorder="1"/>
    <xf numFmtId="173" fontId="11" fillId="0" borderId="40" xfId="0" applyNumberFormat="1" applyFont="1" applyBorder="1"/>
    <xf numFmtId="0" fontId="0" fillId="0" borderId="13" xfId="0" applyBorder="1"/>
    <xf numFmtId="0" fontId="11" fillId="0" borderId="33" xfId="0" applyFont="1" applyBorder="1"/>
    <xf numFmtId="0" fontId="11" fillId="0" borderId="34" xfId="0" applyFont="1" applyBorder="1"/>
    <xf numFmtId="167" fontId="11" fillId="0" borderId="0" xfId="1" applyNumberFormat="1" applyFont="1"/>
    <xf numFmtId="173" fontId="34" fillId="0" borderId="41" xfId="0" applyNumberFormat="1" applyFont="1" applyBorder="1"/>
    <xf numFmtId="173" fontId="34" fillId="0" borderId="0" xfId="0" applyNumberFormat="1" applyFont="1"/>
    <xf numFmtId="0" fontId="34" fillId="0" borderId="48" xfId="0" applyFont="1" applyBorder="1"/>
    <xf numFmtId="14" fontId="23" fillId="0" borderId="0" xfId="0" applyNumberFormat="1" applyFont="1" applyAlignment="1">
      <alignment horizontal="center" wrapText="1"/>
    </xf>
    <xf numFmtId="2" fontId="23" fillId="0" borderId="0" xfId="0" applyNumberFormat="1" applyFont="1" applyAlignment="1">
      <alignment horizontal="center" wrapText="1"/>
    </xf>
    <xf numFmtId="173" fontId="11" fillId="0" borderId="0" xfId="0" applyNumberFormat="1" applyFont="1"/>
    <xf numFmtId="0" fontId="11" fillId="0" borderId="48" xfId="0" applyFont="1" applyBorder="1"/>
    <xf numFmtId="173" fontId="11" fillId="0" borderId="45" xfId="0" applyNumberFormat="1" applyFont="1" applyBorder="1"/>
    <xf numFmtId="0" fontId="11" fillId="0" borderId="47" xfId="0" applyFont="1" applyBorder="1"/>
    <xf numFmtId="173" fontId="34" fillId="0" borderId="43" xfId="0" applyNumberFormat="1" applyFont="1" applyBorder="1"/>
    <xf numFmtId="173" fontId="34" fillId="0" borderId="46" xfId="0" applyNumberFormat="1" applyFont="1" applyBorder="1"/>
    <xf numFmtId="0" fontId="34" fillId="0" borderId="30" xfId="0" applyFont="1" applyBorder="1"/>
    <xf numFmtId="0" fontId="34" fillId="0" borderId="0" xfId="0" applyFont="1"/>
    <xf numFmtId="0" fontId="29" fillId="9" borderId="72" xfId="0" applyFont="1" applyFill="1" applyBorder="1" applyAlignment="1">
      <alignment horizontal="center"/>
    </xf>
    <xf numFmtId="0" fontId="29" fillId="9" borderId="47" xfId="0" applyFont="1" applyFill="1" applyBorder="1" applyAlignment="1">
      <alignment horizontal="center"/>
    </xf>
    <xf numFmtId="0" fontId="29" fillId="9" borderId="48" xfId="0" applyFont="1" applyFill="1" applyBorder="1" applyAlignment="1">
      <alignment horizontal="center"/>
    </xf>
    <xf numFmtId="0" fontId="29" fillId="9" borderId="30" xfId="0" applyFont="1" applyFill="1" applyBorder="1" applyAlignment="1">
      <alignment horizontal="center"/>
    </xf>
    <xf numFmtId="43" fontId="29" fillId="9" borderId="73" xfId="1" applyFont="1" applyFill="1" applyBorder="1" applyAlignment="1">
      <alignment horizontal="center" vertical="center"/>
    </xf>
    <xf numFmtId="173" fontId="0" fillId="0" borderId="41" xfId="0" applyNumberFormat="1" applyBorder="1"/>
    <xf numFmtId="173" fontId="0" fillId="0" borderId="42" xfId="0" applyNumberFormat="1" applyBorder="1"/>
    <xf numFmtId="173" fontId="11" fillId="0" borderId="43" xfId="0" applyNumberFormat="1" applyFont="1" applyBorder="1"/>
    <xf numFmtId="173" fontId="11" fillId="0" borderId="46" xfId="0" applyNumberFormat="1" applyFont="1" applyBorder="1"/>
    <xf numFmtId="0" fontId="11" fillId="0" borderId="30" xfId="0" applyFont="1" applyBorder="1"/>
    <xf numFmtId="173" fontId="11" fillId="0" borderId="44" xfId="0" applyNumberFormat="1" applyFont="1" applyBorder="1"/>
    <xf numFmtId="173" fontId="34" fillId="0" borderId="42" xfId="0" applyNumberFormat="1" applyFont="1" applyBorder="1"/>
    <xf numFmtId="43" fontId="34" fillId="0" borderId="48" xfId="1" applyFont="1" applyBorder="1" applyAlignment="1"/>
    <xf numFmtId="0" fontId="11" fillId="0" borderId="40" xfId="0" applyFont="1" applyBorder="1"/>
    <xf numFmtId="0" fontId="11" fillId="0" borderId="42" xfId="0" applyFont="1" applyBorder="1"/>
    <xf numFmtId="0" fontId="34" fillId="0" borderId="44" xfId="0" applyFont="1" applyBorder="1"/>
    <xf numFmtId="43" fontId="0" fillId="0" borderId="40" xfId="1" applyFont="1" applyBorder="1" applyAlignment="1"/>
    <xf numFmtId="43" fontId="0" fillId="0" borderId="42" xfId="1" applyFont="1" applyBorder="1" applyAlignment="1"/>
    <xf numFmtId="43" fontId="34" fillId="0" borderId="44" xfId="1" applyFont="1" applyBorder="1" applyAlignment="1"/>
    <xf numFmtId="173" fontId="34" fillId="0" borderId="39" xfId="0" applyNumberFormat="1" applyFont="1" applyBorder="1"/>
    <xf numFmtId="0" fontId="34" fillId="0" borderId="47" xfId="0" applyFont="1" applyBorder="1"/>
    <xf numFmtId="3" fontId="0" fillId="0" borderId="0" xfId="0" applyNumberFormat="1"/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right" vertical="center"/>
    </xf>
    <xf numFmtId="174" fontId="0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43" fontId="23" fillId="4" borderId="59" xfId="1" applyFont="1" applyFill="1" applyBorder="1" applyAlignment="1">
      <alignment horizontal="center" wrapText="1"/>
    </xf>
    <xf numFmtId="43" fontId="26" fillId="4" borderId="59" xfId="1" applyFont="1" applyFill="1" applyBorder="1" applyAlignment="1">
      <alignment horizontal="center" wrapText="1"/>
    </xf>
    <xf numFmtId="16" fontId="25" fillId="4" borderId="0" xfId="0" applyNumberFormat="1" applyFont="1" applyFill="1" applyAlignment="1">
      <alignment horizontal="center" vertical="center"/>
    </xf>
    <xf numFmtId="16" fontId="25" fillId="5" borderId="0" xfId="0" applyNumberFormat="1" applyFont="1" applyFill="1" applyAlignment="1">
      <alignment horizontal="center" vertical="center"/>
    </xf>
    <xf numFmtId="44" fontId="0" fillId="0" borderId="0" xfId="3" applyFont="1"/>
    <xf numFmtId="2" fontId="1" fillId="5" borderId="44" xfId="0" applyNumberFormat="1" applyFont="1" applyFill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44" fontId="11" fillId="0" borderId="0" xfId="0" applyNumberFormat="1" applyFont="1"/>
    <xf numFmtId="175" fontId="0" fillId="0" borderId="0" xfId="3" applyNumberFormat="1" applyFont="1"/>
    <xf numFmtId="0" fontId="35" fillId="0" borderId="0" xfId="0" applyFont="1"/>
    <xf numFmtId="10" fontId="0" fillId="0" borderId="0" xfId="12" applyNumberFormat="1" applyFont="1"/>
    <xf numFmtId="170" fontId="11" fillId="21" borderId="24" xfId="0" applyNumberFormat="1" applyFont="1" applyFill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textRotation="90"/>
    </xf>
    <xf numFmtId="0" fontId="26" fillId="0" borderId="0" xfId="0" applyFont="1" applyAlignment="1">
      <alignment horizontal="center" vertical="center" textRotation="90"/>
    </xf>
    <xf numFmtId="43" fontId="23" fillId="14" borderId="0" xfId="0" applyNumberFormat="1" applyFont="1" applyFill="1" applyAlignment="1">
      <alignment horizontal="center"/>
    </xf>
    <xf numFmtId="43" fontId="23" fillId="14" borderId="24" xfId="0" applyNumberFormat="1" applyFont="1" applyFill="1" applyBorder="1" applyAlignment="1">
      <alignment horizontal="center"/>
    </xf>
    <xf numFmtId="0" fontId="1" fillId="5" borderId="74" xfId="0" applyFont="1" applyFill="1" applyBorder="1" applyAlignment="1">
      <alignment horizontal="center"/>
    </xf>
    <xf numFmtId="0" fontId="1" fillId="5" borderId="75" xfId="0" applyFont="1" applyFill="1" applyBorder="1" applyAlignment="1">
      <alignment horizontal="center"/>
    </xf>
    <xf numFmtId="0" fontId="29" fillId="0" borderId="43" xfId="0" applyFont="1" applyBorder="1" applyAlignment="1">
      <alignment horizontal="center"/>
    </xf>
    <xf numFmtId="0" fontId="29" fillId="0" borderId="46" xfId="0" applyFont="1" applyBorder="1" applyAlignment="1">
      <alignment horizontal="center"/>
    </xf>
    <xf numFmtId="0" fontId="30" fillId="22" borderId="42" xfId="0" applyFont="1" applyFill="1" applyBorder="1" applyAlignment="1">
      <alignment horizontal="center"/>
    </xf>
    <xf numFmtId="0" fontId="29" fillId="9" borderId="7" xfId="0" applyFont="1" applyFill="1" applyBorder="1" applyAlignment="1">
      <alignment horizontal="center"/>
    </xf>
    <xf numFmtId="0" fontId="29" fillId="9" borderId="77" xfId="0" applyFont="1" applyFill="1" applyBorder="1" applyAlignment="1">
      <alignment horizontal="center"/>
    </xf>
    <xf numFmtId="0" fontId="29" fillId="9" borderId="78" xfId="0" applyFont="1" applyFill="1" applyBorder="1" applyAlignment="1">
      <alignment horizontal="center"/>
    </xf>
    <xf numFmtId="43" fontId="29" fillId="9" borderId="19" xfId="1" applyFont="1" applyFill="1" applyBorder="1" applyAlignment="1">
      <alignment horizontal="center" vertical="center"/>
    </xf>
    <xf numFmtId="43" fontId="29" fillId="7" borderId="19" xfId="1" applyFont="1" applyFill="1" applyBorder="1" applyAlignment="1">
      <alignment horizontal="center" vertical="center"/>
    </xf>
    <xf numFmtId="43" fontId="29" fillId="9" borderId="79" xfId="1" applyFont="1" applyFill="1" applyBorder="1" applyAlignment="1">
      <alignment horizontal="center" vertical="center"/>
    </xf>
    <xf numFmtId="167" fontId="29" fillId="9" borderId="19" xfId="1" applyNumberFormat="1" applyFont="1" applyFill="1" applyBorder="1" applyAlignment="1">
      <alignment horizontal="center" vertical="center"/>
    </xf>
    <xf numFmtId="14" fontId="0" fillId="0" borderId="0" xfId="1" applyNumberFormat="1" applyFont="1"/>
    <xf numFmtId="14" fontId="23" fillId="5" borderId="0" xfId="0" applyNumberFormat="1" applyFont="1" applyFill="1" applyAlignment="1">
      <alignment horizontal="center"/>
    </xf>
    <xf numFmtId="43" fontId="11" fillId="0" borderId="0" xfId="1" applyFont="1" applyBorder="1" applyAlignment="1">
      <alignment horizontal="center" wrapText="1"/>
    </xf>
    <xf numFmtId="43" fontId="11" fillId="0" borderId="0" xfId="1" applyFont="1" applyBorder="1" applyAlignment="1">
      <alignment horizontal="center"/>
    </xf>
    <xf numFmtId="43" fontId="11" fillId="0" borderId="0" xfId="1" applyFont="1" applyBorder="1" applyAlignment="1">
      <alignment horizontal="center" vertical="center"/>
    </xf>
    <xf numFmtId="43" fontId="11" fillId="0" borderId="0" xfId="1" applyFont="1"/>
    <xf numFmtId="43" fontId="35" fillId="0" borderId="0" xfId="1" applyFont="1"/>
    <xf numFmtId="0" fontId="0" fillId="0" borderId="3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43" fontId="0" fillId="0" borderId="0" xfId="1" applyFont="1" applyAlignment="1">
      <alignment horizontal="center"/>
    </xf>
    <xf numFmtId="43" fontId="11" fillId="0" borderId="0" xfId="1" applyFont="1" applyAlignment="1">
      <alignment horizontal="center"/>
    </xf>
    <xf numFmtId="0" fontId="36" fillId="0" borderId="0" xfId="0" applyFont="1" applyAlignment="1">
      <alignment horizontal="center"/>
    </xf>
    <xf numFmtId="43" fontId="36" fillId="0" borderId="0" xfId="1" applyFont="1" applyAlignment="1">
      <alignment horizontal="center"/>
    </xf>
    <xf numFmtId="0" fontId="36" fillId="0" borderId="0" xfId="0" applyFont="1" applyAlignment="1">
      <alignment horizontal="center" wrapText="1"/>
    </xf>
    <xf numFmtId="43" fontId="36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35" fillId="0" borderId="0" xfId="0" applyFont="1" applyAlignment="1">
      <alignment horizontal="center" wrapText="1"/>
    </xf>
    <xf numFmtId="43" fontId="35" fillId="0" borderId="0" xfId="1" applyFont="1" applyAlignment="1">
      <alignment horizontal="center" wrapText="1"/>
    </xf>
    <xf numFmtId="9" fontId="0" fillId="0" borderId="48" xfId="12" applyFont="1" applyBorder="1" applyAlignment="1">
      <alignment horizontal="center"/>
    </xf>
    <xf numFmtId="9" fontId="0" fillId="0" borderId="30" xfId="12" applyFon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46" xfId="0" applyNumberFormat="1" applyBorder="1" applyAlignment="1">
      <alignment horizontal="center"/>
    </xf>
    <xf numFmtId="176" fontId="0" fillId="0" borderId="48" xfId="0" applyNumberFormat="1" applyBorder="1" applyAlignment="1">
      <alignment horizontal="center"/>
    </xf>
    <xf numFmtId="176" fontId="0" fillId="0" borderId="30" xfId="0" applyNumberFormat="1" applyBorder="1" applyAlignment="1">
      <alignment horizontal="center"/>
    </xf>
    <xf numFmtId="177" fontId="0" fillId="0" borderId="48" xfId="1" applyNumberFormat="1" applyFont="1" applyBorder="1" applyAlignment="1">
      <alignment horizontal="center"/>
    </xf>
    <xf numFmtId="177" fontId="0" fillId="0" borderId="30" xfId="1" applyNumberFormat="1" applyFont="1" applyBorder="1" applyAlignment="1">
      <alignment horizontal="center"/>
    </xf>
    <xf numFmtId="0" fontId="11" fillId="17" borderId="0" xfId="0" applyFont="1" applyFill="1"/>
    <xf numFmtId="0" fontId="37" fillId="0" borderId="0" xfId="0" applyFont="1"/>
    <xf numFmtId="174" fontId="0" fillId="0" borderId="0" xfId="3" applyNumberFormat="1" applyFont="1"/>
    <xf numFmtId="44" fontId="23" fillId="0" borderId="0" xfId="3" applyFont="1" applyAlignment="1">
      <alignment horizontal="center"/>
    </xf>
    <xf numFmtId="44" fontId="0" fillId="0" borderId="0" xfId="3" applyFont="1" applyAlignment="1">
      <alignment horizontal="center"/>
    </xf>
    <xf numFmtId="44" fontId="23" fillId="0" borderId="0" xfId="3" applyFont="1" applyAlignment="1">
      <alignment horizontal="center" vertical="center"/>
    </xf>
    <xf numFmtId="4" fontId="23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 wrapText="1"/>
    </xf>
    <xf numFmtId="16" fontId="0" fillId="0" borderId="0" xfId="0" applyNumberFormat="1" applyAlignment="1">
      <alignment horizontal="center"/>
    </xf>
    <xf numFmtId="0" fontId="3" fillId="5" borderId="49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17" fontId="3" fillId="5" borderId="44" xfId="0" applyNumberFormat="1" applyFont="1" applyFill="1" applyBorder="1" applyAlignment="1">
      <alignment horizontal="center"/>
    </xf>
    <xf numFmtId="2" fontId="1" fillId="5" borderId="51" xfId="0" applyNumberFormat="1" applyFont="1" applyFill="1" applyBorder="1" applyAlignment="1">
      <alignment horizontal="center"/>
    </xf>
    <xf numFmtId="17" fontId="3" fillId="5" borderId="57" xfId="0" applyNumberFormat="1" applyFont="1" applyFill="1" applyBorder="1" applyAlignment="1">
      <alignment horizontal="center"/>
    </xf>
    <xf numFmtId="2" fontId="1" fillId="5" borderId="57" xfId="0" applyNumberFormat="1" applyFont="1" applyFill="1" applyBorder="1" applyAlignment="1">
      <alignment horizontal="center"/>
    </xf>
    <xf numFmtId="0" fontId="3" fillId="5" borderId="57" xfId="0" applyFont="1" applyFill="1" applyBorder="1" applyAlignment="1">
      <alignment horizontal="center"/>
    </xf>
    <xf numFmtId="2" fontId="1" fillId="5" borderId="58" xfId="0" applyNumberFormat="1" applyFont="1" applyFill="1" applyBorder="1" applyAlignment="1">
      <alignment horizontal="center"/>
    </xf>
    <xf numFmtId="9" fontId="0" fillId="0" borderId="0" xfId="12" applyFont="1"/>
    <xf numFmtId="0" fontId="21" fillId="22" borderId="50" xfId="0" applyFont="1" applyFill="1" applyBorder="1" applyAlignment="1">
      <alignment horizontal="center"/>
    </xf>
    <xf numFmtId="0" fontId="21" fillId="22" borderId="33" xfId="0" applyFont="1" applyFill="1" applyBorder="1" applyAlignment="1">
      <alignment horizontal="center"/>
    </xf>
    <xf numFmtId="0" fontId="21" fillId="22" borderId="34" xfId="0" applyFont="1" applyFill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29" fillId="0" borderId="34" xfId="0" applyFont="1" applyBorder="1" applyAlignment="1">
      <alignment horizontal="center"/>
    </xf>
    <xf numFmtId="2" fontId="30" fillId="22" borderId="27" xfId="0" applyNumberFormat="1" applyFont="1" applyFill="1" applyBorder="1" applyAlignment="1">
      <alignment horizontal="center" vertical="center"/>
    </xf>
    <xf numFmtId="2" fontId="30" fillId="22" borderId="29" xfId="0" applyNumberFormat="1" applyFont="1" applyFill="1" applyBorder="1" applyAlignment="1">
      <alignment horizontal="center" vertical="center"/>
    </xf>
    <xf numFmtId="0" fontId="29" fillId="0" borderId="43" xfId="0" applyFont="1" applyBorder="1" applyAlignment="1">
      <alignment horizontal="center"/>
    </xf>
    <xf numFmtId="0" fontId="29" fillId="0" borderId="46" xfId="0" applyFont="1" applyBorder="1" applyAlignment="1">
      <alignment horizontal="center"/>
    </xf>
    <xf numFmtId="0" fontId="3" fillId="5" borderId="49" xfId="0" applyFont="1" applyFill="1" applyBorder="1" applyAlignment="1">
      <alignment horizontal="center"/>
    </xf>
    <xf numFmtId="0" fontId="1" fillId="5" borderId="44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14" fontId="1" fillId="5" borderId="74" xfId="0" applyNumberFormat="1" applyFont="1" applyFill="1" applyBorder="1" applyAlignment="1">
      <alignment horizontal="center"/>
    </xf>
    <xf numFmtId="14" fontId="1" fillId="5" borderId="76" xfId="0" applyNumberFormat="1" applyFont="1" applyFill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5" xfId="0" applyFont="1" applyFill="1" applyBorder="1" applyAlignment="1">
      <alignment horizontal="center"/>
    </xf>
    <xf numFmtId="2" fontId="2" fillId="5" borderId="53" xfId="0" applyNumberFormat="1" applyFont="1" applyFill="1" applyBorder="1" applyAlignment="1">
      <alignment horizontal="center"/>
    </xf>
    <xf numFmtId="2" fontId="2" fillId="5" borderId="19" xfId="0" applyNumberFormat="1" applyFont="1" applyFill="1" applyBorder="1" applyAlignment="1">
      <alignment horizontal="center"/>
    </xf>
    <xf numFmtId="2" fontId="2" fillId="5" borderId="56" xfId="0" applyNumberFormat="1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0" fillId="0" borderId="43" xfId="0" applyBorder="1"/>
    <xf numFmtId="0" fontId="0" fillId="0" borderId="46" xfId="0" applyBorder="1"/>
    <xf numFmtId="0" fontId="0" fillId="0" borderId="44" xfId="0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1" fillId="11" borderId="23" xfId="0" applyFont="1" applyFill="1" applyBorder="1" applyAlignment="1">
      <alignment horizontal="center"/>
    </xf>
    <xf numFmtId="0" fontId="11" fillId="7" borderId="21" xfId="0" applyFont="1" applyFill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17" fontId="3" fillId="2" borderId="21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7" fontId="3" fillId="2" borderId="27" xfId="0" applyNumberFormat="1" applyFont="1" applyFill="1" applyBorder="1" applyAlignment="1">
      <alignment horizontal="center"/>
    </xf>
    <xf numFmtId="17" fontId="3" fillId="2" borderId="28" xfId="0" applyNumberFormat="1" applyFont="1" applyFill="1" applyBorder="1" applyAlignment="1">
      <alignment horizontal="center"/>
    </xf>
    <xf numFmtId="17" fontId="3" fillId="2" borderId="29" xfId="0" applyNumberFormat="1" applyFont="1" applyFill="1" applyBorder="1" applyAlignment="1">
      <alignment horizontal="center"/>
    </xf>
    <xf numFmtId="17" fontId="3" fillId="2" borderId="32" xfId="0" applyNumberFormat="1" applyFont="1" applyFill="1" applyBorder="1" applyAlignment="1">
      <alignment horizontal="center"/>
    </xf>
    <xf numFmtId="17" fontId="3" fillId="2" borderId="33" xfId="0" applyNumberFormat="1" applyFont="1" applyFill="1" applyBorder="1" applyAlignment="1">
      <alignment horizontal="center"/>
    </xf>
    <xf numFmtId="17" fontId="3" fillId="2" borderId="34" xfId="0" applyNumberFormat="1" applyFont="1" applyFill="1" applyBorder="1" applyAlignment="1">
      <alignment horizontal="center"/>
    </xf>
    <xf numFmtId="17" fontId="3" fillId="2" borderId="35" xfId="0" applyNumberFormat="1" applyFont="1" applyFill="1" applyBorder="1" applyAlignment="1">
      <alignment horizontal="center"/>
    </xf>
    <xf numFmtId="17" fontId="3" fillId="2" borderId="36" xfId="0" applyNumberFormat="1" applyFont="1" applyFill="1" applyBorder="1" applyAlignment="1">
      <alignment horizontal="center"/>
    </xf>
    <xf numFmtId="17" fontId="3" fillId="2" borderId="37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49" fontId="3" fillId="2" borderId="32" xfId="0" applyNumberFormat="1" applyFont="1" applyFill="1" applyBorder="1" applyAlignment="1">
      <alignment horizontal="center"/>
    </xf>
    <xf numFmtId="49" fontId="3" fillId="2" borderId="33" xfId="0" applyNumberFormat="1" applyFont="1" applyFill="1" applyBorder="1" applyAlignment="1">
      <alignment horizontal="center"/>
    </xf>
    <xf numFmtId="49" fontId="3" fillId="2" borderId="34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horizontal="center"/>
    </xf>
    <xf numFmtId="49" fontId="3" fillId="2" borderId="36" xfId="0" applyNumberFormat="1" applyFont="1" applyFill="1" applyBorder="1" applyAlignment="1">
      <alignment horizontal="center"/>
    </xf>
    <xf numFmtId="49" fontId="3" fillId="2" borderId="37" xfId="0" applyNumberFormat="1" applyFont="1" applyFill="1" applyBorder="1" applyAlignment="1">
      <alignment horizont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/>
    </xf>
    <xf numFmtId="49" fontId="3" fillId="2" borderId="28" xfId="0" applyNumberFormat="1" applyFont="1" applyFill="1" applyBorder="1" applyAlignment="1">
      <alignment horizontal="center"/>
    </xf>
    <xf numFmtId="49" fontId="3" fillId="2" borderId="29" xfId="0" applyNumberFormat="1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0" xfId="0"/>
    <xf numFmtId="14" fontId="14" fillId="4" borderId="24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7" fontId="14" fillId="13" borderId="18" xfId="0" applyNumberFormat="1" applyFon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17" fontId="14" fillId="13" borderId="24" xfId="0" applyNumberFormat="1" applyFon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17" fontId="14" fillId="13" borderId="59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14" fillId="13" borderId="60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17" fontId="14" fillId="13" borderId="4" xfId="0" applyNumberFormat="1" applyFont="1" applyFill="1" applyBorder="1" applyAlignment="1">
      <alignment horizontal="center"/>
    </xf>
    <xf numFmtId="17" fontId="14" fillId="13" borderId="61" xfId="0" applyNumberFormat="1" applyFont="1" applyFill="1" applyBorder="1" applyAlignment="1">
      <alignment horizontal="center"/>
    </xf>
    <xf numFmtId="17" fontId="14" fillId="13" borderId="1" xfId="0" applyNumberFormat="1" applyFont="1" applyFill="1" applyBorder="1" applyAlignment="1">
      <alignment horizontal="center"/>
    </xf>
    <xf numFmtId="0" fontId="14" fillId="13" borderId="59" xfId="0" applyFont="1" applyFill="1" applyBorder="1" applyAlignment="1">
      <alignment horizontal="center"/>
    </xf>
    <xf numFmtId="0" fontId="14" fillId="13" borderId="60" xfId="0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14" fillId="13" borderId="61" xfId="0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7" fontId="14" fillId="13" borderId="21" xfId="0" applyNumberFormat="1" applyFont="1" applyFill="1" applyBorder="1" applyAlignment="1">
      <alignment horizontal="center"/>
    </xf>
    <xf numFmtId="0" fontId="14" fillId="13" borderId="24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4" xfId="0" applyFont="1" applyFill="1" applyBorder="1" applyAlignment="1">
      <alignment horizontal="center"/>
    </xf>
    <xf numFmtId="0" fontId="14" fillId="13" borderId="18" xfId="0" applyFont="1" applyFill="1" applyBorder="1" applyAlignment="1">
      <alignment horizontal="center"/>
    </xf>
    <xf numFmtId="2" fontId="14" fillId="0" borderId="0" xfId="0" applyNumberFormat="1" applyFont="1"/>
    <xf numFmtId="0" fontId="14" fillId="0" borderId="21" xfId="0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2" fontId="14" fillId="0" borderId="22" xfId="0" applyNumberFormat="1" applyFont="1" applyBorder="1" applyAlignment="1">
      <alignment horizontal="center"/>
    </xf>
    <xf numFmtId="2" fontId="14" fillId="0" borderId="23" xfId="0" applyNumberFormat="1" applyFon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11" fillId="0" borderId="23" xfId="0" applyFont="1" applyBorder="1"/>
    <xf numFmtId="2" fontId="0" fillId="0" borderId="0" xfId="0" applyNumberFormat="1"/>
    <xf numFmtId="0" fontId="11" fillId="0" borderId="0" xfId="0" applyFont="1"/>
  </cellXfs>
  <cellStyles count="13">
    <cellStyle name="Comma" xfId="1" builtinId="3"/>
    <cellStyle name="Comma 2" xfId="2" xr:uid="{00000000-0005-0000-0000-000001000000}"/>
    <cellStyle name="Currency" xfId="3" builtinId="4"/>
    <cellStyle name="Currency 2" xfId="5" xr:uid="{256AB5B3-684D-4533-BA69-643EAB424940}"/>
    <cellStyle name="Normal" xfId="0" builtinId="0"/>
    <cellStyle name="Normal 2" xfId="4" xr:uid="{ED789A99-F2EA-4E08-A13C-B69CBD2698F2}"/>
    <cellStyle name="Normal 2 2" xfId="7" xr:uid="{E49A5E72-32BF-4FC9-ACBB-05D330401851}"/>
    <cellStyle name="Normal 2 3" xfId="10" xr:uid="{FD982284-6D8D-48E6-8C78-64879B8D7C0D}"/>
    <cellStyle name="Normal 3" xfId="6" xr:uid="{C4D576AB-BE7B-4F68-A963-CD08284340FE}"/>
    <cellStyle name="Normal 3 2" xfId="8" xr:uid="{9FA00EE2-D2C3-4E23-B757-C62970909970}"/>
    <cellStyle name="Normal 3 3" xfId="11" xr:uid="{F804D5F5-3E07-4538-B277-9EAD7AABB34C}"/>
    <cellStyle name="Normal 4" xfId="9" xr:uid="{32B09890-59C5-4817-B10A-D8FE8E123BB4}"/>
    <cellStyle name="Percent" xfId="1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5.75</v>
        <stp/>
        <stp>BDP|4632902335564063750|22</stp>
        <stp>DTD1 Comdty</stp>
        <stp>YEST_LAST_TRADE</stp>
        <tr r="F109" s="8"/>
      </tp>
      <tp>
        <v>0.79100000000000004</v>
        <stp/>
        <stp>BDP|5214365036023697900|22</stp>
        <stp>AFY5 Comdty</stp>
        <stp>YEST_LAST_TRADE</stp>
        <tr r="Y67" s="8"/>
      </tp>
      <tp>
        <v>-4.3600000000000003</v>
        <stp/>
        <stp>BDP|16693966606472922651|22</stp>
        <stp>HWTCOU7 Comdty</stp>
        <stp>PX_SETTLE_ACTUAL_RT</stp>
        <tr r="AB14" s="8"/>
      </tp>
      <tp>
        <v>-3.44</v>
        <stp/>
        <stp>BDP|17625531079821178424|22</stp>
        <stp>HWTCOH8 Comdty</stp>
        <stp>PX_SETTLE_ACTUAL_RT</stp>
        <tr r="AB20" s="8"/>
      </tp>
      <tp>
        <v>0.85</v>
        <stp/>
        <stp>BDP|4841985407355755144|22</stp>
        <stp>DTD6 Comdty</stp>
        <stp>YEST_LAST_TRADE</stp>
        <tr r="F114" s="8"/>
      </tp>
      <tp>
        <v>67.41</v>
        <stp/>
        <stp>BDP|15182192646689960|22</stp>
        <stp>CL33 Comdty</stp>
        <stp>LAST_PRICE</stp>
        <tr r="E37" s="8"/>
      </tp>
      <tp>
        <v>93.1</v>
        <stp/>
        <stp>BDP|698538527004537259|22</stp>
        <stp>CO4 Comdty</stp>
        <stp>PX_SETTLE_ACTUAL_RT</stp>
        <tr r="V8" s="8"/>
      </tp>
      <tp>
        <v>0.77100000000000002</v>
        <stp/>
        <stp>BDP|3343909451205470890|22</stp>
        <stp>AFY7 Comdty</stp>
        <stp>YEST_LAST_TRADE</stp>
        <tr r="Y69" s="8"/>
      </tp>
      <tp>
        <v>-7.08</v>
        <stp/>
        <stp>BDP|17696785793623664042|22</stp>
        <stp>HWTCOF7 Comdty</stp>
        <stp>PX_SETTLE_ACTUAL_RT</stp>
        <tr r="AB6" s="8"/>
      </tp>
      <tp>
        <v>-3.41</v>
        <stp/>
        <stp>BDP|13290982023240069891|22</stp>
        <stp>HWTCOJ8 Comdty</stp>
        <stp>PX_SETTLE_ACTUAL_RT</stp>
        <tr r="AB21" s="8"/>
      </tp>
      <tp>
        <v>-3.31</v>
        <stp/>
        <stp>BDP|12270571763914639392|22</stp>
        <stp>HWTCOQ8 Comdty</stp>
        <stp>PX_SETTLE_ACTUAL_RT</stp>
        <tr r="AB25" s="8"/>
      </tp>
      <tp>
        <v>0.45</v>
        <stp/>
        <stp>BDP|5350687728358701239|22</stp>
        <stp>DTD9 Comdty</stp>
        <stp>YEST_LAST_TRADE</stp>
        <tr r="F117" s="8"/>
      </tp>
      <tp>
        <v>0.67</v>
        <stp/>
        <stp>BDP|9674059523202007059|22</stp>
        <stp>AFY8 Comdty</stp>
        <stp>YEST_LAST_TRADE</stp>
        <tr r="Y70" s="8"/>
      </tp>
      <tp>
        <v>-3.87</v>
        <stp/>
        <stp>BDP|11404603260526028448|22</stp>
        <stp>HWTCOZ7 Comdty</stp>
        <stp>PX_SETTLE_ACTUAL_RT</stp>
        <tr r="AB17" s="8"/>
      </tp>
      <tp>
        <v>2.25</v>
        <stp/>
        <stp>BDP|5851357453537037206|22</stp>
        <stp>DTD5 Comdty</stp>
        <stp>YEST_LAST_TRADE</stp>
        <tr r="F113" s="8"/>
      </tp>
      <tp>
        <v>0.72</v>
        <stp/>
        <stp>BDP|8061229718245908383|22</stp>
        <stp>AFY9 Comdty</stp>
        <stp>YEST_LAST_TRADE</stp>
        <tr r="Y71" s="8"/>
      </tp>
      <tp>
        <v>-5.04</v>
        <stp/>
        <stp>BDP|10531651296266573004|22</stp>
        <stp>HWTCOM7 Comdty</stp>
        <stp>PX_SETTLE_ACTUAL_RT</stp>
        <tr r="AB11" s="8"/>
      </tp>
      <tp>
        <v>-3.38</v>
        <stp/>
        <stp>BDP|17318082975381441977|22</stp>
        <stp>HWTCON8 Comdty</stp>
        <stp>PX_SETTLE_ACTUAL_RT</stp>
        <tr r="AB24" s="8"/>
      </tp>
      <tp>
        <v>-4.5199999999999996</v>
        <stp/>
        <stp>BDP|14951368155862873542|22</stp>
        <stp>HWTCOQ7 Comdty</stp>
        <stp>PX_SETTLE_ACTUAL_RT</stp>
        <tr r="AB13" s="8"/>
      </tp>
      <tp>
        <v>-4.12</v>
        <stp/>
        <stp>BDP|17358907282739749781|22</stp>
        <stp>HWTCOV7 Comdty</stp>
        <stp>PX_SETTLE_ACTUAL_RT</stp>
        <tr r="AB15" s="8"/>
      </tp>
      <tp>
        <v>-6</v>
        <stp/>
        <stp>BDP|12098476357836667237|22</stp>
        <stp>HWTCOH7 Comdty</stp>
        <stp>PX_SETTLE_ACTUAL_RT</stp>
        <tr r="AB8" s="8"/>
      </tp>
      <tp>
        <v>88.03</v>
        <stp/>
        <stp>BDP|631130189338838281|22</stp>
        <stp>CO7 Comdty</stp>
        <stp>PX_SETTLE_ACTUAL_RT</stp>
        <tr r="V11" s="8"/>
      </tp>
      <tp>
        <v>-5.42</v>
        <stp/>
        <stp>BDP|12542966672094822787|22</stp>
        <stp>HWTCOK7 Comdty</stp>
        <stp>PX_SETTLE_ACTUAL_RT</stp>
        <tr r="AB10" s="8"/>
      </tp>
      <tp>
        <v>-3.62</v>
        <stp/>
        <stp>BDP|2906308491380617923|22</stp>
        <stp>AFY1 Comdty</stp>
        <stp>YEST_LAST_TRADE</stp>
        <tr r="Y63" s="8"/>
      </tp>
      <tp>
        <v>65.75</v>
        <stp/>
        <stp>BDP|15334059383460207|22</stp>
        <stp>FSWTM38 Comdty</stp>
        <stp>PX_SETTLE_ACTUAL_RT</stp>
        <tr r="Q42" s="8"/>
      </tp>
      <tp>
        <v>-5.7</v>
        <stp/>
        <stp>BDP|13074725220648474426|22</stp>
        <stp>HWTCOJ7 Comdty</stp>
        <stp>PX_SETTLE_ACTUAL_RT</stp>
        <tr r="AB9" s="8"/>
      </tp>
      <tp>
        <v>0.44</v>
        <stp/>
        <stp>BDP|3038397728720822503|22</stp>
        <stp>AFY21 Comdty</stp>
        <stp>LAST_PRICE</stp>
        <tr r="X83" s="8"/>
      </tp>
      <tp>
        <v>63.05</v>
        <stp/>
        <stp>BDP|10089626440426877920|22</stp>
        <stp>FSWTM48 Comdty</stp>
        <stp>PX_SETTLE_ACTUAL_RT</stp>
        <tr r="Q52" s="8"/>
      </tp>
      <tp>
        <v>69.61</v>
        <stp/>
        <stp>BDP|16346206805840840543|22</stp>
        <stp>FSWTM25 Comdty</stp>
        <stp>PX_SETTLE_ACTUAL_RT</stp>
        <tr r="Q29" s="8"/>
      </tp>
      <tp>
        <v>69.319999999999993</v>
        <stp/>
        <stp>BDP|18200747394851128580|22</stp>
        <stp>FSWTM26 Comdty</stp>
        <stp>PX_SETTLE_ACTUAL_RT</stp>
        <tr r="Q30" s="8"/>
      </tp>
      <tp t="s">
        <v>#N/A Requesting Data...3824977291</v>
        <stp/>
        <stp>BDP|13246431899994855093</stp>
        <tr r="D44" s="8"/>
        <tr r="O44" s="8"/>
      </tp>
      <tp>
        <v>67.099999999999994</v>
        <stp/>
        <stp>BDP|17536779518551921430|22</stp>
        <stp>CL34 Comdty</stp>
        <stp>LAST_PRICE</stp>
        <tr r="E38" s="8"/>
      </tp>
      <tp>
        <v>70.260000000000005</v>
        <stp/>
        <stp>BDP|15103343701594349388|22</stp>
        <stp>CO43 Comdty</stp>
        <stp>LAST_PRICE</stp>
        <tr r="K47" s="8"/>
        <tr r="U47" s="8"/>
      </tp>
      <tp t="s">
        <v>#N/A Requesting Data...3694450285</v>
        <stp/>
        <stp>BDP|13549547734487888861</stp>
        <tr r="AM71" s="8"/>
      </tp>
      <tp t="s">
        <v>#N/A Requesting Data...3736269187</v>
        <stp/>
        <stp>BDP|12865212595670265352</stp>
        <tr r="L10" s="8"/>
      </tp>
      <tp t="s">
        <v>#N/A Requesting Data...3502855105</v>
        <stp/>
        <stp>BDP|15561713472648951750</stp>
        <tr r="F53" s="8"/>
      </tp>
      <tp t="s">
        <v>#N/A Requesting Data...3892053986</v>
        <stp/>
        <stp>BDP|11305929258910550718</stp>
        <tr r="AF65" s="8"/>
      </tp>
      <tp t="s">
        <v>#N/A Requesting Data...3465773680</v>
        <stp/>
        <stp>BDP|11330896123985068458</stp>
        <tr r="L66" s="8"/>
      </tp>
      <tp t="s">
        <v>#N/A Requesting Data...3669448466</v>
        <stp/>
        <stp>BDP|14178366200625099894</stp>
        <tr r="AM92" s="8"/>
      </tp>
      <tp t="s">
        <v>#N/A Requesting Data...3947673145</v>
        <stp/>
        <stp>BDP|12397806011055954459</stp>
        <tr r="F72" s="8"/>
      </tp>
      <tp t="s">
        <v>#N/A Requesting Data...3799419372</v>
        <stp/>
        <stp>BDP|10968719793972389690</stp>
        <tr r="L87" s="8"/>
      </tp>
      <tp t="s">
        <v>#N/A Requesting Data...3411170516</v>
        <stp/>
        <stp>BDP|15045157758802814950</stp>
        <tr r="AF91" s="8"/>
      </tp>
      <tp t="s">
        <v>#N/A Requesting Data...3339028775</v>
        <stp/>
        <stp>BDP|11209603194861703516</stp>
        <tr r="F92" s="8"/>
      </tp>
      <tp t="s">
        <v>#N/A Requesting Data...3696963809</v>
        <stp/>
        <stp>BDP|16220149995820450442</stp>
        <tr r="AH74" s="8"/>
      </tp>
      <tp>
        <v>88.71</v>
        <stp/>
        <stp>BDP|14332382648870907697|22</stp>
        <stp>FSWTM2 Comdty</stp>
        <stp>PX_SETTLE_ACTUAL_RT</stp>
        <tr r="Q6" s="8"/>
      </tp>
      <tp t="s">
        <v>#N/A Requesting Data...3804815276</v>
        <stp/>
        <stp>BDP|17079907016531703451</stp>
        <tr r="D31" s="8"/>
        <tr r="O31" s="8"/>
      </tp>
      <tp t="s">
        <v>#N/A Requesting Data...3774443437</v>
        <stp/>
        <stp>BDP|16811452745089861575</stp>
        <tr r="J66" s="8"/>
      </tp>
      <tp t="s">
        <v>#N/A Requesting Data...3483711306</v>
        <stp/>
        <stp>BDP|16601842527686707045</stp>
        <tr r="L76" s="8"/>
      </tp>
      <tp>
        <v>93.14</v>
        <stp/>
        <stp>BDP|16145859650510587408|22</stp>
        <stp>CL1 Comdty</stp>
        <stp>LAST_PRICE</stp>
        <tr r="AA3" s="2"/>
        <tr r="E5" s="8"/>
      </tp>
      <tp>
        <v>68.66</v>
        <stp/>
        <stp>BDP|18387454907309479534|22</stp>
        <stp>FSWTM28 Comdty</stp>
        <stp>PX_SETTLE_ACTUAL_RT</stp>
        <tr r="Q32" s="8"/>
      </tp>
      <tp t="s">
        <v>#N/A Requesting Data...3444651747</v>
        <stp/>
        <stp>BDP|11071810983753280993</stp>
        <tr r="D18" s="8"/>
        <tr r="O18" s="8"/>
      </tp>
      <tp>
        <v>73.150000000000006</v>
        <stp/>
        <stp>BDP|16939937991545140965|22</stp>
        <stp>CL18 Comdty</stp>
        <stp>LAST_PRICE</stp>
        <tr r="E22" s="8"/>
      </tp>
      <tp t="s">
        <v>#N/A Requesting Data...4254213661</v>
        <stp/>
        <stp>BDP|13312668348199275346</stp>
        <tr r="F39" s="8"/>
      </tp>
      <tp t="s">
        <v>#N/A Requesting Data...3798201759</v>
        <stp/>
        <stp>BDP|10638173308808660242</stp>
        <tr r="L26" s="8"/>
      </tp>
      <tp t="s">
        <v>#N/A Requesting Data...4197914206</v>
        <stp/>
        <stp>BDP|11710836400421751381</stp>
        <tr r="L89" s="8"/>
      </tp>
      <tp t="s">
        <v>#N/A Requesting Data...3721376707</v>
        <stp/>
        <stp>BDP|17624262369288717048</stp>
        <tr r="D115" s="8"/>
      </tp>
      <tp>
        <v>83.97</v>
        <stp/>
        <stp>BDP|15278068094894668240|22</stp>
        <stp>FSWTM4 Comdty</stp>
        <stp>PX_SETTLE_ACTUAL_RT</stp>
        <tr r="Q8" s="8"/>
      </tp>
      <tp t="s">
        <v>#N/A Requesting Data...3969236385</v>
        <stp/>
        <stp>BDP|15658746259478392447</stp>
        <tr r="F49" s="8"/>
      </tp>
      <tp t="s">
        <v>#N/A Requesting Data...3341192185</v>
        <stp/>
        <stp>BDP|10714020142746828937</stp>
        <tr r="L74" s="8"/>
      </tp>
      <tp>
        <v>76.36</v>
        <stp/>
        <stp>BDP|17990481755313447135|22</stp>
        <stp>CO22 Comdty</stp>
        <stp>LAST_PRICE</stp>
        <tr r="K26" s="8"/>
        <tr r="U26" s="8"/>
      </tp>
      <tp t="s">
        <v>#N/A Requesting Data...4056070039</v>
        <stp/>
        <stp>BDP|11310304664336476922</stp>
        <tr r="F71" s="8"/>
      </tp>
      <tp t="s">
        <v>#N/A Requesting Data...4292633074</v>
        <stp/>
        <stp>BDP|11346805115670253355</stp>
        <tr r="D120" s="8"/>
      </tp>
      <tp t="s">
        <v>#N/A Requesting Data...3526020190</v>
        <stp/>
        <stp>BDP|17698075160948277234</stp>
        <tr r="D16" s="8"/>
        <tr r="O16" s="8"/>
      </tp>
      <tp>
        <v>68.739999999999995</v>
        <stp/>
        <stp>BDP|14489350300870961637|22</stp>
        <stp>CL29 Comdty</stp>
        <stp>LAST_PRICE</stp>
        <tr r="E33" s="8"/>
      </tp>
      <tp t="s">
        <v>#N/A Requesting Data...3807473458</v>
        <stp/>
        <stp>BDP|13196906293441881996</stp>
        <tr r="D8" s="8"/>
        <tr r="O8" s="8"/>
      </tp>
      <tp t="s">
        <v>#N/A Requesting Data...4138644581</v>
        <stp/>
        <stp>BDP|18121242130193237159</stp>
        <tr r="AB81" s="8"/>
      </tp>
      <tp t="s">
        <v>#N/A Requesting Data...3518608035</v>
        <stp/>
        <stp>BDP|10483406897977145100</stp>
        <tr r="AF93" s="8"/>
      </tp>
      <tp t="s">
        <v>#N/A Requesting Data...3735081133</v>
        <stp/>
        <stp>BDP|10446933857206602140</stp>
        <tr r="D68" s="8"/>
      </tp>
      <tp t="s">
        <v>#N/A Requesting Data...3264923527</v>
        <stp/>
        <stp>BDP|13029055582306316615</stp>
        <tr r="P84" s="8"/>
      </tp>
      <tp>
        <v>3.6</v>
        <stp/>
        <stp>BDP|15011236402982951331|22</stp>
        <stp>DTD2 Comdty</stp>
        <stp>LAST_PRICE</stp>
        <tr r="E110" s="8"/>
      </tp>
      <tp t="s">
        <v>#N/A Requesting Data...3534346086</v>
        <stp/>
        <stp>BDP|16063973900904331005</stp>
        <tr r="AH88" s="8"/>
      </tp>
      <tp t="s">
        <v>#N/A Requesting Data...3732421302</v>
        <stp/>
        <stp>BDP|18216880438589760114</stp>
        <tr r="W103" s="8"/>
      </tp>
      <tp t="s">
        <v>#N/A Requesting Data...4016812429</v>
        <stp/>
        <stp>BDP|12724724733238404557</stp>
        <tr r="AO95" s="8"/>
      </tp>
      <tp t="s">
        <v>#N/A Requesting Data...4245689499</v>
        <stp/>
        <stp>BDP|12364058473958756653</stp>
        <tr r="J21" s="8"/>
        <tr r="T21" s="8"/>
      </tp>
      <tp t="s">
        <v>#N/A Invalid Security</v>
        <stp/>
        <stp>BDP|5098116765006283814|22</stp>
        <stp>DTD25 Comdty</stp>
        <stp>LAST_PRICE</stp>
        <tr r="E133" s="8"/>
      </tp>
      <tp t="s">
        <v>#N/A Requesting Data...3890392971</v>
        <stp/>
        <stp>BDP|13554374379699185634</stp>
        <tr r="AO77" s="8"/>
      </tp>
      <tp t="s">
        <v>#N/A Requesting Data...3726847464</v>
        <stp/>
        <stp>BDP|12147869846277071187</stp>
        <tr r="D15" s="8"/>
        <tr r="O15" s="8"/>
      </tp>
      <tp t="s">
        <v>#N/A Requesting Data...3357380048</v>
        <stp/>
        <stp>BDP|11456736978501246841</stp>
        <tr r="L15" s="8"/>
      </tp>
      <tp t="s">
        <v>#N/A Requesting Data...3674509548</v>
        <stp/>
        <stp>BDP|17935646984419015806</stp>
        <tr r="F68" s="8"/>
      </tp>
      <tp>
        <v>64.680000000000007</v>
        <stp/>
        <stp>BDP|12679720932018764188|22</stp>
        <stp>CL42 Comdty</stp>
        <stp>LAST_PRICE</stp>
        <tr r="E46" s="8"/>
      </tp>
      <tp>
        <v>69.59</v>
        <stp/>
        <stp>BDP|16262004686822953472|22</stp>
        <stp>CO46 Comdty</stp>
        <stp>LAST_PRICE</stp>
        <tr r="U50" s="8"/>
        <tr r="K50" s="8"/>
      </tp>
      <tp t="s">
        <v>#N/A Requesting Data...3968776887</v>
        <stp/>
        <stp>BDP|13300099305838056358</stp>
        <tr r="J50" s="8"/>
        <tr r="T50" s="8"/>
      </tp>
      <tp t="s">
        <v>#N/A Requesting Data...3669489627</v>
        <stp/>
        <stp>BDP|17742906328143374721</stp>
        <tr r="W89" s="8"/>
      </tp>
      <tp t="s">
        <v>#N/A Requesting Data...3716339891</v>
        <stp/>
        <stp>BDP|14969314961630047983</stp>
        <tr r="AO66" s="8"/>
      </tp>
      <tp t="s">
        <v>#N/A Requesting Data...3815432463</v>
        <stp/>
        <stp>BDP|16367944223323592618</stp>
        <tr r="P97" s="8"/>
      </tp>
      <tp t="s">
        <v>#N/A Requesting Data...4002695168</v>
        <stp/>
        <stp>BDP|12502103964388315518</stp>
        <tr r="L52" s="8"/>
      </tp>
      <tp t="s">
        <v>#N/A Requesting Data...3753178823</v>
        <stp/>
        <stp>BDP|17238403159518073686</stp>
        <tr r="AO100" s="8"/>
      </tp>
      <tp t="s">
        <v>#N/A Requesting Data...3546404814</v>
        <stp/>
        <stp>BDP|14745508956029327504</stp>
        <tr r="D125" s="8"/>
      </tp>
      <tp t="s">
        <v>#N/A Requesting Data...4040985593</v>
        <stp/>
        <stp>BDP|11197124654339428418</stp>
        <tr r="F26" s="8"/>
      </tp>
      <tp t="s">
        <v>#N/A Requesting Data...3412712779</v>
        <stp/>
        <stp>BDP|18205540267264244772</stp>
        <tr r="L17" s="8"/>
      </tp>
      <tp t="s">
        <v>#N/A Requesting Data...3516549966</v>
        <stp/>
        <stp>BDP|10619857570657094040</stp>
        <tr r="AB84" s="8"/>
      </tp>
      <tp t="s">
        <v>#N/A Requesting Data...3594806099</v>
        <stp/>
        <stp>BDP|15198878092299367509</stp>
        <tr r="L44" s="8"/>
      </tp>
      <tp t="s">
        <v>#N/A Requesting Data...3724017354</v>
        <stp/>
        <stp>BDP|10002526733129556729</stp>
        <tr r="L29" s="8"/>
      </tp>
      <tp t="s">
        <v>#N/A Requesting Data...3792990830</v>
        <stp/>
        <stp>BDP|12161638381193254779</stp>
        <tr r="F43" s="8"/>
      </tp>
      <tp>
        <v>0.44</v>
        <stp/>
        <stp>BDP|5831437919568125219|22</stp>
        <stp>AFY16 Comdty</stp>
        <stp>LAST_PRICE</stp>
        <tr r="X78" s="8"/>
      </tp>
      <tp>
        <v>95.54</v>
        <stp/>
        <stp>BDP|18304569277224319305|22</stp>
        <stp>CO3 Comdty</stp>
        <stp>LAST_PRICE</stp>
        <tr r="AC5" s="2"/>
        <tr r="K7" s="8"/>
        <tr r="U7" s="8"/>
      </tp>
      <tp t="s">
        <v>#N/A Requesting Data...3901047940</v>
        <stp/>
        <stp>BDP|12087226735038967276</stp>
        <tr r="AH67" s="8"/>
      </tp>
      <tp t="s">
        <v>#N/A Requesting Data...3873844396</v>
        <stp/>
        <stp>BDP|16492662588893449270</stp>
        <tr r="AB78" s="8"/>
      </tp>
      <tp t="s">
        <v>#N/A Requesting Data...3508380316</v>
        <stp/>
        <stp>BDP|12670811800931795286</stp>
        <tr r="AH83" s="8"/>
      </tp>
      <tp t="s">
        <v>#N/A Requesting Data...3858317406</v>
        <stp/>
        <stp>BDP|15531681967324321813</stp>
        <tr r="L65" s="8"/>
      </tp>
      <tp t="s">
        <v>#N/A Requesting Data...3638014432</v>
        <stp/>
        <stp>BDP|11345296011578312328</stp>
        <tr r="J77" s="8"/>
      </tp>
      <tp t="s">
        <v>#N/A Requesting Data...3770992089</v>
        <stp/>
        <stp>BDP|13811909722370251123</stp>
        <tr r="W64" s="8"/>
      </tp>
      <tp t="s">
        <v>#N/A Requesting Data...3446889521</v>
        <stp/>
        <stp>BDP|10424245285056910515</stp>
        <tr r="D11" s="8"/>
        <tr r="O11" s="8"/>
      </tp>
      <tp t="s">
        <v>#N/A Requesting Data...4227655203</v>
        <stp/>
        <stp>BDP|14105032924086232981</stp>
        <tr r="AB64" s="8"/>
      </tp>
      <tp t="s">
        <v>#N/A Requesting Data...3744066682</v>
        <stp/>
        <stp>BDP|10727056107679071092</stp>
        <tr r="J71" s="8"/>
      </tp>
      <tp t="s">
        <v>#N/A Requesting Data...4253671125</v>
        <stp/>
        <stp>BDP|12517305189562103231</stp>
        <tr r="AF95" s="8"/>
      </tp>
      <tp t="s">
        <v>#N/A Requesting Data...3833843415</v>
        <stp/>
        <stp>BDP|13379699879292377913</stp>
        <tr r="D90" s="8"/>
      </tp>
      <tp t="s">
        <v>#N/A Requesting Data...3641431786</v>
        <stp/>
        <stp>BDP|16746917275847189610</stp>
        <tr r="L69" s="8"/>
      </tp>
      <tp t="s">
        <v>#N/A Requesting Data...3864634627</v>
        <stp/>
        <stp>BDP|13284379612119112153</stp>
        <tr r="D52" s="8"/>
        <tr r="O52" s="8"/>
      </tp>
      <tp t="s">
        <v>#N/A Requesting Data...3903081763</v>
        <stp/>
        <stp>BDP|18422857998922860245</stp>
        <tr r="D127" s="8"/>
      </tp>
      <tp t="s">
        <v>#N/A Requesting Data...3719600681</v>
        <stp/>
        <stp>BDP|12002846370184903088</stp>
        <tr r="L81" s="8"/>
      </tp>
      <tp t="s">
        <v>#N/A Requesting Data...3448317874</v>
        <stp/>
        <stp>BDP|14316265660208857185</stp>
        <tr r="L18" s="8"/>
      </tp>
      <tp t="s">
        <v>#N/A Requesting Data...4253555665</v>
        <stp/>
        <stp>BDP|17327920434757052305</stp>
        <tr r="J51" s="8"/>
        <tr r="T51" s="8"/>
      </tp>
      <tp t="s">
        <v>#N/A Requesting Data...4217278559</v>
        <stp/>
        <stp>BDP|12741248150458205452</stp>
        <tr r="L40" s="8"/>
      </tp>
      <tp t="s">
        <v>#N/A Requesting Data...4084717308</v>
        <stp/>
        <stp>BDP|11000790340692844951</stp>
        <tr r="F36" s="8"/>
      </tp>
      <tp t="s">
        <v>#N/A Requesting Data...3623059264</v>
        <stp/>
        <stp>BDP|18363653240201527270</stp>
        <tr r="L13" s="8"/>
      </tp>
      <tp t="s">
        <v>#N/A Requesting Data...4053003033</v>
        <stp/>
        <stp>BDP|11478849230006480530</stp>
        <tr r="L24" s="8"/>
      </tp>
      <tp t="s">
        <v>#N/A Requesting Data...3519669581</v>
        <stp/>
        <stp>BDP|14805116385925878126</stp>
        <tr r="P100" s="8"/>
      </tp>
      <tp t="s">
        <v>#N/A Requesting Data...3505743362</v>
        <stp/>
        <stp>BDP|17598780105487193919</stp>
        <tr r="D14" s="8"/>
        <tr r="O14" s="8"/>
      </tp>
      <tp t="s">
        <v>#N/A Requesting Data...3678474579</v>
        <stp/>
        <stp>BDP|11301885908533265490</stp>
        <tr r="J34" s="8"/>
        <tr r="T34" s="8"/>
      </tp>
      <tp>
        <v>81.58</v>
        <stp/>
        <stp>BDP|13722196039831575035|22</stp>
        <stp>CO13 Comdty</stp>
        <stp>LAST_PRICE</stp>
        <tr r="K17" s="8"/>
        <tr r="U17" s="8"/>
      </tp>
      <tp t="s">
        <v>#N/A Requesting Data...3915964570</v>
        <stp/>
        <stp>BDP|16836406884017078371</stp>
        <tr r="D47" s="8"/>
        <tr r="O47" s="8"/>
      </tp>
      <tp t="s">
        <v>#N/A Requesting Data...4025981539</v>
        <stp/>
        <stp>BDP|14806718196606712239</stp>
        <tr r="J86" s="8"/>
      </tp>
      <tp t="s">
        <v>#N/A Requesting Data...3880893677</v>
        <stp/>
        <stp>BDP|10246191997567071117</stp>
        <tr r="D100" s="8"/>
      </tp>
      <tp t="s">
        <v>#N/A Requesting Data...3584370235</v>
        <stp/>
        <stp>BDP|18392648794198817179</stp>
        <tr r="D73" s="8"/>
      </tp>
      <tp t="s">
        <v>#N/A Requesting Data...3489990389</v>
        <stp/>
        <stp>BDP|18260172685539852662</stp>
        <tr r="L45" s="8"/>
      </tp>
      <tp t="s">
        <v>#N/A Requesting Data...3541069214</v>
        <stp/>
        <stp>BDP|10271017790392670544</stp>
        <tr r="L71" s="8"/>
      </tp>
      <tp>
        <v>2.75</v>
        <stp/>
        <stp>BDP|18353194090122669778|22</stp>
        <stp>DTD3 Comdty</stp>
        <stp>LAST_PRICE</stp>
        <tr r="E111" s="8"/>
      </tp>
      <tp t="s">
        <v>#N/A Requesting Data...4218130973</v>
        <stp/>
        <stp>BDP|10974340176573935903</stp>
        <tr r="D133" s="8"/>
      </tp>
      <tp t="s">
        <v>#N/A Requesting Data...4065828664</v>
        <stp/>
        <stp>BDP|16629904270454705245</stp>
        <tr r="AO79" s="8"/>
      </tp>
      <tp>
        <v>68.400000000000006</v>
        <stp/>
        <stp>BDP|14191851877226710276|22</stp>
        <stp>CL30 Comdty</stp>
        <stp>LAST_PRICE</stp>
        <tr r="E34" s="8"/>
      </tp>
      <tp t="s">
        <v>#N/A Requesting Data...3837405163</v>
        <stp/>
        <stp>BDP|17079736411787350874</stp>
        <tr r="D41" s="8"/>
        <tr r="O41" s="8"/>
      </tp>
      <tp>
        <v>0.44</v>
        <stp/>
        <stp>BDP|9388699332817023343|22</stp>
        <stp>AFY32 Comdty</stp>
        <stp>LAST_PRICE</stp>
        <tr r="X94" s="8"/>
      </tp>
      <tp t="s">
        <v>#N/A Invalid Security</v>
        <stp/>
        <stp>BDP|7671429211033478431|22</stp>
        <stp>DTD26 Comdty</stp>
        <stp>LAST_PRICE</stp>
        <tr r="E134" s="8"/>
      </tp>
      <tp>
        <v>102.49</v>
        <stp/>
        <stp>BDP|16462023237079268467|22</stp>
        <stp>CO1 Comdty</stp>
        <stp>LAST_PRICE</stp>
        <tr r="AC3" s="2"/>
        <tr r="U5" s="8"/>
        <tr r="K5" s="8"/>
      </tp>
      <tp>
        <v>88.09</v>
        <stp/>
        <stp>BDP|16643352475501708122|22</stp>
        <stp>CO7 Comdty</stp>
        <stp>LAST_PRICE</stp>
        <tr r="U11" s="8"/>
        <tr r="K11" s="8"/>
      </tp>
      <tp>
        <v>86.89</v>
        <stp/>
        <stp>BDP|12529805999131453689|22</stp>
        <stp>CL4 Comdty</stp>
        <stp>LAST_PRICE</stp>
        <tr r="E8" s="8"/>
        <tr r="AA6" s="2"/>
      </tp>
      <tp>
        <v>93.22</v>
        <stp/>
        <stp>BDP|11350323692877335505|22</stp>
        <stp>CO4 Comdty</stp>
        <stp>LAST_PRICE</stp>
        <tr r="K8" s="8"/>
        <tr r="U8" s="8"/>
        <tr r="AC6" s="2"/>
      </tp>
      <tp>
        <v>64.349999999999994</v>
        <stp/>
        <stp>BDP|13654129491304403637|22</stp>
        <stp>FSWTM43 Comdty</stp>
        <stp>PX_SETTLE_ACTUAL_RT</stp>
        <tr r="Q47" s="8"/>
      </tp>
      <tp t="s">
        <v>#N/A Requesting Data...4018957960</v>
        <stp/>
        <stp>BDP|14668991624838562872</stp>
        <tr r="L30" s="8"/>
      </tp>
      <tp t="s">
        <v>#N/A Requesting Data...3963713937</v>
        <stp/>
        <stp>BDP|12796438187455865427</stp>
        <tr r="AF98" s="8"/>
      </tp>
      <tp>
        <v>77.75</v>
        <stp/>
        <stp>BDP|15600855364923206709|22</stp>
        <stp>CO19 Comdty</stp>
        <stp>LAST_PRICE</stp>
        <tr r="K23" s="8"/>
        <tr r="U23" s="8"/>
      </tp>
      <tp t="s">
        <v>#N/A Requesting Data...3821147177</v>
        <stp/>
        <stp>BDP|12372243984163820402</stp>
        <tr r="AB82" s="8"/>
      </tp>
      <tp t="s">
        <v>#N/A Requesting Data...4164352148</v>
        <stp/>
        <stp>BDP|13210280786627255149</stp>
        <tr r="AB70" s="8"/>
      </tp>
      <tp t="s">
        <v>#N/A Requesting Data...4103805239</v>
        <stp/>
        <stp>BDP|14953334754868064520</stp>
        <tr r="AF72" s="8"/>
      </tp>
      <tp t="s">
        <v>#N/A Requesting Data...3891688712</v>
        <stp/>
        <stp>BDP|17944842161984511276</stp>
        <tr r="F66" s="8"/>
      </tp>
      <tp t="s">
        <v>#N/A Requesting Data...4094484875</v>
        <stp/>
        <stp>BDP|16653267106282043979</stp>
        <tr r="AM66" s="8"/>
      </tp>
      <tp t="s">
        <v>#N/A Requesting Data...3712902456</v>
        <stp/>
        <stp>BDP|10487552791605341631</stp>
        <tr r="AF94" s="8"/>
      </tp>
      <tp t="s">
        <v>#N/A Requesting Data...3867017249</v>
        <stp/>
        <stp>BDP|11086902850712346004</stp>
        <tr r="AB72" s="8"/>
      </tp>
      <tp t="s">
        <v>#N/A Requesting Data...4067322700</v>
        <stp/>
        <stp>BDP|11938383073812699860</stp>
        <tr r="F80" s="8"/>
      </tp>
      <tp>
        <v>62.74</v>
        <stp/>
        <stp>BDP|17703047936547034344|22</stp>
        <stp>CL49 Comdty</stp>
        <stp>LAST_PRICE</stp>
        <tr r="E53" s="8"/>
      </tp>
      <tp t="s">
        <v>#N/A Requesting Data...4050289150</v>
        <stp/>
        <stp>BDP|14584491770291069998</stp>
        <tr r="L68" s="8"/>
      </tp>
      <tp>
        <v>0.41</v>
        <stp/>
        <stp>BDP|8308507700204663133|22</stp>
        <stp>AFY14 Comdty</stp>
        <stp>LAST_PRICE</stp>
        <tr r="X76" s="8"/>
      </tp>
      <tp>
        <v>83.27</v>
        <stp/>
        <stp>BDP|13733013614739692554|22</stp>
        <stp>CL6 Comdty</stp>
        <stp>LAST_PRICE</stp>
        <tr r="E10" s="8"/>
      </tp>
      <tp>
        <v>68.069999999999993</v>
        <stp/>
        <stp>BDP|17958681198803850042|22</stp>
        <stp>FSWTM30 Comdty</stp>
        <stp>PX_SETTLE_ACTUAL_RT</stp>
        <tr r="Q34" s="8"/>
      </tp>
      <tp>
        <v>66.86</v>
        <stp/>
        <stp>BDP|13383226264496409671|22</stp>
        <stp>FSWTM34 Comdty</stp>
        <stp>PX_SETTLE_ACTUAL_RT</stp>
        <tr r="Q38" s="8"/>
      </tp>
      <tp>
        <v>71.69</v>
        <stp/>
        <stp>BDP|17066658024153614097|22</stp>
        <stp>CO36 Comdty</stp>
        <stp>LAST_PRICE</stp>
        <tr r="K40" s="8"/>
        <tr r="U40" s="8"/>
      </tp>
      <tp t="s">
        <v>#N/A Requesting Data...4012978493</v>
        <stp/>
        <stp>BDP|16572228279259172676</stp>
        <tr r="J87" s="8"/>
      </tp>
      <tp t="s">
        <v>#N/A Requesting Data...4220335525</v>
        <stp/>
        <stp>BDP|18271606541423232597</stp>
        <tr r="F33" s="8"/>
      </tp>
      <tp>
        <v>78.290000000000006</v>
        <stp/>
        <stp>BDP|14050768118048121558|22</stp>
        <stp>CO18 Comdty</stp>
        <stp>LAST_PRICE</stp>
        <tr r="K22" s="8"/>
        <tr r="U22" s="8"/>
      </tp>
      <tp t="s">
        <v>#N/A Requesting Data...4028308724</v>
        <stp/>
        <stp>BDP|10810994028993232403</stp>
        <tr r="P85" s="8"/>
      </tp>
      <tp t="s">
        <v>#N/A Requesting Data...4285773047</v>
        <stp/>
        <stp>BDP|17072539420939964517</stp>
        <tr r="AH68" s="8"/>
      </tp>
      <tp>
        <v>69.16</v>
        <stp/>
        <stp>BDP|12505680015748624142|22</stp>
        <stp>CO48 Comdty</stp>
        <stp>LAST_PRICE</stp>
        <tr r="K52" s="8"/>
        <tr r="U52" s="8"/>
      </tp>
      <tp t="s">
        <v>#N/A Requesting Data...3982530736</v>
        <stp/>
        <stp>BDP|14345190712980537801</stp>
        <tr r="J88" s="8"/>
      </tp>
      <tp>
        <v>79.94</v>
        <stp/>
        <stp>BDP|12838010479337258773|22</stp>
        <stp>FSWTM7 Comdty</stp>
        <stp>PX_SETTLE_ACTUAL_RT</stp>
        <tr r="Q11" s="8"/>
      </tp>
      <tp t="s">
        <v>#N/A Requesting Data...3761684978</v>
        <stp/>
        <stp>BDP|14359912123422831150</stp>
        <tr r="AF99" s="8"/>
      </tp>
      <tp t="s">
        <v>#N/A Requesting Data...3912503550</v>
        <stp/>
        <stp>BDP|16321936530943637398</stp>
        <tr r="L59" s="8"/>
      </tp>
      <tp>
        <v>0.3</v>
        <stp/>
        <stp>BDP|16474201679456564532|22</stp>
        <stp>AFY9 Comdty</stp>
        <stp>LAST_PRICE</stp>
        <tr r="X71" s="8"/>
      </tp>
      <tp t="s">
        <v>#N/A Requesting Data...4124363908</v>
        <stp/>
        <stp>BDP|11181100135106271974</stp>
        <tr r="AM93" s="8"/>
      </tp>
      <tp t="s">
        <v>#N/A Requesting Data...4236162948</v>
        <stp/>
        <stp>BDP|15520114608171910957</stp>
        <tr r="J37" s="8"/>
        <tr r="T37" s="8"/>
      </tp>
      <tp t="s">
        <v>#N/A Requesting Data...3695037745</v>
        <stp/>
        <stp>BDP|11240130097017522230</stp>
        <tr r="AB90" s="8"/>
      </tp>
      <tp t="s">
        <v>#N/A Requesting Data...3742229697</v>
        <stp/>
        <stp>BDP|10339408875327254870</stp>
        <tr r="F51" s="8"/>
      </tp>
      <tp t="s">
        <v>#N/A Requesting Data...3758230200</v>
        <stp/>
        <stp>BDP|15277547614118625573</stp>
        <tr r="AM76" s="8"/>
      </tp>
      <tp t="s">
        <v>#N/A Requesting Data...4265898677</v>
        <stp/>
        <stp>BDP|16839589065048430130</stp>
        <tr r="AF86" s="8"/>
      </tp>
      <tp t="s">
        <v>#N/A Requesting Data...4003796264</v>
        <stp/>
        <stp>BDP|12578650799449927822</stp>
        <tr r="AH90" s="8"/>
      </tp>
      <tp t="s">
        <v>#N/A Requesting Data...3717819529</v>
        <stp/>
        <stp>BDP|10913288269741291986</stp>
        <tr r="F42" s="8"/>
      </tp>
      <tp>
        <v>0.75</v>
        <stp/>
        <stp>BDP|12808651964895095598|22</stp>
        <stp>DTD7 Comdty</stp>
        <stp>LAST_PRICE</stp>
        <tr r="E115" s="8"/>
      </tp>
      <tp t="s">
        <v>#N/A Requesting Data...4018311656</v>
        <stp/>
        <stp>BDP|15196030096239847990</stp>
        <tr r="J52" s="8"/>
        <tr r="T52" s="8"/>
      </tp>
      <tp t="s">
        <v>#N/A Requesting Data...4053399013</v>
        <stp/>
        <stp>BDP|14879713782975926273</stp>
        <tr r="D80" s="8"/>
      </tp>
      <tp t="s">
        <v>#N/A Requesting Data...4081170204</v>
        <stp/>
        <stp>BDP|13170017145299244233</stp>
        <tr r="J12" s="8"/>
        <tr r="T12" s="8"/>
      </tp>
      <tp t="s">
        <v>#N/A Requesting Data...3724089861</v>
        <stp/>
        <stp>BDP|12675640162669791710</stp>
        <tr r="AF64" s="8"/>
      </tp>
      <tp>
        <v>0.44</v>
        <stp/>
        <stp>BDP|1749826834888649616|22</stp>
        <stp>AFY19 Comdty</stp>
        <stp>LAST_PRICE</stp>
        <tr r="X81" s="8"/>
      </tp>
      <tp t="s">
        <v>#N/A Real Time</v>
        <stp/>
        <stp>BDP|8366533255008660094|22</stp>
        <stp>DTD18 Comdty</stp>
        <stp>LAST_PRICE</stp>
        <tr r="E126" s="8"/>
      </tp>
      <tp t="s">
        <v>#N/A Requesting Data...4038600455</v>
        <stp/>
        <stp>BDP|11900239621525050928</stp>
        <tr r="W96" s="8"/>
      </tp>
      <tp t="s">
        <v>#N/A Requesting Data...4229397748</v>
        <stp/>
        <stp>BDP|16566770363179841329</stp>
        <tr r="D132" s="8"/>
      </tp>
      <tp t="s">
        <v>#N/A Requesting Data...3874346067</v>
        <stp/>
        <stp>BDP|12979112953963525845</stp>
        <tr r="D76" s="8"/>
      </tp>
      <tp t="s">
        <v>#N/A Requesting Data...3819401194</v>
        <stp/>
        <stp>BDP|13088661729778232204</stp>
        <tr r="D93" s="8"/>
      </tp>
      <tp t="s">
        <v>#N/A Requesting Data...4273549136</v>
        <stp/>
        <stp>BDP|18252091462001680224</stp>
        <tr r="J81" s="8"/>
      </tp>
      <tp t="s">
        <v>#N/A Requesting Data...4271795582</v>
        <stp/>
        <stp>BDP|14599900638197753462</stp>
        <tr r="F73" s="8"/>
      </tp>
      <tp>
        <v>77.31</v>
        <stp/>
        <stp>BDP|17199591481783015750|22</stp>
        <stp>CO20 Comdty</stp>
        <stp>LAST_PRICE</stp>
        <tr r="K24" s="8"/>
        <tr r="U24" s="8"/>
      </tp>
      <tp>
        <v>75.08</v>
        <stp/>
        <stp>BDP|13665225414844844074|22</stp>
        <stp>CO25 Comdty</stp>
        <stp>LAST_PRICE</stp>
        <tr r="K29" s="8"/>
        <tr r="U29" s="8"/>
      </tp>
      <tp t="s">
        <v>#N/A Requesting Data...4244947430</v>
        <stp/>
        <stp>BDP|13182660366229095716</stp>
        <tr r="L11" s="8"/>
      </tp>
      <tp>
        <v>78.62</v>
        <stp/>
        <stp>BDP|11677704936833061903|22</stp>
        <stp>CL10 Comdty</stp>
        <stp>LAST_PRICE</stp>
        <tr r="E14" s="8"/>
      </tp>
      <tp t="s">
        <v>#N/A Requesting Data...3950405040</v>
        <stp/>
        <stp>BDP|15344359315763406944</stp>
        <tr r="AO74" s="8"/>
      </tp>
      <tp t="s">
        <v>#N/A Requesting Data...3834580626</v>
        <stp/>
        <stp>BDP|15233908965274451309</stp>
        <tr r="D114" s="8"/>
      </tp>
      <tp t="s">
        <v>#N/A Requesting Data...4291813484</v>
        <stp/>
        <stp>BDP|12054925141231952385</stp>
        <tr r="AH95" s="8"/>
      </tp>
      <tp>
        <v>80.81</v>
        <stp/>
        <stp>BDP|11289431684370983398|22</stp>
        <stp>CO14 Comdty</stp>
        <stp>LAST_PRICE</stp>
        <tr r="U18" s="8"/>
        <tr r="K18" s="8"/>
      </tp>
      <tp t="s">
        <v>#N/A Requesting Data...3857183673</v>
        <stp/>
        <stp>BDP|10755084953030856824</stp>
        <tr r="L46" s="8"/>
      </tp>
      <tp>
        <v>0.38900000000000001</v>
        <stp/>
        <stp>BDP|1933077639134860216|22</stp>
        <stp>AFY10 Comdty</stp>
        <stp>LAST_PRICE</stp>
        <tr r="X72" s="8"/>
      </tp>
      <tp>
        <v>0.44</v>
        <stp/>
        <stp>BDP|3509320949195858408|22</stp>
        <stp>AFY27 Comdty</stp>
        <stp>LAST_PRICE</stp>
        <tr r="X89" s="8"/>
      </tp>
      <tp t="s">
        <v>#N/A Invalid Security</v>
        <stp/>
        <stp>BDP|4947114776585103960|22</stp>
        <stp>DTD38 Comdty</stp>
        <stp>LAST_PRICE</stp>
        <tr r="E146" s="8"/>
      </tp>
      <tp>
        <v>0.1</v>
        <stp/>
        <stp>BDP|3661825029511291292|22</stp>
        <stp>DTD12 Comdty</stp>
        <stp>LAST_PRICE</stp>
        <tr r="E120" s="8"/>
      </tp>
      <tp>
        <v>64.08</v>
        <stp/>
        <stp>BDP|12136142843547541335|22</stp>
        <stp>FSWTM44 Comdty</stp>
        <stp>PX_SETTLE_ACTUAL_RT</stp>
        <tr r="Q48" s="8"/>
      </tp>
      <tp>
        <v>70.989999999999995</v>
        <stp/>
        <stp>BDP|14935850644793599288|22</stp>
        <stp>FSWTM21 Comdty</stp>
        <stp>PX_SETTLE_ACTUAL_RT</stp>
        <tr r="Q25" s="8"/>
      </tp>
      <tp>
        <v>76.94</v>
        <stp/>
        <stp>BDP|11104191978433099209|22</stp>
        <stp>FSWTM10 Comdty</stp>
        <stp>PX_SETTLE_ACTUAL_RT</stp>
        <tr r="Q14" s="8"/>
      </tp>
      <tp>
        <v>68.92</v>
        <stp/>
        <stp>BDP|14257465340037400678|22</stp>
        <stp>CO49 Comdty</stp>
        <stp>LAST_PRICE</stp>
        <tr r="U53" s="8"/>
        <tr r="K53" s="8"/>
      </tp>
      <tp t="s">
        <v>#N/A Requesting Data...3971104610</v>
        <stp/>
        <stp>BDP|10047994702269880281</stp>
        <tr r="W80" s="8"/>
      </tp>
      <tp t="s">
        <v>#N/A Requesting Data...4262780675</v>
        <stp/>
        <stp>BDP|16158975685054146182</stp>
        <tr r="AM85" s="8"/>
      </tp>
      <tp>
        <v>84.33</v>
        <stp/>
        <stp>BDP|16185225719853855281|22</stp>
        <stp>CO10 Comdty</stp>
        <stp>LAST_PRICE</stp>
        <tr r="U14" s="8"/>
        <tr r="K14" s="8"/>
      </tp>
      <tp t="s">
        <v>#N/A Requesting Data...4164936428</v>
        <stp/>
        <stp>BDP|12181291730604075545</stp>
        <tr r="P65" s="8"/>
      </tp>
      <tp t="s">
        <v>#N/A Requesting Data...3916755015</v>
        <stp/>
        <stp>BDP|12898464710301557445</stp>
        <tr r="AH85" s="8"/>
      </tp>
      <tp t="s">
        <v>#N/A Requesting Data...4029821784</v>
        <stp/>
        <stp>BDP|16233556890168937012</stp>
        <tr r="J15" s="8"/>
        <tr r="T15" s="8"/>
      </tp>
      <tp t="s">
        <v>#N/A Requesting Data...3960711708</v>
        <stp/>
        <stp>BDP|17070094082235619831</stp>
        <tr r="W100" s="8"/>
      </tp>
      <tp t="s">
        <v>#N/A Requesting Data...3870904148</v>
        <stp/>
        <stp>BDP|12428069747891372585</stp>
        <tr r="W77" s="8"/>
      </tp>
      <tp t="s">
        <v>#N/A Requesting Data...3883344693</v>
        <stp/>
        <stp>BDP|13211449771441795305</stp>
        <tr r="F86" s="8"/>
      </tp>
      <tp>
        <v>69.37</v>
        <stp/>
        <stp>BDP|17103700233657128932|22</stp>
        <stp>CO47 Comdty</stp>
        <stp>LAST_PRICE</stp>
        <tr r="K51" s="8"/>
        <tr r="U51" s="8"/>
      </tp>
      <tp t="s">
        <v>#N/A Requesting Data...4059020755</v>
        <stp/>
        <stp>BDP|10211320636041595300</stp>
        <tr r="L47" s="8"/>
      </tp>
      <tp t="s">
        <v>#N/A Requesting Data...4179005358</v>
        <stp/>
        <stp>BDP|13372675485749258603</stp>
        <tr r="AB99" s="8"/>
      </tp>
      <tp t="s">
        <v>#N/A Requesting Data...3937375035</v>
        <stp/>
        <stp>BDP|16476985794796943223</stp>
        <tr r="L91" s="8"/>
      </tp>
      <tp t="s">
        <v>#N/A Requesting Data...4196078787</v>
        <stp/>
        <stp>BDP|11821136318317656465</stp>
        <tr r="F58" s="8"/>
      </tp>
      <tp>
        <v>69.47</v>
        <stp/>
        <stp>BDP|12468803414372166136|22</stp>
        <stp>CL27 Comdty</stp>
        <stp>LAST_PRICE</stp>
        <tr r="E31" s="8"/>
      </tp>
      <tp t="s">
        <v>#N/A Requesting Data...3991991957</v>
        <stp/>
        <stp>BDP|11680530845697564570</stp>
        <tr r="L73" s="8"/>
      </tp>
      <tp t="s">
        <v>#N/A Requesting Data...4208818596</v>
        <stp/>
        <stp>BDP|10569739008407927222</stp>
        <tr r="L32" s="8"/>
      </tp>
      <tp t="s">
        <v>#N/A Requesting Data...4192714336</v>
        <stp/>
        <stp>BDP|15533758831532495116</stp>
        <tr r="L78" s="8"/>
      </tp>
      <tp t="s">
        <v>#N/A Requesting Data...3937973597</v>
        <stp/>
        <stp>BDP|16503202223073827791</stp>
        <tr r="J100" s="8"/>
      </tp>
      <tp t="s">
        <v>#N/A Requesting Data...4035604654</v>
        <stp/>
        <stp>BDP|12475214695452316959</stp>
        <tr r="J101" s="8"/>
      </tp>
      <tp t="s">
        <v>#N/A Requesting Data...4286028180</v>
        <stp/>
        <stp>BDP|16791765607974173714</stp>
        <tr r="D135" s="8"/>
      </tp>
      <tp t="s">
        <v>#N/A Invalid Security</v>
        <stp/>
        <stp>BDP|2097059323052434018|22</stp>
        <stp>DTD37 Comdty</stp>
        <stp>LAST_PRICE</stp>
        <tr r="E145" s="8"/>
      </tp>
      <tp>
        <v>72.48</v>
        <stp/>
        <stp>BDP|15002703301279728207|22</stp>
        <stp>FSWTM17 Comdty</stp>
        <stp>PX_SETTLE_ACTUAL_RT</stp>
        <tr r="Q21" s="8"/>
      </tp>
      <tp t="s">
        <v>#N/A Requesting Data...4126454487</v>
        <stp/>
        <stp>BDP|13018177527416108589</stp>
        <tr r="D113" s="8"/>
      </tp>
      <tp t="s">
        <v>#N/A Requesting Data...4210947558</v>
        <stp/>
        <stp>BDP|16147610348035118204</stp>
        <tr r="F64" s="8"/>
      </tp>
      <tp t="s">
        <v>#N/A Requesting Data...4066479202</v>
        <stp/>
        <stp>BDP|17951170841313650216</stp>
        <tr r="J64" s="8"/>
      </tp>
      <tp t="s">
        <v>#N/A Requesting Data...4251109905</v>
        <stp/>
        <stp>BDP|17974212865291130141</stp>
        <tr r="D74" s="8"/>
      </tp>
      <tp>
        <v>63.83</v>
        <stp/>
        <stp>BDP|14332316614086439363|22</stp>
        <stp>CL45 Comdty</stp>
        <stp>LAST_PRICE</stp>
        <tr r="E49" s="8"/>
      </tp>
      <tp>
        <v>76.12</v>
        <stp/>
        <stp>BDP|13359331774299135356|22</stp>
        <stp>CL13 Comdty</stp>
        <stp>LAST_PRICE</stp>
        <tr r="E17" s="8"/>
      </tp>
      <tp t="s">
        <v>#N/A Requesting Data...4201317746</v>
        <stp/>
        <stp>BDP|18224969543694366299</stp>
        <tr r="P88" s="8"/>
      </tp>
      <tp t="s">
        <v>#N/A Requesting Data...4139290463</v>
        <stp/>
        <stp>BDP|13268382424840360117</stp>
        <tr r="AH97" s="8"/>
      </tp>
      <tp t="s">
        <v>#N/A Requesting Data...4187004066</v>
        <stp/>
        <stp>BDP|17358343243776167593</stp>
        <tr r="F38" s="8"/>
      </tp>
      <tp t="s">
        <v>#N/A Requesting Data...4036267863</v>
        <stp/>
        <stp>BDP|11250419199078037754</stp>
        <tr r="P95" s="8"/>
      </tp>
      <tp t="s">
        <v>#N/A Requesting Data...4232349686</v>
        <stp/>
        <stp>BDP|14450856714076214881</stp>
        <tr r="D84" s="8"/>
      </tp>
      <tp>
        <v>71.099999999999994</v>
        <stp/>
        <stp>BDP|10968319539388754551|22</stp>
        <stp>CO38 Comdty</stp>
        <stp>LAST_PRICE</stp>
        <tr r="U42" s="8"/>
        <tr r="K42" s="8"/>
      </tp>
      <tp t="s">
        <v>#N/A Requesting Data...4021578398</v>
        <stp/>
        <stp>BDP|10848369019623174281</stp>
        <tr r="J20" s="8"/>
        <tr r="T20" s="8"/>
      </tp>
      <tp t="s">
        <v>#N/A Requesting Data...4070561269</v>
        <stp/>
        <stp>BDP|10209354958293528649</stp>
        <tr r="F74" s="8"/>
      </tp>
      <tp t="s">
        <v>#N/A Requesting Data...4245453625</v>
        <stp/>
        <stp>BDP|10438057261197812298</stp>
        <tr r="AM83" s="8"/>
      </tp>
      <tp t="s">
        <v>#N/A Requesting Data...4111427737</v>
        <stp/>
        <stp>BDP|17467780341322473581</stp>
        <tr r="AF79" s="8"/>
      </tp>
      <tp t="s">
        <v>#N/A Requesting Data...4137931739</v>
        <stp/>
        <stp>BDP|15342728521583263024</stp>
        <tr r="J84" s="8"/>
      </tp>
      <tp t="s">
        <v>#N/A Requesting Data...4016277243</v>
        <stp/>
        <stp>BDP|10672328923683476116</stp>
        <tr r="J83" s="8"/>
      </tp>
      <tp t="s">
        <v>#N/A Requesting Data...4209051520</v>
        <stp/>
        <stp>BDP|17923371057734356684</stp>
        <tr r="D145" s="8"/>
      </tp>
      <tp>
        <v>71.33</v>
        <stp/>
        <stp>BDP|14897908528298070896|22</stp>
        <stp>CL22 Comdty</stp>
        <stp>LAST_PRICE</stp>
        <tr r="E26" s="8"/>
      </tp>
      <tp t="s">
        <v>#N/A Requesting Data...4126772179</v>
        <stp/>
        <stp>BDP|14127566603872782070</stp>
        <tr r="F65" s="8"/>
      </tp>
      <tp t="s">
        <v>#N/A Requesting Data...4111357771</v>
        <stp/>
        <stp>BDP|17139102075761590362</stp>
        <tr r="AO87" s="8"/>
      </tp>
      <tp t="s">
        <v>#N/A Requesting Data...4141214585</v>
        <stp/>
        <stp>BDP|13564307364407681214</stp>
        <tr r="D144" s="8"/>
      </tp>
      <tp t="s">
        <v>#N/A Requesting Data...4076558128</v>
        <stp/>
        <stp>BDP|13049837111618640122</stp>
        <tr r="F78" s="8"/>
      </tp>
      <tp t="s">
        <v>#N/A Requesting Data...4234016555</v>
        <stp/>
        <stp>BDP|14052928775430953988</stp>
        <tr r="J38" s="8"/>
        <tr r="T38" s="8"/>
      </tp>
      <tp>
        <v>0.41</v>
        <stp/>
        <stp>BDP|5813404079049300257|22</stp>
        <stp>AFY13 Comdty</stp>
        <stp>LAST_PRICE</stp>
        <tr r="X75" s="8"/>
      </tp>
      <tp>
        <v>0.44</v>
        <stp/>
        <stp>BDP|4769116297584427156|22</stp>
        <stp>AFY20 Comdty</stp>
        <stp>LAST_PRICE</stp>
        <tr r="X82" s="8"/>
      </tp>
      <tp t="s">
        <v>#N/A Real Time</v>
        <stp/>
        <stp>BDP|2198100050886510730|22</stp>
        <stp>DTD21 Comdty</stp>
        <stp>LAST_PRICE</stp>
        <tr r="E129" s="8"/>
      </tp>
      <tp t="s">
        <v>#N/A Real Time</v>
        <stp/>
        <stp>BDP|5266552963241163311|22</stp>
        <stp>DTD19 Comdty</stp>
        <stp>LAST_PRICE</stp>
        <tr r="E127" s="8"/>
      </tp>
      <tp>
        <v>0.2</v>
        <stp/>
        <stp>BDP|1030837059930611992|22</stp>
        <stp>DTD13 Comdty</stp>
        <stp>LAST_PRICE</stp>
        <tr r="E121" s="8"/>
      </tp>
      <tp>
        <v>68.989999999999995</v>
        <stp/>
        <stp>BDP|11107859783174688257|22</stp>
        <stp>FSWTM27 Comdty</stp>
        <stp>PX_SETTLE_ACTUAL_RT</stp>
        <tr r="Q31" s="8"/>
      </tp>
      <tp>
        <v>63.28</v>
        <stp/>
        <stp>BDP|11227341757062621526|22</stp>
        <stp>FSWTM47 Comdty</stp>
        <stp>PX_SETTLE_ACTUAL_RT</stp>
        <tr r="Q51" s="8"/>
      </tp>
      <tp>
        <v>70.61</v>
        <stp/>
        <stp>BDP|14539274218488564922|22</stp>
        <stp>FSWTM22 Comdty</stp>
        <stp>PX_SETTLE_ACTUAL_RT</stp>
        <tr r="Q26" s="8"/>
      </tp>
      <tp t="s">
        <v>#N/A Requesting Data...4060046663</v>
        <stp/>
        <stp>BDP|11921122075417412028</stp>
        <tr r="W87" s="8"/>
      </tp>
      <tp t="s">
        <v>#N/A Requesting Data...4055125658</v>
        <stp/>
        <stp>BDP|14210107104345918049</stp>
        <tr r="D122" s="8"/>
      </tp>
      <tp t="s">
        <v>#N/A Requesting Data...4097099227</v>
        <stp/>
        <stp>BDP|11225488042434326508</stp>
        <tr r="AO84" s="8"/>
      </tp>
      <tp t="s">
        <v>#N/A Requesting Data...4191074549</v>
        <stp/>
        <stp>BDP|14086168149337207608</stp>
        <tr r="L28" s="8"/>
      </tp>
      <tp t="s">
        <v>#N/A Requesting Data...4115583443</v>
        <stp/>
        <stp>BDP|17471598136501319052</stp>
        <tr r="D38" s="8"/>
        <tr r="O38" s="8"/>
      </tp>
      <tp t="s">
        <v>#N/A Requesting Data...4284312585</v>
        <stp/>
        <stp>BDP|14276423679864152342</stp>
        <tr r="AF84" s="8"/>
      </tp>
      <tp t="s">
        <v>#N/A Requesting Data...4145795969</v>
        <stp/>
        <stp>BDP|14326633227671803139</stp>
        <tr r="F11" s="8"/>
      </tp>
      <tp t="s">
        <v>#N/A Requesting Data...4266443591</v>
        <stp/>
        <stp>BDP|15918372368464397492</stp>
        <tr r="D23" s="8"/>
        <tr r="O23" s="8"/>
      </tp>
      <tp t="s">
        <v>#N/A Requesting Data...4140601780</v>
        <stp/>
        <stp>BDP|15062796434544203535</stp>
        <tr r="AH66" s="8"/>
      </tp>
      <tp t="s">
        <v>#N/A Requesting Data...4074553980</v>
        <stp/>
        <stp>BDP|16975467172800873551</stp>
        <tr r="J8" s="8"/>
        <tr r="T8" s="8"/>
      </tp>
      <tp t="s">
        <v>#N/A Requesting Data...4115730669</v>
        <stp/>
        <stp>BDP|10095108314703282368</stp>
        <tr r="AM96" s="8"/>
      </tp>
      <tp t="s">
        <v>#N/A Requesting Data...4074466960</v>
        <stp/>
        <stp>BDP|17258850565170325913</stp>
        <tr r="D63" s="8"/>
      </tp>
      <tp t="s">
        <v>#N/A Requesting Data...4094449644</v>
        <stp/>
        <stp>BDP|16881309304143825665</stp>
        <tr r="L100" s="8"/>
      </tp>
      <tp t="s">
        <v>#N/A Requesting Data...4113796395</v>
        <stp/>
        <stp>BDP|12672078084978780275</stp>
        <tr r="AO83" s="8"/>
      </tp>
      <tp t="s">
        <v>#N/A Requesting Data...4092477624</v>
        <stp/>
        <stp>BDP|11326216253756598018</stp>
        <tr r="D50" s="8"/>
        <tr r="O50" s="8"/>
      </tp>
      <tp t="s">
        <v>#N/A Requesting Data...4250077748</v>
        <stp/>
        <stp>BDP|17592271077872792079</stp>
        <tr r="L31" s="8"/>
      </tp>
      <tp t="s">
        <v>#N/A Requesting Data...4130828342</v>
        <stp/>
        <stp>BDP|15240586342542867654</stp>
        <tr r="AM70" s="8"/>
      </tp>
      <tp t="s">
        <v>#N/A Requesting Data...4202876886</v>
        <stp/>
        <stp>BDP|10653627163025705556</stp>
        <tr r="AO93" s="8"/>
      </tp>
      <tp t="s">
        <v>#N/A Requesting Data...4114236431</v>
        <stp/>
        <stp>BDP|10989194527147087433</stp>
        <tr r="J44" s="8"/>
        <tr r="T44" s="8"/>
      </tp>
      <tp t="s">
        <v>#N/A Requesting Data...4116301437</v>
        <stp/>
        <stp>BDP|13323943528498003085</stp>
        <tr r="D40" s="8"/>
        <tr r="O40" s="8"/>
      </tp>
      <tp t="s">
        <v>#N/A Requesting Data...4159554041</v>
        <stp/>
        <stp>BDP|11123357764064131061</stp>
        <tr r="AM89" s="8"/>
      </tp>
      <tp>
        <v>0.44</v>
        <stp/>
        <stp>BDP|3298864180625567034|22</stp>
        <stp>AFY39 Comdty</stp>
        <stp>LAST_PRICE</stp>
        <tr r="X101" s="8"/>
      </tp>
      <tp t="s">
        <v>#N/A Real Time</v>
        <stp/>
        <stp>BDP|9644249563665341721|22</stp>
        <stp>DTD16 Comdty</stp>
        <stp>LAST_PRICE</stp>
        <tr r="E124" s="8"/>
      </tp>
      <tp t="s">
        <v>#N/A Requesting Data...4197669636</v>
        <stp/>
        <stp>BDP|18091167584815294586</stp>
        <tr r="AF92" s="8"/>
      </tp>
      <tp t="s">
        <v>#N/A Requesting Data...4254645647</v>
        <stp/>
        <stp>BDP|17212124429152487760</stp>
        <tr r="D121" s="8"/>
      </tp>
      <tp t="s">
        <v>#N/A Requesting Data...4264948289</v>
        <stp/>
        <stp>BDP|14089913864368656288</stp>
        <tr r="F79" s="8"/>
      </tp>
      <tp t="s">
        <v>#N/A Requesting Data...4291760534</v>
        <stp/>
        <stp>BDP|15839694361546995244</stp>
        <tr r="D81" s="8"/>
      </tp>
      <tp t="s">
        <v>#N/A Requesting Data...4233751840</v>
        <stp/>
        <stp>BDP|11262328837982368290</stp>
        <tr r="L51" s="8"/>
      </tp>
      <tp t="s">
        <v>#N/A Requesting Data...4187244870</v>
        <stp/>
        <stp>BDP|12878222115835068538</stp>
        <tr r="L27" s="8"/>
      </tp>
      <tp t="s">
        <v>#N/A Requesting Data...4215869811</v>
        <stp/>
        <stp>BDP|16879959012727707849</stp>
        <tr r="AB89" s="8"/>
      </tp>
      <tp t="s">
        <v>#N/A Requesting Data...4207553072</v>
        <stp/>
        <stp>BDP|12859313975217032038</stp>
        <tr r="J39" s="8"/>
        <tr r="T39" s="8"/>
      </tp>
      <tp t="s">
        <v>#N/A Requesting Data...4232975003</v>
        <stp/>
        <stp>BDP|12110209616340823016</stp>
        <tr r="D88" s="8"/>
      </tp>
      <tp>
        <v>70.78</v>
        <stp/>
        <stp>BDP|12147510714764728573|22</stp>
        <stp>CO40 Comdty</stp>
        <stp>LAST_PRICE</stp>
        <tr r="K44" s="8"/>
        <tr r="U44" s="8"/>
      </tp>
      <tp>
        <v>73.760000000000005</v>
        <stp/>
        <stp>BDP|10820531650311889813|22</stp>
        <stp>CO29 Comdty</stp>
        <stp>LAST_PRICE</stp>
        <tr r="U33" s="8"/>
        <tr r="K33" s="8"/>
      </tp>
      <tp>
        <v>63.26</v>
        <stp/>
        <stp>BDP|15181816034292107269|22</stp>
        <stp>CL47 Comdty</stp>
        <stp>LAST_PRICE</stp>
        <tr r="E51" s="8"/>
      </tp>
      <tp t="s">
        <v>#N/A Requesting Data...4266357250</v>
        <stp/>
        <stp>BDP|15980919030899886706</stp>
        <tr r="D9" s="8"/>
        <tr r="O9" s="8"/>
      </tp>
      <tp t="s">
        <v>#N/A Requesting Data...4253727178</v>
        <stp/>
        <stp>BDP|16695083767295373499</stp>
        <tr r="D42" s="8"/>
        <tr r="O42" s="8"/>
      </tp>
      <tp>
        <v>4.3499999999999996</v>
        <stp/>
        <stp>BDP|14475844653684931875|22</stp>
        <stp>DTD1 Comdty</stp>
        <stp>LAST_PRICE</stp>
        <tr r="E109" s="8"/>
      </tp>
      <tp t="s">
        <v>#N/A Requesting Data...4176495868</v>
        <stp/>
        <stp>BDP|18157933674997677025</stp>
        <tr r="W66" s="8"/>
      </tp>
      <tp t="s">
        <v>#N/A Requesting Data...4278084927</v>
        <stp/>
        <stp>BDP|10664921394820534171</stp>
        <tr r="W101" s="8"/>
      </tp>
      <tp t="s">
        <v>#N/A Requesting Data...4182945006</v>
        <stp/>
        <stp>BDP|16340122976778240907</stp>
        <tr r="F67" s="8"/>
      </tp>
      <tp t="s">
        <v>#N/A Requesting Data...4259430037</v>
        <stp/>
        <stp>BDP|12812044477796950270</stp>
        <tr r="L101" s="8"/>
      </tp>
      <tp t="s">
        <v>#N/A Requesting Data...4146307402</v>
        <stp/>
        <stp>BDP|14049427807745165415</stp>
        <tr r="AH86" s="8"/>
      </tp>
      <tp>
        <v>0.437</v>
        <stp/>
        <stp>BDP|11958947278434420690|22</stp>
        <stp>AFY6 Comdty</stp>
        <stp>LAST_PRICE</stp>
        <tr r="X68" s="8"/>
      </tp>
      <tp t="s">
        <v>#N/A Requesting Data...4137680750</v>
        <stp/>
        <stp>BDP|16699250757215638566</stp>
        <tr r="P96" s="8"/>
      </tp>
      <tp t="s">
        <v>#N/A Requesting Data...4241387083</v>
        <stp/>
        <stp>BDP|17199597548583128459</stp>
        <tr r="W75" s="8"/>
      </tp>
      <tp t="s">
        <v>#N/A Requesting Data...4155813958</v>
        <stp/>
        <stp>BDP|12242914066119637575</stp>
        <tr r="W78" s="8"/>
      </tp>
      <tp t="s">
        <v>#N/A Requesting Data...4238412249</v>
        <stp/>
        <stp>BDP|17356581138255402502</stp>
        <tr r="W95" s="8"/>
      </tp>
      <tp>
        <v>74.680000000000007</v>
        <stp/>
        <stp>BDP|10098889018313120415|22</stp>
        <stp>CO26 Comdty</stp>
        <stp>LAST_PRICE</stp>
        <tr r="K30" s="8"/>
        <tr r="U30" s="8"/>
      </tp>
      <tp t="s">
        <v>#N/A Requesting Data...4265480576</v>
        <stp/>
        <stp>BDP|17674551537789301914</stp>
        <tr r="P76" s="8"/>
      </tp>
      <tp t="s">
        <v>#N/A Invalid Security</v>
        <stp/>
        <stp>BDP|8417522523505273154|22</stp>
        <stp>DTD36 Comdty</stp>
        <stp>LAST_PRICE</stp>
        <tr r="E144" s="8"/>
      </tp>
      <tp>
        <v>66.3</v>
        <stp/>
        <stp>BDP|14107135735066325096|22</stp>
        <stp>FSWTM36 Comdty</stp>
        <stp>PX_SETTLE_ACTUAL_RT</stp>
        <tr r="Q40" s="8"/>
      </tp>
      <tp t="s">
        <v>#N/A Requesting Data...4265955781</v>
        <stp/>
        <stp>BDP|16980024501515129527</stp>
        <tr r="F101" s="8"/>
      </tp>
      <tp>
        <v>70.430000000000007</v>
        <stp/>
        <stp>BDP|14942645044021607436|22</stp>
        <stp>CO42 Comdty</stp>
        <stp>LAST_PRICE</stp>
        <tr r="U46" s="8"/>
        <tr r="K46" s="8"/>
      </tp>
      <tp>
        <v>72.569999999999993</v>
        <stp/>
        <stp>BDP|16279649308048489240|22</stp>
        <stp>CO33 Comdty</stp>
        <stp>LAST_PRICE</stp>
        <tr r="K37" s="8"/>
        <tr r="U37" s="8"/>
      </tp>
      <tp t="s">
        <v>#N/A Requesting Data...4225389792</v>
        <stp/>
        <stp>BDP|10149437749281669758</stp>
        <tr r="AO67" s="8"/>
      </tp>
      <tp t="s">
        <v>#N/A Requesting Data...4257577274</v>
        <stp/>
        <stp>BDP|15558998381197277578</stp>
        <tr r="F40" s="8"/>
      </tp>
      <tp>
        <v>92.41</v>
        <stp/>
        <stp>BDP|10796259090549455693|22</stp>
        <stp>FSWTM1 Comdty</stp>
        <stp>PX_SETTLE_ACTUAL_RT</stp>
        <tr r="Q5" s="8"/>
      </tp>
      <tp t="s">
        <v>#N/A Requesting Data...4244904049</v>
        <stp/>
        <stp>BDP|14278001665855506192</stp>
        <tr r="L12" s="8"/>
      </tp>
      <tp t="s">
        <v>#N/A Requesting Data...4228145560</v>
        <stp/>
        <stp>BDP|12290736603600054384</stp>
        <tr r="J10" s="8"/>
        <tr r="T10" s="8"/>
      </tp>
      <tp t="s">
        <v>#N/A Requesting Data...4183770517</v>
        <stp/>
        <stp>BDP|10325494997449004201</stp>
        <tr r="L96" s="8"/>
      </tp>
      <tp t="s">
        <v>#N/A Requesting Data...4172840259</v>
        <stp/>
        <stp>BDP|14191629907292980608</stp>
        <tr r="D139" s="8"/>
      </tp>
      <tp t="s">
        <v>#N/A Requesting Data...4292433660</v>
        <stp/>
        <stp>BDP|10439305588995724847</stp>
        <tr r="P63" s="8"/>
      </tp>
      <tp t="s">
        <v>#N/A Requesting Data...4178073611</v>
        <stp/>
        <stp>BDP|10749683990621581850</stp>
        <tr r="F87" s="8"/>
      </tp>
      <tp t="s">
        <v>#N/A Requesting Data...4289248913</v>
        <stp/>
        <stp>BDP|12370775058071511762</stp>
        <tr r="J9" s="8"/>
        <tr r="T9" s="8"/>
      </tp>
      <tp>
        <v>82.46</v>
        <stp/>
        <stp>BDP|15551680493196878997|22</stp>
        <stp>FSWTM5 Comdty</stp>
        <stp>PX_SETTLE_ACTUAL_RT</stp>
        <tr r="Q9" s="8"/>
      </tp>
      <tp t="s">
        <v>#N/A Requesting Data...4174793346</v>
        <stp/>
        <stp>BDP|15825758053906627760</stp>
        <tr r="J65" s="8"/>
      </tp>
      <tp t="s">
        <v>#N/A Requesting Data...4255870477</v>
        <stp/>
        <stp>BDP|15080608166966712511</stp>
        <tr r="P73" s="8"/>
      </tp>
      <tp t="s">
        <v>#N/A Requesting Data...4193879187</v>
        <stp/>
        <stp>BDP|18353709487317332672</stp>
        <tr r="W99" s="8"/>
      </tp>
      <tp t="s">
        <v>#N/A Requesting Data...4178497778</v>
        <stp/>
        <stp>BDP|10602661996539705019</stp>
        <tr r="AO94" s="8"/>
      </tp>
      <tp t="s">
        <v>#N/A Requesting Data...4245095871</v>
        <stp/>
        <stp>BDP|14648409319017411097</stp>
        <tr r="AM95" s="8"/>
      </tp>
      <tp>
        <v>70.180000000000007</v>
        <stp/>
        <stp>BDP|10654546303342479837|22</stp>
        <stp>CL25 Comdty</stp>
        <stp>LAST_PRICE</stp>
        <tr r="E29" s="8"/>
      </tp>
      <tp t="s">
        <v>#N/A Requesting Data...4247491452</v>
        <stp/>
        <stp>BDP|14807277579493676457</stp>
        <tr r="P78" s="8"/>
      </tp>
      <tp t="s">
        <v>#N/A Requesting Data...4254176585</v>
        <stp/>
        <stp>BDP|10568403075066529304</stp>
        <tr r="D29" s="8"/>
        <tr r="O29" s="8"/>
      </tp>
      <tp t="s">
        <v>#N/A Requesting Data...4259726965</v>
        <stp/>
        <stp>BDP|11459750266547049123</stp>
        <tr r="AF71" s="8"/>
      </tp>
      <tp t="s">
        <v>#N/A Requesting Data...4243133040</v>
        <stp/>
        <stp>BDP|10070708342252231758</stp>
        <tr r="J94" s="8"/>
      </tp>
      <tp t="s">
        <v>#N/A Requesting Data...4248369187</v>
        <stp/>
        <stp>BDP|12812491525766422448</stp>
        <tr r="F50" s="8"/>
      </tp>
      <tp t="s">
        <v>#N/A Requesting Data...4252079276</v>
        <stp/>
        <stp>BDP|10283571042934730342</stp>
        <tr r="F15" s="8"/>
      </tp>
      <tp t="s">
        <v>#N/A Requesting Data...4254235775</v>
        <stp/>
        <stp>BDP|13541494914601891172</stp>
        <tr r="F98" s="8"/>
      </tp>
      <tp t="s">
        <v>#N/A Requesting Data...4237352865</v>
        <stp/>
        <stp>BDP|14129658751119759853</stp>
        <tr r="J25" s="8"/>
        <tr r="T25" s="8"/>
      </tp>
      <tp t="s">
        <v>#N/A Requesting Data...4250182590</v>
        <stp/>
        <stp>BDP|12842064272666987538</stp>
        <tr r="D92" s="8"/>
      </tp>
      <tp>
        <v>0.44</v>
        <stp/>
        <stp>BDP|8207283729504655154|22</stp>
        <stp>AFY36 Comdty</stp>
        <stp>LAST_PRICE</stp>
        <tr r="X98" s="8"/>
      </tp>
      <tp>
        <v>0.44</v>
        <stp/>
        <stp>BDP|5031691996385856777|22</stp>
        <stp>AFY35 Comdty</stp>
        <stp>LAST_PRICE</stp>
        <tr r="X97" s="8"/>
      </tp>
      <tp>
        <v>0.45</v>
        <stp/>
        <stp>BDP|3843913494232002643|22</stp>
        <stp>DTD10 Comdty</stp>
        <stp>LAST_PRICE</stp>
        <tr r="E118" s="8"/>
      </tp>
      <tp>
        <v>64.59</v>
        <stp/>
        <stp>BDP|12142489842733932519|22</stp>
        <stp>FSWTM42 Comdty</stp>
        <stp>PX_SETTLE_ACTUAL_RT</stp>
        <tr r="Q46" s="8"/>
      </tp>
      <tp t="s">
        <v>#N/A Requesting Data...4291864352</v>
        <stp/>
        <stp>BDP|10981529026678264861</stp>
        <tr r="P94" s="8"/>
      </tp>
      <tp>
        <v>65.260000000000005</v>
        <stp/>
        <stp>BDP|11410576848787064562|22</stp>
        <stp>CL40 Comdty</stp>
        <stp>LAST_PRICE</stp>
        <tr r="E44" s="8"/>
      </tp>
      <tp t="s">
        <v>#N/A Requesting Data...4227853817</v>
        <stp/>
        <stp>BDP|11603008439680251564</stp>
        <tr r="L86" s="8"/>
      </tp>
      <tp t="s">
        <v>#N/A Requesting Data...4240218857</v>
        <stp/>
        <stp>BDP|17782445071932914105</stp>
        <tr r="D128" s="8"/>
      </tp>
      <tp t="s">
        <v>#N/A Requesting Data...4255811165</v>
        <stp/>
        <stp>BDP|16168483653107305747</stp>
        <tr r="W73" s="8"/>
      </tp>
      <tp t="s">
        <v>#N/A Requesting Data...4234553143</v>
        <stp/>
        <stp>BDP|17968830311330349957</stp>
        <tr r="AF73" s="8"/>
      </tp>
      <tp t="s">
        <v>#N/A Requesting Data...4255508524</v>
        <stp/>
        <stp>BDP|17889023554304754148</stp>
        <tr r="AH72" s="8"/>
      </tp>
      <tp t="s">
        <v>#N/A Requesting Data...4235808918</v>
        <stp/>
        <stp>BDP|10496306171030114380</stp>
        <tr r="AB65" s="8"/>
      </tp>
      <tp t="s">
        <v>#N/A Requesting Data...4219392580</v>
        <stp/>
        <stp>BDP|10877146735983172671</stp>
        <tr r="F99" s="8"/>
      </tp>
      <tp t="s">
        <v>#N/A Requesting Data...4242797593</v>
        <stp/>
        <stp>BDP|17290815090550447161</stp>
        <tr r="F76" s="8"/>
      </tp>
      <tp>
        <v>65.75</v>
        <stp/>
        <stp>BDP|11191163662410269744|22</stp>
        <stp>CL38 Comdty</stp>
        <stp>LAST_PRICE</stp>
        <tr r="E42" s="8"/>
      </tp>
      <tp t="s">
        <v>#N/A Requesting Data...4256159970</v>
        <stp/>
        <stp>BDP|17776884971969660680</stp>
        <tr r="F81" s="8"/>
      </tp>
      <tp t="s">
        <v>#N/A Requesting Data...4294460740</v>
        <stp/>
        <stp>BDP|18044359788484537089</stp>
        <tr r="F14" s="8"/>
      </tp>
      <tp>
        <v>66.78</v>
        <stp/>
        <stp>BDP|11481098271576968352|22</stp>
        <stp>CL35 Comdty</stp>
        <stp>LAST_PRICE</stp>
        <tr r="E39" s="8"/>
      </tp>
      <tp t="s">
        <v>#N/A Requesting Data...4277080844</v>
        <stp/>
        <stp>BDP|10383700484178454016</stp>
        <tr r="D124" s="8"/>
      </tp>
      <tp t="s">
        <v>#N/A Requesting Data...4261265763</v>
        <stp/>
        <stp>BDP|11513845782814273232</stp>
        <tr r="AB74" s="8"/>
      </tp>
      <tp t="s">
        <v>#N/A Requesting Data...4240018114</v>
        <stp/>
        <stp>BDP|14753024347546926195</stp>
        <tr r="AB76" s="8"/>
      </tp>
      <tp t="s">
        <v>#N/A Requesting Data...4274029469</v>
        <stp/>
        <stp>BDP|11313364246093435254</stp>
        <tr r="AH64" s="8"/>
      </tp>
      <tp t="s">
        <v>#N/A Requesting Data...4239503277</v>
        <stp/>
        <stp>BDP|10906844205637829850</stp>
        <tr r="L36" s="8"/>
      </tp>
      <tp t="s">
        <v>#N/A Requesting Data...4280729535</v>
        <stp/>
        <stp>BDP|17958381613745505724</stp>
        <tr r="D126" s="8"/>
      </tp>
      <tp t="s">
        <v>#N/A Requesting Data...4255367577</v>
        <stp/>
        <stp>BDP|11946887768680946842</stp>
        <tr r="F94" s="8"/>
      </tp>
      <tp t="s">
        <v>#N/A Requesting Data...4257024795</v>
        <stp/>
        <stp>BDP|17537519173134960686</stp>
        <tr r="D110" s="8"/>
      </tp>
      <tp t="s">
        <v>#N/A Invalid Security</v>
        <stp/>
        <stp>BDP|8456195224836853498|22</stp>
        <stp>DTD31 Comdty</stp>
        <stp>LAST_PRICE</stp>
        <tr r="E139" s="8"/>
      </tp>
      <tp>
        <v>88.99</v>
        <stp/>
        <stp>BDP|14152447398236045911|22</stp>
        <stp>CL3 Comdty</stp>
        <stp>LAST_PRICE</stp>
        <tr r="AA5" s="2"/>
        <tr r="E7" s="8"/>
      </tp>
      <tp>
        <v>86.69</v>
        <stp/>
        <stp>BDP|11316562562653605968|22</stp>
        <stp>CO8 Comdty</stp>
        <stp>LAST_PRICE</stp>
        <tr r="U12" s="8"/>
        <tr r="K12" s="8"/>
      </tp>
      <tp t="s">
        <v>#N/A Requesting Data...4289704544</v>
        <stp/>
        <stp>BDP|11185669219391206359</stp>
        <tr r="L99" s="8"/>
      </tp>
      <tp t="s">
        <v>#N/A Requesting Data...4279609417</v>
        <stp/>
        <stp>BDP|15761372145772501480</stp>
        <tr r="AF67" s="8"/>
      </tp>
      <tp t="s">
        <v>#N/A Requesting Data...4272947554</v>
        <stp/>
        <stp>BDP|18214493464157145964</stp>
        <tr r="L93" s="8"/>
      </tp>
      <tp t="s">
        <v>#N/A Requesting Data...4294260654</v>
        <stp/>
        <stp>BDP|17087224916161845148</stp>
        <tr r="L7" s="8"/>
      </tp>
      <tp>
        <v>73.650000000000006</v>
        <stp/>
        <stp>BDP|11663683424720871815|22</stp>
        <stp>CL17 Comdty</stp>
        <stp>LAST_PRICE</stp>
        <tr r="E21" s="8"/>
      </tp>
      <tp t="s">
        <v>#N/A Requesting Data...4262042030</v>
        <stp/>
        <stp>BDP|17293649249058634928</stp>
        <tr r="P75" s="8"/>
      </tp>
      <tp t="s">
        <v>#N/A Requesting Data...4269238739</v>
        <stp/>
        <stp>BDP|14437670167090958076</stp>
        <tr r="AO65" s="8"/>
      </tp>
      <tp t="s">
        <v>#N/A Requesting Data...4288110187</v>
        <stp/>
        <stp>BDP|15463036788011117846</stp>
        <tr r="D17" s="8"/>
        <tr r="O17" s="8"/>
      </tp>
      <tp t="s">
        <v>#N/A Requesting Data...4258185688</v>
        <stp/>
        <stp>BDP|18375234000778959637</stp>
        <tr r="D67" s="8"/>
      </tp>
      <tp t="s">
        <v>#N/A Requesting Data...4279446539</v>
        <stp/>
        <stp>BDP|16121958688774725761</stp>
        <tr r="P99" s="8"/>
      </tp>
      <tp t="s">
        <v>#N/A Requesting Data...4283537559</v>
        <stp/>
        <stp>BDP|13407748804029891913</stp>
        <tr r="AH65" s="8"/>
      </tp>
      <tp t="s">
        <v>#N/A Requesting Data...4293621055</v>
        <stp/>
        <stp>BDP|15301645561217965623</stp>
        <tr r="AB66" s="8"/>
      </tp>
      <tp t="s">
        <v>#N/A Requesting Data...4272858396</v>
        <stp/>
        <stp>BDP|11586553496931891823</stp>
        <tr r="J14" s="8"/>
        <tr r="T14" s="8"/>
      </tp>
      <tp t="s">
        <v>#N/A Requesting Data...4286314915</v>
        <stp/>
        <stp>BDP|13382393082558230458</stp>
        <tr r="AB77" s="8"/>
      </tp>
      <tp t="s">
        <v>#N/A Requesting Data...4267965727</v>
        <stp/>
        <stp>BDP|12074501678171195577</stp>
        <tr r="AM77" s="8"/>
      </tp>
      <tp t="s">
        <v>#N/A Requesting Data...4282004286</v>
        <stp/>
        <stp>BDP|12552324423515087246</stp>
        <tr r="D117" s="8"/>
      </tp>
      <tp t="s">
        <v>#N/A Requesting Data...4277437414</v>
        <stp/>
        <stp>BDP|12574671815737314649</stp>
        <tr r="F9" s="8"/>
      </tp>
      <tp t="s">
        <v>#N/A Requesting Data...4273875504</v>
        <stp/>
        <stp>BDP|15842728157883869054</stp>
        <tr r="P72" s="8"/>
      </tp>
      <tp t="s">
        <v>#N/A Requesting Data...4279621422</v>
        <stp/>
        <stp>BDP|11593678461326900387</stp>
        <tr r="AF97" s="8"/>
      </tp>
      <tp>
        <v>0.11700000000000001</v>
        <stp/>
        <stp>BDP|11944262109247799708|22</stp>
        <stp>AFY2 Comdty</stp>
        <stp>LAST_PRICE</stp>
        <tr r="X64" s="8"/>
      </tp>
      <tp t="s">
        <v>#N/A Requesting Data...4294740924</v>
        <stp/>
        <stp>BDP|12549195328364585142</stp>
        <tr r="L77" s="8"/>
      </tp>
      <tp t="s">
        <v>#N/A Requesting Data...4284123466</v>
        <stp/>
        <stp>BDP|11990664325326738789</stp>
        <tr r="D21" s="8"/>
        <tr r="O21" s="8"/>
      </tp>
      <tp t="s">
        <v>#N/A Requesting Data...4280747017</v>
        <stp/>
        <stp>BDP|14918614809477498121</stp>
        <tr r="J74" s="8"/>
      </tp>
      <tp t="s">
        <v>#N/A Requesting Data...4293316862</v>
        <stp/>
        <stp>BDP|14100472220443573544</stp>
        <tr r="AO89" s="8"/>
      </tp>
      <tp>
        <v>0.44</v>
        <stp/>
        <stp>BDP|8151094888511208336|22</stp>
        <stp>AFY41 Comdty</stp>
        <stp>LAST_PRICE</stp>
        <tr r="X103" s="8"/>
      </tp>
      <tp t="s">
        <v>#N/A Real Time</v>
        <stp/>
        <stp>BDP|6795778552656594037|22</stp>
        <stp>DTD15 Comdty</stp>
        <stp>LAST_PRICE</stp>
        <tr r="E123" s="8"/>
      </tp>
      <tp t="s">
        <v>#N/A Real Time</v>
        <stp/>
        <stp>BDP|9584645220456820881|22</stp>
        <stp>DTD17 Comdty</stp>
        <stp>LAST_PRICE</stp>
        <tr r="E125" s="8"/>
      </tp>
      <tp t="s">
        <v>#N/A Invalid Security</v>
        <stp/>
        <stp>BDP|5811772148967075168|22</stp>
        <stp>DTD27 Comdty</stp>
        <stp>LAST_PRICE</stp>
        <tr r="E135" s="8"/>
      </tp>
      <tp>
        <v>98.62</v>
        <stp/>
        <stp>BDP|14641943872122909253|22</stp>
        <stp>CO2 Comdty</stp>
        <stp>LAST_PRICE</stp>
        <tr r="AC4" s="2"/>
        <tr r="K6" s="8"/>
        <tr r="U6" s="8"/>
      </tp>
      <tp>
        <v>66.05</v>
        <stp/>
        <stp>BDP|12427653870302131443|22</stp>
        <stp>FSWTM37 Comdty</stp>
        <stp>PX_SETTLE_ACTUAL_RT</stp>
        <tr r="Q41" s="8"/>
      </tp>
      <tp t="s">
        <v>#N/A Requesting Data...3629853087</v>
        <stp/>
        <stp>BDP|14742653722167091294</stp>
        <tr r="D89" s="8"/>
      </tp>
      <tp t="s">
        <v>#N/A Requesting Data...2699966439</v>
        <stp/>
        <stp>BDP|13799428408980318263</stp>
        <tr r="F13" s="8"/>
      </tp>
      <tp t="s">
        <v>#N/A Requesting Data...618957991</v>
        <stp/>
        <stp>BDP|13981255374441391239</stp>
        <tr r="L38" s="8"/>
      </tp>
      <tp t="s">
        <v>#N/A Requesting Data...2262619964</v>
        <stp/>
        <stp>BDP|12501093147153268015</stp>
        <tr r="D20" s="8"/>
        <tr r="O20" s="8"/>
      </tp>
      <tp t="s">
        <v>#N/A Requesting Data...2276506516</v>
        <stp/>
        <stp>BDP|14662346959231386632</stp>
        <tr r="D79" s="8"/>
      </tp>
      <tp t="s">
        <v>#N/A Requesting Data...2873339219</v>
        <stp/>
        <stp>BDP|10690323966286160686</stp>
        <tr r="J29" s="8"/>
        <tr r="T29" s="8"/>
      </tp>
      <tp t="s">
        <v>#N/A Requesting Data...3802008132</v>
        <stp/>
        <stp>BDP|17992044865092687658</stp>
        <tr r="J67" s="8"/>
      </tp>
      <tp t="s">
        <v>#N/A Requesting Data...229613991</v>
        <stp/>
        <stp>BDP|17194202689448621051</stp>
        <tr r="P79" s="8"/>
      </tp>
      <tp t="s">
        <v>#N/A Requesting Data...3058705786</v>
        <stp/>
        <stp>BDP|16892364034176058500</stp>
        <tr r="D95" s="8"/>
      </tp>
      <tp>
        <v>0.95</v>
        <stp/>
        <stp>BDP|18433052781446325179|22</stp>
        <stp>DTD8 Comdty</stp>
        <stp>LAST_PRICE</stp>
        <tr r="E116" s="8"/>
      </tp>
      <tp t="s">
        <v>#N/A Requesting Data...2753004273</v>
        <stp/>
        <stp>BDP|12985768044674581025</stp>
        <tr r="L53" s="8"/>
      </tp>
      <tp t="s">
        <v>#N/A Requesting Data...2712144937</v>
        <stp/>
        <stp>BDP|13430117570411802118</stp>
        <tr r="AB97" s="8"/>
      </tp>
      <tp t="s">
        <v>#N/A Requesting Data...929436255</v>
        <stp/>
        <stp>BDP|10151473070572862426</stp>
        <tr r="L39" s="8"/>
      </tp>
      <tp t="s">
        <v>#N/A Requesting Data...2187854154</v>
        <stp/>
        <stp>BDP|10580232856257232535</stp>
        <tr r="L16" s="8"/>
      </tp>
      <tp t="s">
        <v>#N/A Requesting Data...3002359020</v>
        <stp/>
        <stp>BDP|17402166339141347194</stp>
        <tr r="AM88" s="8"/>
      </tp>
      <tp t="s">
        <v>#N/A Requesting Data...2036205471</v>
        <stp/>
        <stp>BDP|16546706476841469275</stp>
        <tr r="L34" s="8"/>
      </tp>
      <tp t="s">
        <v>#N/A Requesting Data...1127943314</v>
        <stp/>
        <stp>BDP|16666438810594664235</stp>
        <tr r="AB87" s="8"/>
      </tp>
      <tp t="s">
        <v>#N/A Requesting Data...2725869272</v>
        <stp/>
        <stp>BDP|15949886592178682958</stp>
        <tr r="D5" s="8"/>
        <tr r="O5" s="8"/>
      </tp>
      <tp t="s">
        <v>#N/A Requesting Data...2314059430</v>
        <stp/>
        <stp>BDP|12310383319471350429</stp>
        <tr r="D85" s="8"/>
      </tp>
      <tp>
        <v>69.819999999999993</v>
        <stp/>
        <stp>BDP|10486030535398610839|22</stp>
        <stp>CO45 Comdty</stp>
        <stp>LAST_PRICE</stp>
        <tr r="K49" s="8"/>
        <tr r="U49" s="8"/>
      </tp>
      <tp t="s">
        <v>#N/A Requesting Data...3338561187</v>
        <stp/>
        <stp>BDP|17026228375327307017</stp>
        <tr r="J93" s="8"/>
      </tp>
      <tp t="s">
        <v>#N/A Requesting Data...947364646</v>
        <stp/>
        <stp>BDP|10830671562233801606</stp>
        <tr r="D116" s="8"/>
      </tp>
      <tp t="s">
        <v>#N/A Requesting Data...470490669</v>
        <stp/>
        <stp>BDP|18256444338463894939</stp>
        <tr r="D71" s="8"/>
      </tp>
      <tp>
        <v>72.849999999999994</v>
        <stp/>
        <stp>BDP|17512872799376169352|22</stp>
        <stp>CO32 Comdty</stp>
        <stp>LAST_PRICE</stp>
        <tr r="K36" s="8"/>
        <tr r="U36" s="8"/>
      </tp>
    </main>
    <main first="bofaddin.rtdserver">
      <tp>
        <v>0.99</v>
        <stp/>
        <stp>BDP|13817435075270948753|22</stp>
        <stp>FDBSM27 Index</stp>
        <stp>LAST_PRICE</stp>
        <tr r="Q90" s="8"/>
      </tp>
      <tp t="s">
        <v>#N/A Invalid Security</v>
        <stp/>
        <stp>BDP|14009447706718703387|22</stp>
        <stp>DTD26 Comdty</stp>
        <stp>YEST_LAST_TRADE</stp>
        <tr r="F134" s="8"/>
      </tp>
      <tp>
        <v>74.790000000000006</v>
        <stp/>
        <stp>BDP|8177174630572495582|22</stp>
        <stp>CL15 Comdty</stp>
        <stp>LAST_PRICE</stp>
        <tr r="E19" s="8"/>
      </tp>
      <tp>
        <v>79.41</v>
        <stp/>
        <stp>BDP|3658211685775358568|22</stp>
        <stp>CO16 Comdty</stp>
        <stp>LAST_PRICE</stp>
        <tr r="K20" s="8"/>
        <tr r="U20" s="8"/>
      </tp>
      <tp>
        <v>72.69</v>
        <stp/>
        <stp>BDP|9984554717406509279|22</stp>
        <stp>CL19 Comdty</stp>
        <stp>LAST_PRICE</stp>
        <tr r="E23" s="8"/>
      </tp>
      <tp>
        <v>70.61</v>
        <stp/>
        <stp>BDP|9372657918853786529|22</stp>
        <stp>CO41 Comdty</stp>
        <stp>LAST_PRICE</stp>
        <tr r="K45" s="8"/>
        <tr r="U45" s="8"/>
      </tp>
      <tp>
        <v>67.650000000000006</v>
        <stp/>
        <stp>BDP|9464303782098186777|22</stp>
        <stp>CL32 Comdty</stp>
        <stp>LAST_PRICE</stp>
        <tr r="E36" s="8"/>
      </tp>
      <tp>
        <v>-13.19</v>
        <stp/>
        <stp>BDP|8450259427108664216|22</stp>
        <stp>FVMZM13 Index</stp>
        <stp>YEST_LAST_TRADE</stp>
        <tr r="AD76" s="8"/>
      </tp>
      <tp>
        <v>0.53</v>
        <stp/>
        <stp>BDP|2623447936808016914|22</stp>
        <stp>FDBSM28 Index</stp>
        <stp>YEST_LAST_TRADE</stp>
        <tr r="R91" s="8"/>
      </tp>
      <tp>
        <v>1.4</v>
        <stp/>
        <stp>BDP|16761495975303180313|22</stp>
        <stp>FDBSM13 Index</stp>
        <stp>LAST_PRICE</stp>
        <tr r="Q76" s="8"/>
      </tp>
      <tp>
        <v>0.35</v>
        <stp/>
        <stp>BDP|12061855910725462420|22</stp>
        <stp>DTD11 Comdty</stp>
        <stp>YEST_LAST_TRADE</stp>
        <tr r="F119" s="8"/>
      </tp>
      <tp t="s">
        <v>#N/A Invalid Security</v>
        <stp/>
        <stp>BDP|11473448007056293957|22</stp>
        <stp>DTD35 Comdty</stp>
        <stp>YEST_LAST_TRADE</stp>
        <tr r="F143" s="8"/>
      </tp>
      <tp>
        <v>75.45</v>
        <stp/>
        <stp>BDP|7130232303339091266|22</stp>
        <stp>CO24 Comdty</stp>
        <stp>LAST_PRICE</stp>
        <tr r="K28" s="8"/>
        <tr r="U28" s="8"/>
      </tp>
      <tp>
        <v>2.0499999999999998</v>
        <stp/>
        <stp>BDP|1694136672381594579|22</stp>
        <stp>DTD5 Comdty</stp>
        <stp>LAST_PRICE</stp>
        <tr r="E113" s="8"/>
      </tp>
      <tp>
        <v>64.430000000000007</v>
        <stp/>
        <stp>BDP|8584667685646579184|22</stp>
        <stp>CL43 Comdty</stp>
        <stp>LAST_PRICE</stp>
        <tr r="E47" s="8"/>
      </tp>
      <tp>
        <v>1.1399999999999999</v>
        <stp/>
        <stp>BDP|5385280314023036938|22</stp>
        <stp>FDBSM10 Index</stp>
        <stp>YEST_LAST_TRADE</stp>
        <tr r="R73" s="8"/>
      </tp>
      <tp>
        <v>0.53</v>
        <stp/>
        <stp>BDP|6073483722048808488|22</stp>
        <stp>FDBSM36 Index</stp>
        <stp>YEST_LAST_TRADE</stp>
        <tr r="R99" s="8"/>
      </tp>
      <tp>
        <v>71.36</v>
        <stp/>
        <stp>BDP|4836726920811952035|22</stp>
        <stp>FSWTM20 Comdty</stp>
        <stp>PX_SETTLE_ACTUAL_RT</stp>
        <tr r="Q24" s="8"/>
      </tp>
      <tp>
        <v>67.78</v>
        <stp/>
        <stp>BDP|6874339843158766474|22</stp>
        <stp>FSWTM31 Comdty</stp>
        <stp>PX_SETTLE_ACTUAL_RT</stp>
        <tr r="Q35" s="8"/>
      </tp>
      <tp>
        <v>70.25</v>
        <stp/>
        <stp>BDP|8178919972602304445|22</stp>
        <stp>FSWTM23 Comdty</stp>
        <stp>PX_SETTLE_ACTUAL_RT</stp>
        <tr r="Q27" s="8"/>
      </tp>
      <tp t="s">
        <v>#N/A Real Time</v>
        <stp/>
        <stp>BDP|10353952674702169533|22</stp>
        <stp>DTD17 Comdty</stp>
        <stp>YEST_LAST_TRADE</stp>
        <tr r="F125" s="8"/>
      </tp>
      <tp t="s">
        <v>#N/A Real Time</v>
        <stp/>
        <stp>BDP|14758809913364455078|22</stp>
        <stp>DTD19 Comdty</stp>
        <stp>YEST_LAST_TRADE</stp>
        <tr r="F127" s="8"/>
      </tp>
      <tp>
        <v>-2.2000000000000002</v>
        <stp/>
        <stp>BDP|2800541212646444148|22</stp>
        <stp>AFY1 Comdty</stp>
        <stp>LAST_PRICE</stp>
        <tr r="X63" s="8"/>
      </tp>
      <tp>
        <v>71.790000000000006</v>
        <stp/>
        <stp>BDP|6086029301898104552|22</stp>
        <stp>CL21 Comdty</stp>
        <stp>LAST_PRICE</stp>
        <tr r="E25" s="8"/>
      </tp>
      <tp>
        <v>0.35699999999999998</v>
        <stp/>
        <stp>BDP|3939295168747850929|22</stp>
        <stp>AFY7 Comdty</stp>
        <stp>LAST_PRICE</stp>
        <tr r="X69" s="8"/>
      </tp>
      <tp>
        <v>1.59</v>
        <stp/>
        <stp>BDP|15422717689300407580|22</stp>
        <stp>FDBSM6 Index</stp>
        <stp>YEST_LAST_TRADE</stp>
        <tr r="R69" s="8"/>
      </tp>
      <tp>
        <v>2.6</v>
        <stp/>
        <stp>BDP|11096147918484497805|22</stp>
        <stp>DTD4 Comdty</stp>
        <stp>YEST_LAST_TRADE</stp>
        <tr r="F112" s="8"/>
      </tp>
      <tp>
        <v>-11.07</v>
        <stp/>
        <stp>BDP|4891550526129927426|22</stp>
        <stp>FVMZM20 Index</stp>
        <stp>YEST_LAST_TRADE</stp>
        <tr r="AD83" s="8"/>
      </tp>
      <tp>
        <v>-8.2799999999999994</v>
        <stp/>
        <stp>BDP|4281567285479583063|22</stp>
        <stp>FVMZM32 Index</stp>
        <stp>YEST_LAST_TRADE</stp>
        <tr r="AD95" s="8"/>
      </tp>
      <tp>
        <v>62.81</v>
        <stp/>
        <stp>BDP|6696750628729599509|22</stp>
        <stp>FSWTM49 Comdty</stp>
        <stp>PX_SETTLE_ACTUAL_RT</stp>
        <tr r="Q53" s="8"/>
      </tp>
      <tp t="s">
        <v>#N/A Invalid Security</v>
        <stp/>
        <stp>BDP|15463190182513856976|22</stp>
        <stp>CFVL 22 Index</stp>
        <stp>LAST_PRICE</stp>
        <tr r="K59" s="8"/>
      </tp>
      <tp>
        <v>1.35</v>
        <stp/>
        <stp>BDP|17941238645882546476|22</stp>
        <stp>FDBSM14 Index</stp>
        <stp>LAST_PRICE</stp>
        <tr r="Q77" s="8"/>
      </tp>
      <tp>
        <v>0.05</v>
        <stp/>
        <stp>BDP|18175796513961380728|22</stp>
        <stp>DTD12 Comdty</stp>
        <stp>YEST_LAST_TRADE</stp>
        <tr r="F120" s="8"/>
      </tp>
      <tp>
        <v>0.4</v>
        <stp/>
        <stp>BDP|3136226921733815731|22</stp>
        <stp>DTD9 Comdty</stp>
        <stp>LAST_PRICE</stp>
        <tr r="E117" s="8"/>
      </tp>
      <tp>
        <v>0.99</v>
        <stp/>
        <stp>BDP|8243310629324134775|22</stp>
        <stp>FDBSM12 Index</stp>
        <stp>YEST_LAST_TRADE</stp>
        <tr r="R75" s="8"/>
      </tp>
      <tp>
        <v>0.76</v>
        <stp/>
        <stp>BDP|1983495575776496999|22</stp>
        <stp>FDBSM16 Index</stp>
        <stp>YEST_LAST_TRADE</stp>
        <tr r="R79" s="8"/>
      </tp>
      <tp>
        <v>73.44</v>
        <stp/>
        <stp>BDP|7646373735170693580|22</stp>
        <stp>FSWTM15 Comdty</stp>
        <stp>PX_SETTLE_ACTUAL_RT</stp>
        <tr r="Q19" s="8"/>
      </tp>
      <tp>
        <v>1</v>
        <stp/>
        <stp>BDP|13038566949878017941|22</stp>
        <stp>FDBSM26 Index</stp>
        <stp>LAST_PRICE</stp>
        <tr r="Q89" s="8"/>
      </tp>
      <tp>
        <v>1.05</v>
        <stp/>
        <stp>BDP|16321866608435088871|22</stp>
        <stp>FDBSM21 Index</stp>
        <stp>LAST_PRICE</stp>
        <tr r="Q84" s="8"/>
      </tp>
      <tp>
        <v>72.28</v>
        <stp/>
        <stp>BDP|9045735586744065098|22</stp>
        <stp>CO34 Comdty</stp>
        <stp>LAST_PRICE</stp>
        <tr r="U38" s="8"/>
        <tr r="K38" s="8"/>
      </tp>
      <tp>
        <v>0.307</v>
        <stp/>
        <stp>BDP|9319168512868229887|22</stp>
        <stp>AFY8 Comdty</stp>
        <stp>LAST_PRICE</stp>
        <tr r="X70" s="8"/>
      </tp>
      <tp>
        <v>0.75</v>
        <stp/>
        <stp>BDP|9783063262687365111|22</stp>
        <stp>DTD6 Comdty</stp>
        <stp>LAST_PRICE</stp>
        <tr r="E114" s="8"/>
      </tp>
      <tp>
        <v>73.47</v>
        <stp/>
        <stp>BDP|2119633403934105507|22</stp>
        <stp>CO30 Comdty</stp>
        <stp>LAST_PRICE</stp>
        <tr r="U34" s="8"/>
        <tr r="K34" s="8"/>
      </tp>
      <tp>
        <v>83.23</v>
        <stp/>
        <stp>BDP|8322703196993532926|22</stp>
        <stp>CO11 Comdty</stp>
        <stp>LAST_PRICE</stp>
        <tr r="U15" s="8"/>
        <tr r="K15" s="8"/>
      </tp>
      <tp>
        <v>74.040000000000006</v>
        <stp/>
        <stp>BDP|8311382636887392906|22</stp>
        <stp>CO28 Comdty</stp>
        <stp>LAST_PRICE</stp>
        <tr r="K32" s="8"/>
        <tr r="U32" s="8"/>
      </tp>
      <tp>
        <v>77.59</v>
        <stp/>
        <stp>BDP|9263988841288420312|22</stp>
        <stp>CL11 Comdty</stp>
        <stp>LAST_PRICE</stp>
        <tr r="E15" s="8"/>
      </tp>
      <tp>
        <v>1.32</v>
        <stp/>
        <stp>BDP|15560008789218444303|22</stp>
        <stp>FDBSM8 Index</stp>
        <stp>YEST_LAST_TRADE</stp>
        <tr r="R71" s="8"/>
      </tp>
      <tp>
        <v>0.67500000000000004</v>
        <stp/>
        <stp>BDP|17059737484488007377|22</stp>
        <stp>AFY4 Comdty</stp>
        <stp>YEST_LAST_TRADE</stp>
        <tr r="Y66" s="8"/>
      </tp>
      <tp>
        <v>80.069999999999993</v>
        <stp/>
        <stp>BDP|4565297196392337799|22</stp>
        <stp>CO15 Comdty</stp>
        <stp>LAST_PRICE</stp>
        <tr r="U19" s="8"/>
        <tr r="K19" s="8"/>
      </tp>
      <tp>
        <v>-10.79</v>
        <stp/>
        <stp>BDP|7592312323374147204|22</stp>
        <stp>FVMZM21 Index</stp>
        <stp>YEST_LAST_TRADE</stp>
        <tr r="AD84" s="8"/>
      </tp>
      <tp>
        <v>-7.09</v>
        <stp/>
        <stp>BDP|5663255713943232323|22</stp>
        <stp>FVMZM37 Index</stp>
        <stp>YEST_LAST_TRADE</stp>
        <tr r="AD100" s="8"/>
      </tp>
      <tp>
        <v>1.06</v>
        <stp/>
        <stp>BDP|7312635048170666476|22</stp>
        <stp>FDBSM11 Index</stp>
        <stp>YEST_LAST_TRADE</stp>
        <tr r="R74" s="8"/>
      </tp>
      <tp>
        <v>63.52</v>
        <stp/>
        <stp>BDP|8058103769573498083|22</stp>
        <stp>FSWTM46 Comdty</stp>
        <stp>PX_SETTLE_ACTUAL_RT</stp>
        <tr r="Q50" s="8"/>
      </tp>
      <tp>
        <v>1.65</v>
        <stp/>
        <stp>BDP|16141509607501465069|22</stp>
        <stp>FDBSM10 Index</stp>
        <stp>LAST_PRICE</stp>
        <tr r="Q73" s="8"/>
      </tp>
      <tp>
        <v>1.08</v>
        <stp/>
        <stp>BDP|18264134651428349517|22</stp>
        <stp>FDBSM20 Index</stp>
        <stp>LAST_PRICE</stp>
        <tr r="Q83" s="8"/>
      </tp>
      <tp t="s">
        <v>#N/A Real Time</v>
        <stp/>
        <stp>BDP|5671052037601560366|22</stp>
        <stp>FDBSY 22 Index</stp>
        <stp>LAST_PRICE</stp>
        <tr r="K58" s="8"/>
      </tp>
      <tp>
        <v>72</v>
        <stp/>
        <stp>BDP|4665695737994969657|22</stp>
        <stp>CO35 Comdty</stp>
        <stp>LAST_PRICE</stp>
        <tr r="U39" s="8"/>
        <tr r="K39" s="8"/>
      </tp>
      <tp>
        <v>74.319999999999993</v>
        <stp/>
        <stp>BDP|9973754687574082307|22</stp>
        <stp>CO27 Comdty</stp>
        <stp>LAST_PRICE</stp>
        <tr r="U31" s="8"/>
        <tr r="K31" s="8"/>
      </tp>
      <tp>
        <v>63.52</v>
        <stp/>
        <stp>BDP|7926556291715533838|22</stp>
        <stp>CL46 Comdty</stp>
        <stp>LAST_PRICE</stp>
        <tr r="E50" s="8"/>
      </tp>
      <tp>
        <v>1.71</v>
        <stp/>
        <stp>BDP|16262384895772214695|22</stp>
        <stp>FDBSM5 Index</stp>
        <stp>YEST_LAST_TRADE</stp>
        <tr r="R68" s="8"/>
      </tp>
      <tp>
        <v>75.89</v>
        <stp/>
        <stp>BDP|7067926945154693795|22</stp>
        <stp>CO23 Comdty</stp>
        <stp>LAST_PRICE</stp>
        <tr r="U27" s="8"/>
        <tr r="K27" s="8"/>
      </tp>
      <tp>
        <v>0.54</v>
        <stp/>
        <stp>BDP|6386605468852053734|22</stp>
        <stp>FDBSM23 Index</stp>
        <stp>YEST_LAST_TRADE</stp>
        <tr r="R86" s="8"/>
      </tp>
      <tp>
        <v>0.53</v>
        <stp/>
        <stp>BDP|7458620248966426376|22</stp>
        <stp>FDBSM26 Index</stp>
        <stp>YEST_LAST_TRADE</stp>
        <tr r="R89" s="8"/>
      </tp>
      <tp>
        <v>-8.81</v>
        <stp/>
        <stp>BDP|9412855579309249570|22</stp>
        <stp>FVMZM29 Index</stp>
        <stp>YEST_LAST_TRADE</stp>
        <tr r="AD92" s="8"/>
      </tp>
      <tp>
        <v>-14.58</v>
        <stp/>
        <stp>BDP|9216191238518430332|22</stp>
        <stp>FVMZM10 Index</stp>
        <stp>YEST_LAST_TRADE</stp>
        <tr r="AD73" s="8"/>
      </tp>
      <tp>
        <v>65.41</v>
        <stp/>
        <stp>BDP|4005061095810900783|22</stp>
        <stp>FSWTM39 Comdty</stp>
        <stp>PX_SETTLE_ACTUAL_RT</stp>
        <tr r="Q43" s="8"/>
      </tp>
      <tp>
        <v>67.48</v>
        <stp/>
        <stp>BDP|2114609033601323576|22</stp>
        <stp>FSWTM32 Comdty</stp>
        <stp>PX_SETTLE_ACTUAL_RT</stp>
        <tr r="Q36" s="8"/>
      </tp>
      <tp>
        <v>66.569999999999993</v>
        <stp/>
        <stp>BDP|1832638445538057561|22</stp>
        <stp>FSWTM35 Comdty</stp>
        <stp>PX_SETTLE_ACTUAL_RT</stp>
        <tr r="Q39" s="8"/>
      </tp>
      <tp>
        <v>0.44</v>
        <stp/>
        <stp>BDP|503660131446837706|22</stp>
        <stp>AFY38 Comdty</stp>
        <stp>LAST_PRICE</stp>
        <tr r="X100" s="8"/>
      </tp>
      <tp>
        <v>0.98</v>
        <stp/>
        <stp>BDP|10717761051487415481|22</stp>
        <stp>FDBSM33 Index</stp>
        <stp>LAST_PRICE</stp>
        <tr r="Q96" s="8"/>
      </tp>
      <tp>
        <v>1.1499999999999999</v>
        <stp/>
        <stp>BDP|14222647040997422206|22</stp>
        <stp>FDBSM17 Index</stp>
        <stp>LAST_PRICE</stp>
        <tr r="Q80" s="8"/>
      </tp>
      <tp t="s">
        <v>#N/A Invalid Security</v>
        <stp/>
        <stp>BDP|110105603401983062|22</stp>
        <stp>DTD29 Comdty</stp>
        <stp>LAST_PRICE</stp>
        <tr r="E137" s="8"/>
      </tp>
      <tp>
        <v>1.53</v>
        <stp/>
        <stp>BDP|12935514210331959426|22</stp>
        <stp>FDBSM11 Index</stp>
        <stp>LAST_PRICE</stp>
        <tr r="Q74" s="8"/>
      </tp>
      <tp>
        <v>0.47</v>
        <stp/>
        <stp>BDP|16739817016584341120|22</stp>
        <stp>AFY3 Comdty</stp>
        <stp>YEST_LAST_TRADE</stp>
        <tr r="Y65" s="8"/>
      </tp>
      <tp>
        <v>0.60699999999999998</v>
        <stp/>
        <stp>BDP|7520252064213189126|22</stp>
        <stp>AFY3 Comdty</stp>
        <stp>LAST_PRICE</stp>
        <tr r="X65" s="8"/>
      </tp>
      <tp>
        <v>4.0999999999999996</v>
        <stp/>
        <stp>BDP|12642659168277591519|22</stp>
        <stp>DTD2 Comdty</stp>
        <stp>YEST_LAST_TRADE</stp>
        <tr r="F110" s="8"/>
      </tp>
      <tp>
        <v>-10.23</v>
        <stp/>
        <stp>BDP|7558319037783756323|22</stp>
        <stp>FVMZM23 Index</stp>
        <stp>YEST_LAST_TRADE</stp>
        <tr r="AD86" s="8"/>
      </tp>
      <tp>
        <v>0.6</v>
        <stp/>
        <stp>BDP|1397496932051728859|22</stp>
        <stp>FDBSM20 Index</stp>
        <stp>YEST_LAST_TRADE</stp>
        <tr r="R83" s="8"/>
      </tp>
      <tp>
        <v>-9.9499999999999993</v>
        <stp/>
        <stp>BDP|2127460946077532550|22</stp>
        <stp>FVMZM24 Index</stp>
        <stp>YEST_LAST_TRADE</stp>
        <tr r="AD87" s="8"/>
      </tp>
      <tp>
        <v>74</v>
        <stp/>
        <stp>BDP|8414355011398948398|22</stp>
        <stp>FSWTM14 Comdty</stp>
        <stp>PX_SETTLE_ACTUAL_RT</stp>
        <tr r="Q18" s="8"/>
      </tp>
      <tp>
        <v>72.930000000000007</v>
        <stp/>
        <stp>BDP|1108813396995176736|22</stp>
        <stp>FSWTM16 Comdty</stp>
        <stp>PX_SETTLE_ACTUAL_RT</stp>
        <tr r="Q20" s="8"/>
      </tp>
      <tp>
        <v>0.98</v>
        <stp/>
        <stp>BDP|12121408202360524828|22</stp>
        <stp>FDBSM35 Index</stp>
        <stp>LAST_PRICE</stp>
        <tr r="Q98" s="8"/>
      </tp>
      <tp>
        <v>1.21</v>
        <stp/>
        <stp>BDP|17075450352659166305|22</stp>
        <stp>FDBSM16 Index</stp>
        <stp>LAST_PRICE</stp>
        <tr r="Q79" s="8"/>
      </tp>
      <tp t="s">
        <v>#N/A Real Time</v>
        <stp/>
        <stp>BDP|16409414428605522625|22</stp>
        <stp>DTD20 Comdty</stp>
        <stp>YEST_LAST_TRADE</stp>
        <tr r="F128" s="8"/>
      </tp>
      <tp t="s">
        <v>#N/A Invalid Security</v>
        <stp/>
        <stp>BDP|10704026873335965117|22</stp>
        <stp>DTD32 Comdty</stp>
        <stp>YEST_LAST_TRADE</stp>
        <tr r="F140" s="8"/>
      </tp>
      <tp>
        <v>70.05</v>
        <stp/>
        <stp>BDP|2685005506520880024|22</stp>
        <stp>CO44 Comdty</stp>
        <stp>LAST_PRICE</stp>
        <tr r="K48" s="8"/>
        <tr r="U48" s="8"/>
      </tp>
      <tp>
        <v>76.84</v>
        <stp/>
        <stp>BDP|3637588983946573487|22</stp>
        <stp>CL12 Comdty</stp>
        <stp>LAST_PRICE</stp>
        <tr r="E16" s="8"/>
      </tp>
      <tp>
        <v>-9.02</v>
        <stp/>
        <stp>BDP|6078764705607490054|22</stp>
        <stp>FVMZM28 Index</stp>
        <stp>YEST_LAST_TRADE</stp>
        <tr r="AD91" s="8"/>
      </tp>
      <tp>
        <v>-11.91</v>
        <stp/>
        <stp>BDP|6081684553620402221|22</stp>
        <stp>FVMZM17 Index</stp>
        <stp>YEST_LAST_TRADE</stp>
        <tr r="AD80" s="8"/>
      </tp>
      <tp>
        <v>-12.2</v>
        <stp/>
        <stp>BDP|9715976495400114586|22</stp>
        <stp>FVMZM16 Index</stp>
        <stp>YEST_LAST_TRADE</stp>
        <tr r="AD79" s="8"/>
      </tp>
      <tp>
        <v>0.4</v>
        <stp/>
        <stp>BDP|14650212326272898427|22</stp>
        <stp>DTD10 Comdty</stp>
        <stp>YEST_LAST_TRADE</stp>
        <tr r="F118" s="8"/>
      </tp>
      <tp>
        <v>74.19</v>
        <stp/>
        <stp>BDP|8810080873820279799|22</stp>
        <stp>CL16 Comdty</stp>
        <stp>LAST_PRICE</stp>
        <tr r="E20" s="8"/>
      </tp>
      <tp>
        <v>73.17</v>
        <stp/>
        <stp>BDP|5901261351148686998|22</stp>
        <stp>CO31 Comdty</stp>
        <stp>LAST_PRICE</stp>
        <tr r="U35" s="8"/>
        <tr r="K35" s="8"/>
      </tp>
      <tp>
        <v>64.150000000000006</v>
        <stp/>
        <stp>BDP|5668766114687060095|22</stp>
        <stp>CL44 Comdty</stp>
        <stp>LAST_PRICE</stp>
        <tr r="E48" s="8"/>
      </tp>
      <tp>
        <v>78.819999999999993</v>
        <stp/>
        <stp>BDP|3852837928782609543|22</stp>
        <stp>CO17 Comdty</stp>
        <stp>LAST_PRICE</stp>
        <tr r="U21" s="8"/>
        <tr r="K21" s="8"/>
      </tp>
      <tp>
        <v>68.099999999999994</v>
        <stp/>
        <stp>BDP|5662814982169624851|22</stp>
        <stp>CL31 Comdty</stp>
        <stp>LAST_PRICE</stp>
        <tr r="E35" s="8"/>
      </tp>
      <tp>
        <v>65.510000000000005</v>
        <stp/>
        <stp>BDP|4208610766911241675|22</stp>
        <stp>CL39 Comdty</stp>
        <stp>LAST_PRICE</stp>
        <tr r="E43" s="8"/>
      </tp>
      <tp>
        <v>0.47799999999999998</v>
        <stp/>
        <stp>BDP|7161059727583480526|22</stp>
        <stp>AFY5 Comdty</stp>
        <stp>LAST_PRICE</stp>
        <tr r="X67" s="8"/>
      </tp>
      <tp>
        <v>69.900000000000006</v>
        <stp/>
        <stp>BDP|3429682492039134386|22</stp>
        <stp>FSWTM24 Comdty</stp>
        <stp>PX_SETTLE_ACTUAL_RT</stp>
        <tr r="Q28" s="8"/>
      </tp>
      <tp t="s">
        <v>#N/A Real Time</v>
        <stp/>
        <stp>BDP|5769007603917985171|22</stp>
        <stp>FSCCY 22 Index</stp>
        <stp>LAST_PRICE</stp>
        <tr r="K57" s="8"/>
      </tp>
      <tp t="s">
        <v>#N/A Real Time</v>
        <stp/>
        <stp>BDP|10630201211936256417|22</stp>
        <stp>DTD24 Comdty</stp>
        <stp>YEST_LAST_TRADE</stp>
        <tr r="F132" s="8"/>
      </tp>
      <tp>
        <v>70.930000000000007</v>
        <stp/>
        <stp>BDP|3764107340973670204|22</stp>
        <stp>CO39 Comdty</stp>
        <stp>LAST_PRICE</stp>
        <tr r="U43" s="8"/>
        <tr r="K43" s="8"/>
      </tp>
      <tp>
        <v>66.180000000000007</v>
        <stp/>
        <stp>BDP|2484593960250599545|22</stp>
        <stp>CL37 Comdty</stp>
        <stp>LAST_PRICE</stp>
        <tr r="E41" s="8"/>
      </tp>
      <tp>
        <v>76.83</v>
        <stp/>
        <stp>BDP|7769465822569241971|22</stp>
        <stp>CO21 Comdty</stp>
        <stp>LAST_PRICE</stp>
        <tr r="U25" s="8"/>
        <tr r="K25" s="8"/>
      </tp>
      <tp>
        <v>-10.53</v>
        <stp/>
        <stp>BDP|5338187709109888207|22</stp>
        <stp>FVMZM22 Index</stp>
        <stp>YEST_LAST_TRADE</stp>
        <tr r="AD85" s="8"/>
      </tp>
      <tp>
        <v>-11.6</v>
        <stp/>
        <stp>BDP|6310928986905079376|22</stp>
        <stp>FVMZM18 Index</stp>
        <stp>YEST_LAST_TRADE</stp>
        <tr r="AD81" s="8"/>
      </tp>
      <tp>
        <v>72.069999999999993</v>
        <stp/>
        <stp>BDP|4213781672918067149|22</stp>
        <stp>FSWTM18 Comdty</stp>
        <stp>PX_SETTLE_ACTUAL_RT</stp>
        <tr r="Q22" s="8"/>
      </tp>
      <tp t="s">
        <v>#N/A Real Time</v>
        <stp/>
        <stp>BDP|10719792490226566848|22</stp>
        <stp>DTD23 Comdty</stp>
        <stp>YEST_LAST_TRADE</stp>
        <tr r="F131" s="8"/>
      </tp>
      <tp>
        <v>70.53</v>
        <stp/>
        <stp>BDP|4862383066026235481|22</stp>
        <stp>CL24 Comdty</stp>
        <stp>LAST_PRICE</stp>
        <tr r="E28" s="8"/>
      </tp>
      <tp>
        <v>64.97</v>
        <stp/>
        <stp>BDP|3038424205009642231|22</stp>
        <stp>CL41 Comdty</stp>
        <stp>LAST_PRICE</stp>
        <tr r="E45" s="8"/>
      </tp>
      <tp>
        <v>0.54</v>
        <stp/>
        <stp>BDP|5572914171959289633|22</stp>
        <stp>FDBSM22 Index</stp>
        <stp>YEST_LAST_TRADE</stp>
        <tr r="R85" s="8"/>
      </tp>
      <tp>
        <v>0.87</v>
        <stp/>
        <stp>BDP|7947824071548895008|22</stp>
        <stp>FDBSM14 Index</stp>
        <stp>YEST_LAST_TRADE</stp>
        <tr r="R77" s="8"/>
      </tp>
      <tp>
        <v>-12.79</v>
        <stp/>
        <stp>BDP|9377968371533091790|22</stp>
        <stp>FVMZM14 Index</stp>
        <stp>YEST_LAST_TRADE</stp>
        <tr r="AD77" s="8"/>
      </tp>
      <tp>
        <v>-8</v>
        <stp/>
        <stp>BDP|9995839601301216737|22</stp>
        <stp>FVMZM33 Index</stp>
        <stp>YEST_LAST_TRADE</stp>
        <tr r="AD96" s="8"/>
      </tp>
      <tp>
        <v>63.78</v>
        <stp/>
        <stp>BDP|3479263492501925584|22</stp>
        <stp>FSWTM45 Comdty</stp>
        <stp>PX_SETTLE_ACTUAL_RT</stp>
        <tr r="Q49" s="8"/>
      </tp>
      <tp>
        <v>71.709999999999994</v>
        <stp/>
        <stp>BDP|6994321336962757713|22</stp>
        <stp>FSWTM19 Comdty</stp>
        <stp>PX_SETTLE_ACTUAL_RT</stp>
        <tr r="Q23" s="8"/>
      </tp>
      <tp>
        <v>64.86</v>
        <stp/>
        <stp>BDP|5989961472642599271|22</stp>
        <stp>FSWTM41 Comdty</stp>
        <stp>PX_SETTLE_ACTUAL_RT</stp>
        <tr r="Q45" s="8"/>
      </tp>
      <tp>
        <v>0.44</v>
        <stp/>
        <stp>BDP|525549606484269430|22</stp>
        <stp>AFY30 Comdty</stp>
        <stp>LAST_PRICE</stp>
        <tr r="X92" s="8"/>
      </tp>
      <tp>
        <v>71.41</v>
        <stp/>
        <stp>BDP|9966589102168940569|22</stp>
        <stp>CO37 Comdty</stp>
        <stp>LAST_PRICE</stp>
        <tr r="K41" s="8"/>
        <tr r="U41" s="8"/>
      </tp>
      <tp>
        <v>63.01</v>
        <stp/>
        <stp>BDP|2336622178459603139|22</stp>
        <stp>CL48 Comdty</stp>
        <stp>LAST_PRICE</stp>
        <tr r="E52" s="8"/>
      </tp>
      <tp>
        <v>2.0299999999999998</v>
        <stp/>
        <stp>BDP|16869527618164339289|22</stp>
        <stp>FDBSM3 Index</stp>
        <stp>YEST_LAST_TRADE</stp>
        <tr r="R66" s="8"/>
      </tp>
      <tp>
        <v>72.150000000000006</v>
        <stp/>
        <stp>BDP|7115632650394701464|22</stp>
        <stp>CL20 Comdty</stp>
        <stp>LAST_PRICE</stp>
        <tr r="E24" s="8"/>
      </tp>
      <tp>
        <v>0.53</v>
        <stp/>
        <stp>BDP|1349637202816058875|22</stp>
        <stp>FDBSM34 Index</stp>
        <stp>YEST_LAST_TRADE</stp>
        <tr r="R97" s="8"/>
      </tp>
      <tp>
        <v>75.31</v>
        <stp/>
        <stp>BDP|9940301885682209913|22</stp>
        <stp>FSWTM12 Comdty</stp>
        <stp>PX_SETTLE_ACTUAL_RT</stp>
        <tr r="Q16" s="8"/>
      </tp>
      <tp t="s">
        <v>#N/A Invalid Security</v>
        <stp/>
        <stp>BDP|17414059844255312027|22</stp>
        <stp>DTD30 Comdty</stp>
        <stp>YEST_LAST_TRADE</stp>
        <tr r="F138" s="8"/>
      </tp>
      <tp>
        <v>82.43</v>
        <stp/>
        <stp>BDP|5427670534073806925|22</stp>
        <stp>CO12 Comdty</stp>
        <stp>LAST_PRICE</stp>
        <tr r="K16" s="8"/>
        <tr r="U16" s="8"/>
      </tp>
      <tp>
        <v>69.099999999999994</v>
        <stp/>
        <stp>BDP|8964343402914092258|22</stp>
        <stp>CL28 Comdty</stp>
        <stp>LAST_PRICE</stp>
        <tr r="E32" s="8"/>
      </tp>
      <tp>
        <v>3.33</v>
        <stp/>
        <stp>BDP|12103237616093825562|22</stp>
        <stp>FDBSM1 Index</stp>
        <stp>YEST_LAST_TRADE</stp>
        <tr r="R64" s="8"/>
      </tp>
      <tp>
        <v>1.23</v>
        <stp/>
        <stp>BDP|16336516389687012300|22</stp>
        <stp>FDBSM9 Index</stp>
        <stp>YEST_LAST_TRADE</stp>
        <tr r="R72" s="8"/>
      </tp>
      <tp>
        <v>75.36</v>
        <stp/>
        <stp>BDP|3466504740350371677|22</stp>
        <stp>CL14 Comdty</stp>
        <stp>LAST_PRICE</stp>
        <tr r="E18" s="8"/>
      </tp>
      <tp>
        <v>3.05</v>
        <stp/>
        <stp>BDP|11131514745386101295|22</stp>
        <stp>DTD3 Comdty</stp>
        <stp>YEST_LAST_TRADE</stp>
        <tr r="F111" s="8"/>
      </tp>
      <tp>
        <v>76.08</v>
        <stp/>
        <stp>BDP|3015360473186715120|22</stp>
        <stp>FSWTM11 Comdty</stp>
        <stp>PX_SETTLE_ACTUAL_RT</stp>
        <tr r="Q15" s="8"/>
      </tp>
      <tp>
        <v>74.63</v>
        <stp/>
        <stp>BDP|7640981014827687144|22</stp>
        <stp>FSWTM13 Comdty</stp>
        <stp>PX_SETTLE_ACTUAL_RT</stp>
        <tr r="Q17" s="8"/>
      </tp>
      <tp t="s">
        <v>#N/A Real Time</v>
        <stp/>
        <stp>BDP|14050133325615370721|22</stp>
        <stp>DTD21 Comdty</stp>
        <stp>YEST_LAST_TRADE</stp>
        <tr r="F129" s="8"/>
      </tp>
      <tp>
        <v>0.82099999999999995</v>
        <stp/>
        <stp>BDP|17484172613424739945|22</stp>
        <stp>AFY6 Comdty</stp>
        <stp>YEST_LAST_TRADE</stp>
        <tr r="Y68" s="8"/>
      </tp>
      <tp>
        <v>2.4</v>
        <stp/>
        <stp>BDP|7484440208708194044|22</stp>
        <stp>DTD4 Comdty</stp>
        <stp>LAST_PRICE</stp>
        <tr r="E112" s="8"/>
      </tp>
      <tp>
        <v>70.92</v>
        <stp/>
        <stp>BDP|3138841667565303562|22</stp>
        <stp>CL23 Comdty</stp>
        <stp>LAST_PRICE</stp>
        <tr r="E27" s="8"/>
      </tp>
      <tp>
        <v>-0.18</v>
        <stp/>
        <stp>BDP|11377964778801759809|22</stp>
        <stp>AFY2 Comdty</stp>
        <stp>YEST_LAST_TRADE</stp>
        <tr r="Y64" s="8"/>
      </tp>
      <tp>
        <v>1.1200000000000001</v>
        <stp/>
        <stp>BDP|11603870726651818147|22</stp>
        <stp>FDBSM18 Index</stp>
        <stp>LAST_PRICE</stp>
        <tr r="Q81" s="8"/>
      </tp>
      <tp>
        <v>69.739999999999995</v>
        <stp/>
        <stp>BDP|6623887116237140792|22</stp>
        <stp>CL26 Comdty</stp>
        <stp>LAST_PRICE</stp>
        <tr r="E30" s="8"/>
      </tp>
      <tp>
        <v>0.8</v>
        <stp/>
        <stp>BDP|16753333878668170232|22</stp>
        <stp>DTD7 Comdty</stp>
        <stp>YEST_LAST_TRADE</stp>
        <tr r="F115" s="8"/>
      </tp>
      <tp>
        <v>0.82</v>
        <stp/>
        <stp>BDP|4800342675767721395|22</stp>
        <stp>FDBSM15 Index</stp>
        <stp>YEST_LAST_TRADE</stp>
        <tr r="R78" s="8"/>
      </tp>
      <tp>
        <v>-7.53</v>
        <stp/>
        <stp>BDP|9524722965494804928|22</stp>
        <stp>FVMZM35 Index</stp>
        <stp>YEST_LAST_TRADE</stp>
        <tr r="AD98" s="8"/>
      </tp>
      <tp>
        <v>65.14</v>
        <stp/>
        <stp>BDP|8718659985647088485|22</stp>
        <stp>FSWTM40 Comdty</stp>
        <stp>PX_SETTLE_ACTUAL_RT</stp>
        <tr r="Q44" s="8"/>
      </tp>
      <tp>
        <v>68.36</v>
        <stp/>
        <stp>BDP|2855543174143114615|22</stp>
        <stp>FSWTM29 Comdty</stp>
        <stp>PX_SETTLE_ACTUAL_RT</stp>
        <tr r="Q33" s="8"/>
      </tp>
      <tp>
        <v>89</v>
        <stp/>
        <stp>BDP|17841529201210308016|22</stp>
        <stp>FSWTM3 Comdty</stp>
        <stp>LAST_PRICE</stp>
        <tr r="P7" s="8"/>
      </tp>
      <tp>
        <v>-1.86</v>
        <stp/>
        <stp>BDP|11908526651692968668|22</stp>
        <stp>FVMZM25 Index</stp>
        <stp>LAST_PRICE</stp>
        <tr r="AC88" s="8"/>
      </tp>
      <tp>
        <v>66.56</v>
        <stp/>
        <stp>BDP|13831255503737492761|22</stp>
        <stp>FSCLM34 Index</stp>
        <stp>LAST_PRICE</stp>
        <tr r="E97" s="8"/>
      </tp>
      <tp>
        <v>67.88</v>
        <stp/>
        <stp>BDP|14843817698865374193|22</stp>
        <stp>FSCLM30 Index</stp>
        <stp>LAST_PRICE</stp>
        <tr r="E93" s="8"/>
      </tp>
      <tp>
        <v>64.09</v>
        <stp/>
        <stp>BDP|7076756825426872295|22</stp>
        <stp>FSWTM44 Comdty</stp>
        <stp>LAST_PRICE</stp>
        <tr r="P48" s="8"/>
      </tp>
      <tp>
        <v>0.64</v>
        <stp/>
        <stp>BDP|14753743829208988059|22</stp>
        <stp>AFY35 Comdty</stp>
        <stp>YEST_LAST_TRADE</stp>
        <tr r="Y97" s="8"/>
      </tp>
      <tp>
        <v>78.540000000000006</v>
        <stp/>
        <stp>BDP|3103973796006399769|22</stp>
        <stp>FSWTM10 Comdty</stp>
        <stp>LAST_PRICE</stp>
        <tr r="P14" s="8"/>
      </tp>
      <tp>
        <v>-3.87</v>
        <stp/>
        <stp>BDP|6857817280658145490|22</stp>
        <stp>HWTCOZ7 Comdty</stp>
        <stp>LAST_PRICE</stp>
        <tr r="AA17" s="8"/>
      </tp>
      <tp>
        <v>-4.5199999999999996</v>
        <stp/>
        <stp>BDP|6318615662181217336|22</stp>
        <stp>HWTCOQ7 Comdty</stp>
        <stp>LAST_PRICE</stp>
        <tr r="AA13" s="8"/>
      </tp>
      <tp>
        <v>0.45</v>
        <stp/>
        <stp>BDP|11460403635618619089|22</stp>
        <stp>DTD11 Comdty</stp>
        <stp>LAST_PRICE</stp>
        <tr r="E119" s="8"/>
      </tp>
      <tp>
        <v>0.44</v>
        <stp/>
        <stp>BDP|12132680157798674172|22</stp>
        <stp>AFY34 Comdty</stp>
        <stp>LAST_PRICE</stp>
        <tr r="X96" s="8"/>
      </tp>
      <tp>
        <v>0.44</v>
        <stp/>
        <stp>BDP|11322955047970728952|22</stp>
        <stp>AFY17 Comdty</stp>
        <stp>LAST_PRICE</stp>
        <tr r="X79" s="8"/>
      </tp>
      <tp>
        <v>72.56</v>
        <stp/>
        <stp>BDP|10406775174247521794|22</stp>
        <stp>FSCOM32 Index</stp>
        <stp>LAST_PRICE</stp>
        <tr r="K95" s="8"/>
      </tp>
      <tp>
        <v>67.180000000000007</v>
        <stp/>
        <stp>BDP|16979172349924517746|22</stp>
        <stp>FSCLM32 Index</stp>
        <stp>LAST_PRICE</stp>
        <tr r="E95" s="8"/>
      </tp>
      <tp>
        <v>75.819999999999993</v>
        <stp/>
        <stp>BDP|10327881335672567887|22</stp>
        <stp>FSCOM22 Index</stp>
        <stp>LAST_PRICE</stp>
        <tr r="K85" s="8"/>
      </tp>
      <tp>
        <v>63.46</v>
        <stp/>
        <stp>BDP|2974720595577421087|22</stp>
        <stp>FSWTM46 Comdty</stp>
        <stp>LAST_PRICE</stp>
        <tr r="P50" s="8"/>
      </tp>
      <tp>
        <v>0.64</v>
        <stp/>
        <stp>BDP|14364235190041154668|22</stp>
        <stp>AFY20 Comdty</stp>
        <stp>YEST_LAST_TRADE</stp>
        <tr r="Y82" s="8"/>
      </tp>
      <tp>
        <v>-3.61</v>
        <stp/>
        <stp>BDP|8365014505826951513|22</stp>
        <stp>HWTCOG8 Comdty</stp>
        <stp>LAST_PRICE</stp>
        <tr r="AA19" s="8"/>
      </tp>
      <tp t="s">
        <v>#N/A Real Time</v>
        <stp/>
        <stp>BDP|13407786915812462786|22</stp>
        <stp>DTD23 Comdty</stp>
        <stp>LAST_PRICE</stp>
        <tr r="E131" s="8"/>
      </tp>
      <tp>
        <v>0.44</v>
        <stp/>
        <stp>BDP|10439035022657042541|22</stp>
        <stp>AFY25 Comdty</stp>
        <stp>LAST_PRICE</stp>
        <tr r="X87" s="8"/>
      </tp>
      <tp>
        <v>0.44</v>
        <stp/>
        <stp>BDP|13598540932091500483|22</stp>
        <stp>AFY23 Comdty</stp>
        <stp>LAST_PRICE</stp>
        <tr r="X85" s="8"/>
      </tp>
      <tp>
        <v>74.47</v>
        <stp/>
        <stp>BDP|14492348370134360590|22</stp>
        <stp>FSCLM14 Index</stp>
        <stp>LAST_PRICE</stp>
        <tr r="E77" s="8"/>
      </tp>
      <tp>
        <v>83.24</v>
        <stp/>
        <stp>BDP|10804453680008584578|22</stp>
        <stp>FSCOM10 Index</stp>
        <stp>LAST_PRICE</stp>
        <tr r="K73" s="8"/>
      </tp>
      <tp>
        <v>73.150000000000006</v>
        <stp/>
        <stp>BDP|11541283417227387693|22</stp>
        <stp>FSCOM30 Index</stp>
        <stp>LAST_PRICE</stp>
        <tr r="K93" s="8"/>
      </tp>
      <tp>
        <v>78.73</v>
        <stp/>
        <stp>BDP|18302013971746661800|22</stp>
        <stp>FSCOM16 Index</stp>
        <stp>LAST_PRICE</stp>
        <tr r="K79" s="8"/>
      </tp>
      <tp>
        <v>76.55</v>
        <stp/>
        <stp>BDP|13625302526446467563|22</stp>
        <stp>FSCLM11 Index</stp>
        <stp>LAST_PRICE</stp>
        <tr r="E74" s="8"/>
      </tp>
      <tp>
        <v>73.41</v>
        <stp/>
        <stp>BDP|12779552344045529764|22</stp>
        <stp>FSCLM16 Index</stp>
        <stp>LAST_PRICE</stp>
        <tr r="E79" s="8"/>
      </tp>
      <tp>
        <v>68</v>
        <stp/>
        <stp>BDP|7619942467206644151|22</stp>
        <stp>FSWTM31 Comdty</stp>
        <stp>LAST_PRICE</stp>
        <tr r="P35" s="8"/>
      </tp>
      <tp>
        <v>76.81</v>
        <stp/>
        <stp>BDP|5321191101234728697|22</stp>
        <stp>FSWTM12 Comdty</stp>
        <stp>LAST_PRICE</stp>
        <tr r="P16" s="8"/>
      </tp>
      <tp>
        <v>69.739999999999995</v>
        <stp/>
        <stp>BDP|6266408798108257995|22</stp>
        <stp>FSWTM26 Comdty</stp>
        <stp>LAST_PRICE</stp>
        <tr r="P30" s="8"/>
      </tp>
      <tp>
        <v>-0.68</v>
        <stp/>
        <stp>BDP|14988355836292179115|22</stp>
        <stp>FVMZM30 Index</stp>
        <stp>LAST_PRICE</stp>
        <tr r="AC93" s="8"/>
      </tp>
      <tp>
        <v>71.680000000000007</v>
        <stp/>
        <stp>BDP|14183041997888048756|22</stp>
        <stp>FSCOM35 Index</stp>
        <stp>LAST_PRICE</stp>
        <tr r="K98" s="8"/>
      </tp>
      <tp>
        <v>0.64</v>
        <stp/>
        <stp>BDP|11464877154121771731|22</stp>
        <stp>AFY30 Comdty</stp>
        <stp>YEST_LAST_TRADE</stp>
        <tr r="Y92" s="8"/>
      </tp>
      <tp>
        <v>0.64</v>
        <stp/>
        <stp>BDP|11628744803755919926|22</stp>
        <stp>AFY36 Comdty</stp>
        <stp>YEST_LAST_TRADE</stp>
        <tr r="Y98" s="8"/>
      </tp>
      <tp>
        <v>-15.51</v>
        <stp/>
        <stp>BDP|15953754441037473304|22</stp>
        <stp>FVMZM8 Index</stp>
        <stp>YEST_LAST_TRADE</stp>
        <tr r="AD71" s="8"/>
      </tp>
      <tp>
        <v>0.44</v>
        <stp/>
        <stp>BDP|14661278770075829904|22</stp>
        <stp>AFY31 Comdty</stp>
        <stp>LAST_PRICE</stp>
        <tr r="X93" s="8"/>
      </tp>
      <tp>
        <v>-0.28999999999999998</v>
        <stp/>
        <stp>BDP|18093909617946238652|22</stp>
        <stp>FVMZM32 Index</stp>
        <stp>LAST_PRICE</stp>
        <tr r="AC95" s="8"/>
      </tp>
      <tp>
        <v>0.82</v>
        <stp/>
        <stp>BDP|15731219821398959012|22</stp>
        <stp>AFY10 Comdty</stp>
        <stp>YEST_LAST_TRADE</stp>
        <tr r="Y72" s="8"/>
      </tp>
      <tp>
        <v>-3.38</v>
        <stp/>
        <stp>BDP|9289364798310443029|22</stp>
        <stp>HWTCON8 Comdty</stp>
        <stp>LAST_PRICE</stp>
        <tr r="AA24" s="8"/>
      </tp>
      <tp t="s">
        <v>#N/A Invalid Security</v>
        <stp/>
        <stp>BDP|12409510808360658569|22</stp>
        <stp>DTD34 Comdty</stp>
        <stp>LAST_PRICE</stp>
        <tr r="E142" s="8"/>
      </tp>
      <tp>
        <v>0.44</v>
        <stp/>
        <stp>BDP|18091017834595296430|22</stp>
        <stp>AFY18 Comdty</stp>
        <stp>LAST_PRICE</stp>
        <tr r="X80" s="8"/>
      </tp>
      <tp>
        <v>-4.74</v>
        <stp/>
        <stp>BDP|8382581555259738267|22</stp>
        <stp>HWTCON7 Comdty</stp>
        <stp>PX_SETTLE_ACTUAL_RT</stp>
        <tr r="AB12" s="8"/>
      </tp>
      <tp>
        <v>0.44</v>
        <stp/>
        <stp>BDP|12412962786722370458|22</stp>
        <stp>AFY29 Comdty</stp>
        <stp>LAST_PRICE</stp>
        <tr r="X91" s="8"/>
      </tp>
      <tp>
        <v>79.55</v>
        <stp/>
        <stp>BDP|13099616642059868523|22</stp>
        <stp>FSWTM9 Comdty</stp>
        <stp>LAST_PRICE</stp>
        <tr r="P13" s="8"/>
      </tp>
      <tp>
        <v>68.650000000000006</v>
        <stp/>
        <stp>BDP|1086698984652214762|22</stp>
        <stp>FSWTM29 Comdty</stp>
        <stp>LAST_PRICE</stp>
        <tr r="P33" s="8"/>
      </tp>
      <tp>
        <v>66.069999999999993</v>
        <stp/>
        <stp>BDP|3395210123676495924|22</stp>
        <stp>FSWTM37 Comdty</stp>
        <stp>LAST_PRICE</stp>
        <tr r="P41" s="8"/>
      </tp>
      <tp>
        <v>71.239999999999995</v>
        <stp/>
        <stp>BDP|6762038071547632218|22</stp>
        <stp>FSWTM22 Comdty</stp>
        <stp>LAST_PRICE</stp>
        <tr r="P26" s="8"/>
      </tp>
      <tp>
        <v>-4.3600000000000003</v>
        <stp/>
        <stp>BDP|9965480919520444485|22</stp>
        <stp>HWTCOU7 Comdty</stp>
        <stp>LAST_PRICE</stp>
        <tr r="AA14" s="8"/>
      </tp>
      <tp t="s">
        <v>#N/A Real Time</v>
        <stp/>
        <stp>BDP|11818360794206631240|22</stp>
        <stp>DTD24 Comdty</stp>
        <stp>LAST_PRICE</stp>
        <tr r="E132" s="8"/>
      </tp>
      <tp t="s">
        <v>#N/A Invalid Security</v>
        <stp/>
        <stp>BDP|14218476692439157596|22</stp>
        <stp>DTD30 Comdty</stp>
        <stp>LAST_PRICE</stp>
        <tr r="E138" s="8"/>
      </tp>
      <tp>
        <v>71.989999999999995</v>
        <stp/>
        <stp>BDP|10564624648442319742|22</stp>
        <stp>FSCOM34 Index</stp>
        <stp>LAST_PRICE</stp>
        <tr r="K97" s="8"/>
      </tp>
      <tp>
        <v>-6.37</v>
        <stp/>
        <stp>BDP|13607258807457374654|22</stp>
        <stp>FVMZM12 Index</stp>
        <stp>LAST_PRICE</stp>
        <tr r="AC75" s="8"/>
      </tp>
      <tp>
        <v>86.85</v>
        <stp/>
        <stp>BDP|17032521733410849245|22</stp>
        <stp>FSWTM4 Comdty</stp>
        <stp>LAST_PRICE</stp>
        <tr r="P8" s="8"/>
      </tp>
      <tp>
        <v>74.63</v>
        <stp/>
        <stp>BDP|14224014392773832877|22</stp>
        <stp>FSCOM25 Index</stp>
        <stp>LAST_PRICE</stp>
        <tr r="K88" s="8"/>
      </tp>
      <tp>
        <v>65.31</v>
        <stp/>
        <stp>BDP|16181125257290158587|22</stp>
        <stp>FSCLM38 Index</stp>
        <stp>LAST_PRICE</stp>
        <tr r="E101" s="8"/>
      </tp>
      <tp>
        <v>-4.0199999999999996</v>
        <stp/>
        <stp>BDP|15763112621125323332|22</stp>
        <stp>FVMZM18 Index</stp>
        <stp>LAST_PRICE</stp>
        <tr r="AC81" s="8"/>
      </tp>
      <tp>
        <v>81.88</v>
        <stp/>
        <stp>BDP|15013665162121252435|22</stp>
        <stp>FSWTM7 Comdty</stp>
        <stp>LAST_PRICE</stp>
        <tr r="P11" s="8"/>
      </tp>
      <tp>
        <v>-7.43</v>
        <stp/>
        <stp>BDP|13986548673315801556|22</stp>
        <stp>FVMZM10 Index</stp>
        <stp>LAST_PRICE</stp>
        <tr r="AC73" s="8"/>
      </tp>
      <tp>
        <v>0.49</v>
        <stp/>
        <stp>BDP|14406169726331464524|22</stp>
        <stp>FVMZM35 Index</stp>
        <stp>LAST_PRICE</stp>
        <tr r="AC98" s="8"/>
      </tp>
      <tp>
        <v>78.2</v>
        <stp/>
        <stp>BDP|18202670473064350969|22</stp>
        <stp>FSCOM17 Index</stp>
        <stp>LAST_PRICE</stp>
        <tr r="K80" s="8"/>
      </tp>
      <tp>
        <v>77.239999999999995</v>
        <stp/>
        <stp>BDP|12003480976197570266|22</stp>
        <stp>FSCOM19 Index</stp>
        <stp>LAST_PRICE</stp>
        <tr r="K82" s="8"/>
      </tp>
      <tp>
        <v>70.42</v>
        <stp/>
        <stp>BDP|4914583012176167043|22</stp>
        <stp>FSWTM24 Comdty</stp>
        <stp>LAST_PRICE</stp>
        <tr r="P28" s="8"/>
      </tp>
      <tp>
        <v>68.989999999999995</v>
        <stp/>
        <stp>BDP|5471746260605829326|22</stp>
        <stp>FSWTM28 Comdty</stp>
        <stp>LAST_PRICE</stp>
        <tr r="P32" s="8"/>
      </tp>
      <tp>
        <v>0.64</v>
        <stp/>
        <stp>BDP|10028947970472803263|22</stp>
        <stp>AFY18 Comdty</stp>
        <stp>YEST_LAST_TRADE</stp>
        <tr r="Y80" s="8"/>
      </tp>
      <tp>
        <v>-7.92</v>
        <stp/>
        <stp>BDP|8552159464339652744|22</stp>
        <stp>HWTCOF7 Comdty</stp>
        <stp>LAST_PRICE</stp>
        <tr r="AA6" s="8"/>
      </tp>
      <tp>
        <v>-1.1499999999999999</v>
        <stp/>
        <stp>BDP|11775744681805385429|22</stp>
        <stp>FVMZM1 Index</stp>
        <stp>YEST_LAST_TRADE</stp>
        <tr r="AD64" s="8"/>
      </tp>
      <tp t="s">
        <v>#N/A Real Time</v>
        <stp/>
        <stp>BDP|14499313593205256363|22</stp>
        <stp>DTD22 Comdty</stp>
        <stp>LAST_PRICE</stp>
        <tr r="E130" s="8"/>
      </tp>
      <tp t="s">
        <v>#N/A Invalid Security</v>
        <stp/>
        <stp>BDP|10285846264669091550|22</stp>
        <stp>DTD28 Comdty</stp>
        <stp>LAST_PRICE</stp>
        <tr r="E136" s="8"/>
      </tp>
      <tp>
        <v>0.44</v>
        <stp/>
        <stp>BDP|17650120085120149582|22</stp>
        <stp>AFY26 Comdty</stp>
        <stp>LAST_PRICE</stp>
        <tr r="X88" s="8"/>
      </tp>
      <tp>
        <v>0.38900000000000001</v>
        <stp/>
        <stp>BDP|11849125441373076954|22</stp>
        <stp>AFY11 Comdty</stp>
        <stp>LAST_PRICE</stp>
        <tr r="X73" s="8"/>
      </tp>
      <tp>
        <v>71.06</v>
        <stp/>
        <stp>BDP|13639355722649425390|22</stp>
        <stp>FSCLM21 Index</stp>
        <stp>LAST_PRICE</stp>
        <tr r="E84" s="8"/>
      </tp>
      <tp>
        <v>79.33</v>
        <stp/>
        <stp>BDP|13370401399420958579|22</stp>
        <stp>FSCOM15 Index</stp>
        <stp>LAST_PRICE</stp>
        <tr r="K78" s="8"/>
      </tp>
      <tp>
        <v>0.78</v>
        <stp/>
        <stp>BDP|15649006402554480036|22</stp>
        <stp>AFY12 Comdty</stp>
        <stp>YEST_LAST_TRADE</stp>
        <tr r="Y74" s="8"/>
      </tp>
      <tp>
        <v>77.63</v>
        <stp/>
        <stp>BDP|4131457059880023814|22</stp>
        <stp>FSWTM11 Comdty</stp>
        <stp>LAST_PRICE</stp>
        <tr r="P15" s="8"/>
      </tp>
      <tp t="s">
        <v>#N/A Real Time</v>
        <stp/>
        <stp>BDP|14143997751234280616|22</stp>
        <stp>DTD20 Comdty</stp>
        <stp>LAST_PRICE</stp>
        <tr r="E128" s="8"/>
      </tp>
      <tp t="s">
        <v>#N/A Invalid Security</v>
        <stp/>
        <stp>BDP|17755481908687120345|22</stp>
        <stp>DTD33 Comdty</stp>
        <stp>LAST_PRICE</stp>
        <tr r="E141" s="8"/>
      </tp>
      <tp>
        <v>-8.59</v>
        <stp/>
        <stp>BDP|8509366765559814181|22</stp>
        <stp>HWTCOZ6 Comdty</stp>
        <stp>PX_SETTLE_ACTUAL_RT</stp>
        <tr r="AB5" s="8"/>
      </tp>
      <tp>
        <v>93.14</v>
        <stp/>
        <stp>BDP|15575527599888303865|22</stp>
        <stp>FSWTM1 Comdty</stp>
        <stp>LAST_PRICE</stp>
        <tr r="P5" s="8"/>
      </tp>
      <tp>
        <v>-1.34</v>
        <stp/>
        <stp>BDP|12849282745641947946|22</stp>
        <stp>FVMZM27 Index</stp>
        <stp>LAST_PRICE</stp>
        <tr r="AC90" s="8"/>
      </tp>
      <tp>
        <v>66.27</v>
        <stp/>
        <stp>BDP|18348060827625198754|22</stp>
        <stp>FSCLM35 Index</stp>
        <stp>LAST_PRICE</stp>
        <tr r="E98" s="8"/>
      </tp>
      <tp>
        <v>68.86</v>
        <stp/>
        <stp>BDP|17872121494631245780|22</stp>
        <stp>FSCLM27 Index</stp>
        <stp>LAST_PRICE</stp>
        <tr r="E90" s="8"/>
      </tp>
      <tp>
        <v>72.59</v>
        <stp/>
        <stp>BDP|8265515854283713352|22</stp>
        <stp>FSWTM19 Comdty</stp>
        <stp>LAST_PRICE</stp>
        <tr r="P23" s="8"/>
      </tp>
      <tp>
        <v>81.12</v>
        <stp/>
        <stp>BDP|264486152513072978|22</stp>
        <stp>FSWTM6 Comdty</stp>
        <stp>PX_SETTLE_ACTUAL_RT</stp>
        <tr r="Q10" s="8"/>
      </tp>
      <tp>
        <v>-3.13</v>
        <stp/>
        <stp>BDP|3329315876985899025|22</stp>
        <stp>HWTCOV8 Comdty</stp>
        <stp>PX_SETTLE_ACTUAL_RT</stp>
        <tr r="AB27" s="8"/>
      </tp>
      <tp t="s">
        <v>#N/A Invalid Security</v>
        <stp/>
        <stp>BDP|5100397952247464941|22</stp>
        <stp>HWTCOX8 Comdty</stp>
        <stp>PX_SETTLE_ACTUAL_RT</stp>
        <tr r="AB28" s="8"/>
      </tp>
      <tp>
        <v>0.44</v>
        <stp/>
        <stp>BDP|16422207774355187643|22</stp>
        <stp>AFY24 Comdty</stp>
        <stp>LAST_PRICE</stp>
        <tr r="X86" s="8"/>
      </tp>
      <tp>
        <v>-6.88</v>
        <stp/>
        <stp>BDP|17120915039927768626|22</stp>
        <stp>FVMZM11 Index</stp>
        <stp>LAST_PRICE</stp>
        <tr r="AC74" s="8"/>
      </tp>
      <tp>
        <v>0.9</v>
        <stp/>
        <stp>BDP|991728946839827285|22</stp>
        <stp>DTD8 Comdty</stp>
        <stp>YEST_LAST_TRADE</stp>
        <tr r="F116" s="8"/>
      </tp>
      <tp>
        <v>0.64</v>
        <stp/>
        <stp>BDP|18328158802682638810|22</stp>
        <stp>AFY39 Comdty</stp>
        <stp>YEST_LAST_TRADE</stp>
        <tr r="Y101" s="8"/>
      </tp>
      <tp>
        <v>62.68</v>
        <stp/>
        <stp>BDP|5634633593514905197|22</stp>
        <stp>FSWTM49 Comdty</stp>
        <stp>LAST_PRICE</stp>
        <tr r="P53" s="8"/>
      </tp>
      <tp>
        <v>-3.44</v>
        <stp/>
        <stp>BDP|6815492422934618518|22</stp>
        <stp>HWTCOH8 Comdty</stp>
        <stp>LAST_PRICE</stp>
        <tr r="AA20" s="8"/>
      </tp>
      <tp>
        <v>-16.16</v>
        <stp/>
        <stp>BDP|17434387136285127684|22</stp>
        <stp>FVMZM7 Index</stp>
        <stp>YEST_LAST_TRADE</stp>
        <tr r="AD70" s="8"/>
      </tp>
      <tp>
        <v>-3.42</v>
        <stp/>
        <stp>BDP|9840079817599004469|22</stp>
        <stp>HWTCOK8 Comdty</stp>
        <stp>PX_SETTLE_ACTUAL_RT</stp>
        <tr r="AB22" s="8"/>
      </tp>
      <tp>
        <v>-3.98</v>
        <stp/>
        <stp>BDP|3161995228966081973|22</stp>
        <stp>HWTCOX7 Comdty</stp>
        <stp>PX_SETTLE_ACTUAL_RT</stp>
        <tr r="AB16" s="8"/>
      </tp>
      <tp>
        <v>-3.4</v>
        <stp/>
        <stp>BDP|7094209856527945690|22</stp>
        <stp>HWTCOM8 Comdty</stp>
        <stp>PX_SETTLE_ACTUAL_RT</stp>
        <tr r="AB23" s="8"/>
      </tp>
      <tp>
        <v>0.44</v>
        <stp/>
        <stp>BDP|11162091771735235447|22</stp>
        <stp>AFY33 Comdty</stp>
        <stp>LAST_PRICE</stp>
        <tr r="X95" s="8"/>
      </tp>
      <tp>
        <v>-5.88</v>
        <stp/>
        <stp>BDP|10776886266091803223|22</stp>
        <stp>FVMZM13 Index</stp>
        <stp>LAST_PRICE</stp>
        <tr r="AC76" s="8"/>
      </tp>
      <tp>
        <v>68.52</v>
        <stp/>
        <stp>BDP|16692059208695450816|22</stp>
        <stp>FSCLM28 Index</stp>
        <stp>LAST_PRICE</stp>
        <tr r="E91" s="8"/>
      </tp>
      <tp>
        <v>70.069999999999993</v>
        <stp/>
        <stp>BDP|2296134063479087894|22</stp>
        <stp>FSWTM25 Comdty</stp>
        <stp>LAST_PRICE</stp>
        <tr r="P29" s="8"/>
      </tp>
      <tp>
        <v>0.64</v>
        <stp/>
        <stp>BDP|16155916996861121539|22</stp>
        <stp>AFY16 Comdty</stp>
        <stp>YEST_LAST_TRADE</stp>
        <tr r="Y78" s="8"/>
      </tp>
      <tp>
        <v>65.44</v>
        <stp/>
        <stp>BDP|9647972164092717657|22</stp>
        <stp>FSWTM39 Comdty</stp>
        <stp>LAST_PRICE</stp>
        <tr r="P43" s="8"/>
      </tp>
      <tp>
        <v>-15.01</v>
        <stp/>
        <stp>BDP|12916886161576838177|22</stp>
        <stp>FVMZM9 Index</stp>
        <stp>YEST_LAST_TRADE</stp>
        <tr r="AD72" s="8"/>
      </tp>
      <tp>
        <v>0.44</v>
        <stp/>
        <stp>BDP|17707845335225870381|22</stp>
        <stp>AFY37 Comdty</stp>
        <stp>LAST_PRICE</stp>
        <tr r="X99" s="8"/>
      </tp>
      <tp>
        <v>-3.76</v>
        <stp/>
        <stp>BDP|4423434338236273753|22</stp>
        <stp>HWTCOF8 Comdty</stp>
        <stp>PX_SETTLE_ACTUAL_RT</stp>
        <tr r="AB18" s="8"/>
      </tp>
      <tp>
        <v>0.44</v>
        <stp/>
        <stp>BDP|15523514275987578819|22</stp>
        <stp>AFY40 Comdty</stp>
        <stp>LAST_PRICE</stp>
        <tr r="X102" s="8"/>
      </tp>
      <tp>
        <v>65.62</v>
        <stp/>
        <stp>BDP|14705820113988969871|22</stp>
        <stp>FSCLM37 Index</stp>
        <stp>LAST_PRICE</stp>
        <tr r="E100" s="8"/>
      </tp>
      <tp>
        <v>62.95</v>
        <stp/>
        <stp>BDP|7251959143093259679|22</stp>
        <stp>FSWTM48 Comdty</stp>
        <stp>LAST_PRICE</stp>
        <tr r="P52" s="8"/>
      </tp>
      <tp>
        <v>65.790000000000006</v>
        <stp/>
        <stp>BDP|1415123007824068806|22</stp>
        <stp>FSWTM38 Comdty</stp>
        <stp>LAST_PRICE</stp>
        <tr r="P42" s="8"/>
      </tp>
      <tp>
        <v>0.64</v>
        <stp/>
        <stp>BDP|12925650456737335332|22</stp>
        <stp>AFY21 Comdty</stp>
        <stp>YEST_LAST_TRADE</stp>
        <tr r="Y83" s="8"/>
      </tp>
      <tp>
        <v>-17.559999999999999</v>
        <stp/>
        <stp>BDP|16716823675739089086|22</stp>
        <stp>FVMZM5 Index</stp>
        <stp>YEST_LAST_TRADE</stp>
        <tr r="AD68" s="8"/>
      </tp>
      <tp>
        <v>0.3</v>
        <stp/>
        <stp>BDP|13505079481817807174|22</stp>
        <stp>DTD14 Comdty</stp>
        <stp>LAST_PRICE</stp>
        <tr r="E122" s="8"/>
      </tp>
      <tp>
        <v>-3.23</v>
        <stp/>
        <stp>BDP|2815021779840860589|22</stp>
        <stp>HWTCOU8 Comdty</stp>
        <stp>PX_SETTLE_ACTUAL_RT</stp>
        <tr r="AB26" s="8"/>
      </tp>
      <tp>
        <v>71.400000000000006</v>
        <stp/>
        <stp>BDP|12153126390483534572|22</stp>
        <stp>FSCOM36 Index</stp>
        <stp>LAST_PRICE</stp>
        <tr r="K99" s="8"/>
      </tp>
      <tp>
        <v>70.92</v>
        <stp/>
        <stp>BDP|13933546614183687851|22</stp>
        <stp>FSCOM38 Index</stp>
        <stp>LAST_PRICE</stp>
        <tr r="K101" s="8"/>
      </tp>
      <tp>
        <v>64.62</v>
        <stp/>
        <stp>BDP|3543255598793171339|22</stp>
        <stp>FSWTM42 Comdty</stp>
        <stp>LAST_PRICE</stp>
        <tr r="P46" s="8"/>
      </tp>
      <tp>
        <v>0.41</v>
        <stp/>
        <stp>BDP|17983293103289518153|22</stp>
        <stp>AFY15 Comdty</stp>
        <stp>LAST_PRICE</stp>
        <tr r="X77" s="8"/>
      </tp>
      <tp>
        <v>-5.42</v>
        <stp/>
        <stp>BDP|16155210007069373577|22</stp>
        <stp>FVMZM14 Index</stp>
        <stp>LAST_PRICE</stp>
        <tr r="AC77" s="8"/>
      </tp>
      <tp>
        <v>73.72</v>
        <stp/>
        <stp>BDP|11610238994587772345|22</stp>
        <stp>FSCOM28 Index</stp>
        <stp>LAST_PRICE</stp>
        <tr r="K91" s="8"/>
      </tp>
      <tp>
        <v>66.88</v>
        <stp/>
        <stp>BDP|12742134147598506013|22</stp>
        <stp>FSCLM33 Index</stp>
        <stp>LAST_PRICE</stp>
        <tr r="E96" s="8"/>
      </tp>
      <tp>
        <v>68.31</v>
        <stp/>
        <stp>BDP|4782668536491942252|22</stp>
        <stp>FSWTM30 Comdty</stp>
        <stp>LAST_PRICE</stp>
        <tr r="P34" s="8"/>
      </tp>
      <tp>
        <v>-3.13</v>
        <stp/>
        <stp>BDP|5616432015083186313|22</stp>
        <stp>HWTCOV8 Comdty</stp>
        <stp>LAST_PRICE</stp>
        <tr r="AA27" s="8"/>
      </tp>
      <tp>
        <v>-18.39</v>
        <stp/>
        <stp>BDP|12477721266006616616|22</stp>
        <stp>FVMZM4 Index</stp>
        <stp>YEST_LAST_TRADE</stp>
        <tr r="AD67" s="8"/>
      </tp>
      <tp t="s">
        <v>#N/A Invalid Security</v>
        <stp/>
        <stp>BDP|16577447821256869135|22</stp>
        <stp>DTD32 Comdty</stp>
        <stp>LAST_PRICE</stp>
        <tr r="E140" s="8"/>
      </tp>
      <tp>
        <v>0.38900000000000001</v>
        <stp/>
        <stp>BDP|16182738141309965680|22</stp>
        <stp>AFY12 Comdty</stp>
        <stp>LAST_PRICE</stp>
        <tr r="X74" s="8"/>
      </tp>
      <tp>
        <v>-6.38</v>
        <stp/>
        <stp>BDP|4765430483333954265|22</stp>
        <stp>HWTCOG7 Comdty</stp>
        <stp>PX_SETTLE_ACTUAL_RT</stp>
        <tr r="AB7" s="8"/>
      </tp>
      <tp>
        <v>-1.59</v>
        <stp/>
        <stp>BDP|18165707609336712385|22</stp>
        <stp>FVMZM26 Index</stp>
        <stp>LAST_PRICE</stp>
        <tr r="AC89" s="8"/>
      </tp>
      <tp>
        <v>69.599999999999994</v>
        <stp/>
        <stp>BDP|13946027587250952483|22</stp>
        <stp>FSCLM25 Index</stp>
        <stp>LAST_PRICE</stp>
        <tr r="E88" s="8"/>
      </tp>
      <tp>
        <v>81.52</v>
        <stp/>
        <stp>BDP|15582787021928518419|22</stp>
        <stp>FSCOM12 Index</stp>
        <stp>LAST_PRICE</stp>
        <tr r="K75" s="8"/>
      </tp>
      <tp>
        <v>66.67</v>
        <stp/>
        <stp>BDP|2978476773427156235|22</stp>
        <stp>FSWTM35 Comdty</stp>
        <stp>LAST_PRICE</stp>
        <tr r="P39" s="8"/>
      </tp>
      <tp>
        <v>70.819999999999993</v>
        <stp/>
        <stp>BDP|6613848043458866604|22</stp>
        <stp>FSWTM23 Comdty</stp>
        <stp>LAST_PRICE</stp>
        <tr r="P27" s="8"/>
      </tp>
      <tp>
        <v>0.8</v>
        <stp/>
        <stp>BDP|11951964802458105668|22</stp>
        <stp>AFY11 Comdty</stp>
        <stp>YEST_LAST_TRADE</stp>
        <tr r="Y73" s="8"/>
      </tp>
      <tp t="s">
        <v>#N/A Invalid Security</v>
        <stp/>
        <stp>BDP|18055654345736550686|22</stp>
        <stp>DTD35 Comdty</stp>
        <stp>LAST_PRICE</stp>
        <tr r="E143" s="8"/>
      </tp>
      <tp>
        <v>0.44</v>
        <stp/>
        <stp>BDP|13734079180379545242|22</stp>
        <stp>AFY22 Comdty</stp>
        <stp>LAST_PRICE</stp>
        <tr r="X84" s="8"/>
      </tp>
      <tp>
        <v>-5.42</v>
        <stp/>
        <stp>BDP|17822145968812661400|22</stp>
        <stp>HWTCOK7 Comdty</stp>
        <stp>LAST_PRICE</stp>
        <tr r="AA10" s="8"/>
      </tp>
      <tp t="s">
        <v>#N/A Requesting Data...2285119050</v>
        <stp/>
        <stp>BDP|2213690784404545405</stp>
        <tr r="J63" s="8"/>
      </tp>
      <tp t="s">
        <v>#N/A Requesting Data...1673283264</v>
        <stp/>
        <stp>BDP|6968487708619760754</stp>
        <tr r="J90" s="8"/>
      </tp>
      <tp t="s">
        <v>#N/A Requesting Data...2049348822</v>
        <stp/>
        <stp>BDP|5942882929537340400</stp>
        <tr r="L9" s="8"/>
      </tp>
      <tp t="s">
        <v>#N/A Requesting Data...2067593131</v>
        <stp/>
        <stp>BDP|7009997981343847981</stp>
        <tr r="AF87" s="8"/>
      </tp>
      <tp t="s">
        <v>#N/A Requesting Data...1368161103</v>
        <stp/>
        <stp>BDP|6300311568878422770</stp>
        <tr r="AH82" s="8"/>
      </tp>
      <tp t="s">
        <v>#N/A Requesting Data...4059024502</v>
        <stp/>
        <stp>BDP|1192840155609431987</stp>
        <tr r="D70" s="8"/>
      </tp>
      <tp t="s">
        <v>#N/A Requesting Data...3631078771</v>
        <stp/>
        <stp>BDP|9926270260691118037</stp>
        <tr r="AH91" s="8"/>
      </tp>
      <tp t="s">
        <v>#N/A Requesting Data...2778762128</v>
        <stp/>
        <stp>BDP|8570319159280729275</stp>
        <tr r="D134" s="8"/>
      </tp>
      <tp>
        <v>67.650000000000006</v>
        <stp/>
        <stp>BDP|14541929233778153011|22</stp>
        <stp>FSWTM32 Comdty</stp>
        <stp>LAST_PRICE</stp>
        <tr r="P36" s="8"/>
      </tp>
      <tp t="s">
        <v>#N/A Requesting Data...4072757566</v>
        <stp/>
        <stp>BDP|9747797317326313589</stp>
        <tr r="D119" s="8"/>
      </tp>
      <tp t="s">
        <v>#N/A Requesting Data...3028059440</v>
        <stp/>
        <stp>BDP|2207655482846511627</stp>
        <tr r="P74" s="8"/>
      </tp>
      <tp t="s">
        <v>#N/A Requesting Data...1866725640</v>
        <stp/>
        <stp>BDP|6536793839707245950</stp>
        <tr r="AF100" s="8"/>
      </tp>
      <tp t="s">
        <v>#N/A Requesting Data...1631265308</v>
        <stp/>
        <stp>BDP|6185325530088295229</stp>
        <tr r="F84" s="8"/>
      </tp>
      <tp t="s">
        <v>#N/A Requesting Data...3512138171</v>
        <stp/>
        <stp>BDP|2506543195986073473</stp>
        <tr r="L72" s="8"/>
      </tp>
      <tp t="s">
        <v>#N/A Requesting Data...2648863322</v>
        <stp/>
        <stp>BDP|2840589482617785462</stp>
        <tr r="F77" s="8"/>
      </tp>
      <tp t="s">
        <v>#N/A Requesting Data...3752131978</v>
        <stp/>
        <stp>BDP|3759735380273176365</stp>
        <tr r="P68" s="8"/>
      </tp>
      <tp t="s">
        <v>#N/A Requesting Data...911254434</v>
        <stp/>
        <stp>BDP|1305871342459371853</stp>
        <tr r="L83" s="8"/>
      </tp>
      <tp t="s">
        <v>#N/A Requesting Data...2080432048</v>
        <stp/>
        <stp>BDP|4317321866859510431</stp>
        <tr r="F47" s="8"/>
      </tp>
      <tp t="s">
        <v>#N/A Requesting Data...899860759</v>
        <stp/>
        <stp>BDP|9046688950506891069</stp>
        <tr r="P90" s="8"/>
      </tp>
      <tp t="s">
        <v>#N/A Requesting Data...2574112426</v>
        <stp/>
        <stp>BDP|9799703924765326565</stp>
        <tr r="D141" s="8"/>
      </tp>
      <tp t="s">
        <v>#N/A Requesting Data...2505386166</v>
        <stp/>
        <stp>BDP|2766901051977955583</stp>
        <tr r="J5" s="8"/>
        <tr r="T5" s="8"/>
      </tp>
      <tp t="s">
        <v>#N/A Requesting Data...966920851</v>
        <stp/>
        <stp>BDP|9418149927700873689</stp>
        <tr r="AO97" s="8"/>
      </tp>
      <tp t="s">
        <v>#N/A Requesting Data...1886132411</v>
        <stp/>
        <stp>BDP|2929552299605613775</stp>
        <tr r="F20" s="8"/>
      </tp>
      <tp t="s">
        <v>#N/A Requesting Data...4267935854</v>
        <stp/>
        <stp>BDP|7098877165167522222</stp>
        <tr r="L8" s="8"/>
      </tp>
      <tp t="s">
        <v>#N/A Requesting Data...3767114646</v>
        <stp/>
        <stp>BDP|9669215363583675274</stp>
        <tr r="J13" s="8"/>
        <tr r="T13" s="8"/>
      </tp>
      <tp>
        <v>68.92</v>
        <stp/>
        <stp>BDP|5028817698817276147|22</stp>
        <stp>CO49 Comdty</stp>
        <stp>PX_SETTLE_ACTUAL_RT</stp>
        <tr r="V53" s="8"/>
      </tp>
      <tp>
        <v>82.89</v>
        <stp/>
        <stp>BDP|15813536170111610980|22</stp>
        <stp>FSCLM5 Index</stp>
        <stp>LAST_PRICE</stp>
        <tr r="E68" s="8"/>
      </tp>
      <tp>
        <v>-3.23</v>
        <stp/>
        <stp>BDP|16213772199455752573|22</stp>
        <stp>HWTCOU8 Comdty</stp>
        <stp>LAST_PRICE</stp>
        <tr r="AA26" s="8"/>
      </tp>
      <tp>
        <v>-5.04</v>
        <stp/>
        <stp>BDP|15792034107277023002|22</stp>
        <stp>HWTCOM7 Comdty</stp>
        <stp>LAST_PRICE</stp>
        <tr r="AA11" s="8"/>
      </tp>
      <tp t="s">
        <v>#N/A Requesting Data...1561330427</v>
        <stp/>
        <stp>BDP|5069448039296175960</stp>
        <tr r="J36" s="8"/>
        <tr r="T36" s="8"/>
      </tp>
      <tp>
        <v>64.91</v>
        <stp/>
        <stp>BDP|17421603989065313687|22</stp>
        <stp>FSWTM41 Comdty</stp>
        <stp>LAST_PRICE</stp>
        <tr r="P45" s="8"/>
      </tp>
      <tp t="s">
        <v>#N/A Requesting Data...964379249</v>
        <stp/>
        <stp>BDP|6231432369041271879</stp>
        <tr r="AO92" s="8"/>
      </tp>
      <tp t="s">
        <v>#N/A Requesting Data...2475465942</v>
        <stp/>
        <stp>BDP|4236078692594092456</stp>
        <tr r="W82" s="8"/>
      </tp>
      <tp t="s">
        <v>#N/A Requesting Data...3108702382</v>
        <stp/>
        <stp>BDP|4084183769209286716</stp>
        <tr r="J40" s="8"/>
        <tr r="T40" s="8"/>
      </tp>
      <tp t="s">
        <v>#N/A Requesting Data...3579498800</v>
        <stp/>
        <stp>BDP|2838964414460121796</stp>
        <tr r="L82" s="8"/>
      </tp>
      <tp t="s">
        <v>#N/A Requesting Data...3489618674</v>
        <stp/>
        <stp>BDP|8922088368183071093</stp>
        <tr r="D96" s="8"/>
      </tp>
      <tp t="s">
        <v>#N/A Requesting Data...3519035198</v>
        <stp/>
        <stp>BDP|9532493278655067247</stp>
        <tr r="F16" s="8"/>
      </tp>
      <tp>
        <v>69.37</v>
        <stp/>
        <stp>BDP|11320706081616478268|22</stp>
        <stp>FSWTM27 Comdty</stp>
        <stp>LAST_PRICE</stp>
        <tr r="P31" s="8"/>
      </tp>
      <tp>
        <v>74.709999999999994</v>
        <stp/>
        <stp>BDP|11686410734468463557|22</stp>
        <stp>FSWTM15 Comdty</stp>
        <stp>LAST_PRICE</stp>
        <tr r="P19" s="8"/>
      </tp>
      <tp t="s">
        <v>#N/A Requesting Data...827478075</v>
        <stp/>
        <stp>BDP|4141566266782963899</stp>
        <tr r="D94" s="8"/>
      </tp>
      <tp t="s">
        <v>#N/A Requesting Data...4187550895</v>
        <stp/>
        <stp>BDP|5130333856867388900</stp>
        <tr r="W94" s="8"/>
      </tp>
      <tp t="s">
        <v>#N/A Requesting Data...2652175158</v>
        <stp/>
        <stp>BDP|3409214127359021767</stp>
        <tr r="AB96" s="8"/>
      </tp>
      <tp t="s">
        <v>#N/A Requesting Data...1355388634</v>
        <stp/>
        <stp>BDP|1868553019739664178</stp>
        <tr r="D138" s="8"/>
      </tp>
      <tp t="s">
        <v>#N/A Requesting Data...4229123526</v>
        <stp/>
        <stp>BDP|2160852546591548223</stp>
        <tr r="D118" s="8"/>
      </tp>
      <tp t="s">
        <v>#N/A Requesting Data...3226348243</v>
        <stp/>
        <stp>BDP|3460389879638072208</stp>
        <tr r="J28" s="8"/>
        <tr r="T28" s="8"/>
      </tp>
      <tp>
        <v>80.069999999999993</v>
        <stp/>
        <stp>BDP|8930942126612378373|22</stp>
        <stp>CO15 Comdty</stp>
        <stp>PX_SETTLE_ACTUAL_RT</stp>
        <tr r="V19" s="8"/>
      </tp>
      <tp>
        <v>71.099999999999994</v>
        <stp/>
        <stp>BDP|2878778885505998844|22</stp>
        <stp>CO38 Comdty</stp>
        <stp>PX_SETTLE_ACTUAL_RT</stp>
        <tr r="V42" s="8"/>
      </tp>
      <tp t="s">
        <v>#N/A Requesting Data...3962710645</v>
        <stp/>
        <stp>BDP|3501164276649970269</stp>
        <tr r="AH96" s="8"/>
      </tp>
      <tp t="s">
        <v>#N/A Requesting Data...3988606056</v>
        <stp/>
        <stp>BDP|7388370349888189640</stp>
        <tr r="F35" s="8"/>
      </tp>
      <tp t="s">
        <v>#N/A Requesting Data...2602026978</v>
        <stp/>
        <stp>BDP|5961975785789603350</stp>
        <tr r="P83" s="8"/>
      </tp>
      <tp t="s">
        <v>#N/A Requesting Data...2616131306</v>
        <stp/>
        <stp>BDP|1564044145483940848</stp>
        <tr r="J19" s="8"/>
        <tr r="T19" s="8"/>
      </tp>
      <tp t="s">
        <v>#N/A Requesting Data...2663925116</v>
        <stp/>
        <stp>BDP|2353307008589514677</stp>
        <tr r="AH100" s="8"/>
      </tp>
      <tp t="s">
        <v>#N/A Requesting Data...2825655014</v>
        <stp/>
        <stp>BDP|6362233243797808925</stp>
        <tr r="D112" s="8"/>
      </tp>
      <tp t="s">
        <v>#N/A Requesting Data...1857405825</v>
        <stp/>
        <stp>BDP|6401952809879540834</stp>
        <tr r="W93" s="8"/>
      </tp>
      <tp t="s">
        <v>#N/A Requesting Data...3536097314</v>
        <stp/>
        <stp>BDP|8082940601639986623</stp>
        <tr r="F32" s="8"/>
      </tp>
      <tp t="s">
        <v>#N/A Requesting Data...3306289023</v>
        <stp/>
        <stp>BDP|7687950021113995149</stp>
        <tr r="D19" s="8"/>
        <tr r="O19" s="8"/>
      </tp>
      <tp t="s">
        <v>#N/A Requesting Data...1527937181</v>
        <stp/>
        <stp>BDP|8215275161121328389</stp>
        <tr r="J27" s="8"/>
        <tr r="T27" s="8"/>
      </tp>
      <tp t="s">
        <v>#N/A Requesting Data...1926973776</v>
        <stp/>
        <stp>BDP|3812639516962330813</stp>
        <tr r="AO69" s="8"/>
      </tp>
      <tp t="s">
        <v>#N/A Requesting Data...3705077931</v>
        <stp/>
        <stp>BDP|6118594185353250631</stp>
        <tr r="W102" s="8"/>
      </tp>
      <tp t="s">
        <v>#N/A Requesting Data...2469600631</v>
        <stp/>
        <stp>BDP|2168087925427449945</stp>
        <tr r="AF70" s="8"/>
      </tp>
      <tp t="s">
        <v>#N/A Requesting Data...2569696423</v>
        <stp/>
        <stp>BDP|2086699090712159156</stp>
        <tr r="AO80" s="8"/>
      </tp>
      <tp t="s">
        <v>#N/A Requesting Data...1978520155</v>
        <stp/>
        <stp>BDP|4973018721259905120</stp>
        <tr r="L75" s="8"/>
      </tp>
      <tp t="s">
        <v>#N/A Requesting Data...4136104841</v>
        <stp/>
        <stp>BDP|6440926734993281126</stp>
        <tr r="AO81" s="8"/>
      </tp>
      <tp t="s">
        <v>#N/A Requesting Data...3637148487</v>
        <stp/>
        <stp>BDP|8894483072301788461</stp>
        <tr r="W69" s="8"/>
      </tp>
      <tp t="s">
        <v>#N/A Requesting Data...1277129805</v>
        <stp/>
        <stp>BDP|4167888145517432181</stp>
        <tr r="L63" s="8"/>
      </tp>
      <tp t="s">
        <v>#N/A Requesting Data...3966068128</v>
        <stp/>
        <stp>BDP|7815660123948457592</stp>
        <tr r="AO90" s="8"/>
      </tp>
      <tp t="s">
        <v>#N/A Requesting Data...3361955092</v>
        <stp/>
        <stp>BDP|1560688792795683593</stp>
        <tr r="D10" s="8"/>
        <tr r="O10" s="8"/>
      </tp>
      <tp t="s">
        <v>#N/A Requesting Data...3248048572</v>
        <stp/>
        <stp>BDP|9285879784543119414</stp>
        <tr r="D87" s="8"/>
      </tp>
      <tp t="s">
        <v>#N/A Requesting Data...1040835854</v>
        <stp/>
        <stp>BDP|3740675122179482011</stp>
        <tr r="F75" s="8"/>
      </tp>
      <tp t="s">
        <v>#N/A Requesting Data...2736653727</v>
        <stp/>
        <stp>BDP|8529298147110571094</stp>
        <tr r="AH84" s="8"/>
      </tp>
      <tp t="s">
        <v>#N/A Requesting Data...3039579483</v>
        <stp/>
        <stp>BDP|9317430555744538274</stp>
        <tr r="AB100" s="8"/>
      </tp>
      <tp t="s">
        <v>#N/A Requesting Data...3719947895</v>
        <stp/>
        <stp>BDP|8482129920243673677</stp>
        <tr r="P67" s="8"/>
      </tp>
      <tp t="s">
        <v>#N/A Requesting Data...3665748366</v>
        <stp/>
        <stp>BDP|8814772504695666491</stp>
        <tr r="AM97" s="8"/>
      </tp>
      <tp t="s">
        <v>#N/A Requesting Data...1408339335</v>
        <stp/>
        <stp>BDP|5320577990266726162</stp>
        <tr r="D6" s="8"/>
        <tr r="O6" s="8"/>
      </tp>
      <tp>
        <v>76.760000000000005</v>
        <stp/>
        <stp>BDP|384551413713290595|22</stp>
        <stp>FSCOM20 Index</stp>
        <stp>LAST_PRICE</stp>
        <tr r="K83" s="8"/>
      </tp>
      <tp>
        <v>82.43</v>
        <stp/>
        <stp>BDP|7077345998033206448|22</stp>
        <stp>CO12 Comdty</stp>
        <stp>PX_SETTLE_ACTUAL_RT</stp>
        <tr r="V16" s="8"/>
      </tp>
      <tp>
        <v>-12.39</v>
        <stp/>
        <stp>BDP|12238027329831019667|22</stp>
        <stp>FVMZM4 Index</stp>
        <stp>LAST_PRICE</stp>
        <tr r="AC67" s="8"/>
      </tp>
      <tp>
        <v>84.57</v>
        <stp/>
        <stp>BDP|12657010760152014122|22</stp>
        <stp>FSCLM4 Index</stp>
        <stp>LAST_PRICE</stp>
        <tr r="E67" s="8"/>
      </tp>
      <tp>
        <v>-4.74</v>
        <stp/>
        <stp>BDP|16803080467485224045|22</stp>
        <stp>HWTCON7 Comdty</stp>
        <stp>LAST_PRICE</stp>
        <tr r="AA12" s="8"/>
      </tp>
      <tp>
        <v>-7.3</v>
        <stp/>
        <stp>BDP|15970769859442086370|22</stp>
        <stp>HWTCOG7 Comdty</stp>
        <stp>LAST_PRICE</stp>
        <tr r="AA7" s="8"/>
      </tp>
      <tp>
        <v>-10.41</v>
        <stp/>
        <stp>BDP|14543118225050299831|22</stp>
        <stp>HWTCOZ6 Comdty</stp>
        <stp>LAST_PRICE</stp>
        <tr r="AA5" s="8"/>
      </tp>
      <tp t="s">
        <v>#N/A Requesting Data...1477347420</v>
        <stp/>
        <stp>BDP|9511951499966096039</stp>
        <tr r="F6" s="8"/>
      </tp>
      <tp t="s">
        <v>#N/A Requesting Data...1111155033</v>
        <stp/>
        <stp>BDP|3702689052398204742</stp>
        <tr r="AH92" s="8"/>
      </tp>
      <tp t="s">
        <v>#N/A Requesting Data...1763297898</v>
        <stp/>
        <stp>BDP|8342450710286940440</stp>
        <tr r="AF78" s="8"/>
      </tp>
      <tp t="s">
        <v>#N/A Requesting Data...2886036669</v>
        <stp/>
        <stp>BDP|1569643752378866528</stp>
        <tr r="J73" s="8"/>
      </tp>
      <tp t="s">
        <v>#N/A Requesting Data...3175601706</v>
        <stp/>
        <stp>BDP|3850419228509719384</stp>
        <tr r="D58" s="8"/>
      </tp>
      <tp t="s">
        <v>#N/A Requesting Data...1873731495</v>
        <stp/>
        <stp>BDP|5087882265356859299</stp>
        <tr r="F29" s="8"/>
      </tp>
      <tp>
        <v>67.290000000000006</v>
        <stp/>
        <stp>BDP|16397474501112573365|22</stp>
        <stp>FSWTM33 Comdty</stp>
        <stp>LAST_PRICE</stp>
        <tr r="P37" s="8"/>
      </tp>
      <tp t="s">
        <v>#N/A Requesting Data...2501663980</v>
        <stp/>
        <stp>BDP|4615257157214360847</stp>
        <tr r="D66" s="8"/>
      </tp>
      <tp t="s">
        <v>#N/A Requesting Data...4152578201</v>
        <stp/>
        <stp>BDP|7524048740998420465</stp>
        <tr r="AM73" s="8"/>
      </tp>
      <tp>
        <v>75.38</v>
        <stp/>
        <stp>BDP|15787010481195568433|22</stp>
        <stp>FSWTM14 Comdty</stp>
        <stp>LAST_PRICE</stp>
        <tr r="P18" s="8"/>
      </tp>
      <tp t="s">
        <v>#N/A Requesting Data...3272726877</v>
        <stp/>
        <stp>BDP|2372263917296764859</stp>
        <tr r="AB88" s="8"/>
      </tp>
      <tp t="s">
        <v>#N/A Requesting Data...2911999693</v>
        <stp/>
        <stp>BDP|4489143107328451224</stp>
        <tr r="D33" s="8"/>
        <tr r="O33" s="8"/>
      </tp>
      <tp t="s">
        <v>#N/A Requesting Data...3656261207</v>
        <stp/>
        <stp>BDP|7261895978886202101</stp>
        <tr r="D53" s="8"/>
        <tr r="O53" s="8"/>
      </tp>
      <tp t="s">
        <v>#N/A Requesting Data...1505087854</v>
        <stp/>
        <stp>BDP|7602279270958154512</stp>
        <tr r="AO68" s="8"/>
      </tp>
      <tp t="s">
        <v>#N/A Requesting Data...2104014686</v>
        <stp/>
        <stp>BDP|5977776248641099878</stp>
        <tr r="D75" s="8"/>
      </tp>
      <tp t="s">
        <v>#N/A Requesting Data...4028466328</v>
        <stp/>
        <stp>BDP|7335631031499252448</stp>
        <tr r="P89" s="8"/>
      </tp>
      <tp t="s">
        <v>#N/A Requesting Data...2981775593</v>
        <stp/>
        <stp>BDP|3497820632812262518</stp>
        <tr r="L49" s="8"/>
      </tp>
      <tp t="s">
        <v>#N/A Requesting Data...1589952381</v>
        <stp/>
        <stp>BDP|5828378134202741881</stp>
        <tr r="J17" s="8"/>
        <tr r="T17" s="8"/>
      </tp>
      <tp t="s">
        <v>#N/A Requesting Data...4089095666</v>
        <stp/>
        <stp>BDP|6634937709615099585</stp>
        <tr r="D123" s="8"/>
      </tp>
      <tp t="s">
        <v>#N/A Requesting Data...4244806999</v>
        <stp/>
        <stp>BDP|6875874155397849365</stp>
        <tr r="L92" s="8"/>
      </tp>
      <tp t="s">
        <v>#N/A Requesting Data...1795698820</v>
        <stp/>
        <stp>BDP|6186303126140482870</stp>
        <tr r="J18" s="8"/>
        <tr r="T18" s="8"/>
      </tp>
      <tp t="s">
        <v>#N/A Requesting Data...2044061652</v>
        <stp/>
        <stp>BDP|6357409805289331401</stp>
        <tr r="AH79" s="8"/>
      </tp>
      <tp>
        <v>77.31</v>
        <stp/>
        <stp>BDP|6268157017807642457|22</stp>
        <stp>CO20 Comdty</stp>
        <stp>PX_SETTLE_ACTUAL_RT</stp>
        <tr r="V24" s="8"/>
      </tp>
      <tp>
        <v>89.53</v>
        <stp/>
        <stp>BDP|14202910215758105737|22</stp>
        <stp>FSCOM5 Index</stp>
        <stp>LAST_PRICE</stp>
        <tr r="K68" s="8"/>
      </tp>
      <tp>
        <v>-3.4</v>
        <stp/>
        <stp>BDP|15972667917259421952|22</stp>
        <stp>HWTCOM8 Comdty</stp>
        <stp>LAST_PRICE</stp>
        <tr r="AA23" s="8"/>
      </tp>
      <tp>
        <v>-3.76</v>
        <stp/>
        <stp>BDP|14113628417314994144|22</stp>
        <stp>HWTCOF8 Comdty</stp>
        <stp>LAST_PRICE</stp>
        <tr r="AA18" s="8"/>
      </tp>
      <tp t="s">
        <v>#N/A Requesting Data...2930060443</v>
        <stp/>
        <stp>BDP|6000366609349389466</stp>
        <tr r="L20" s="8"/>
      </tp>
      <tp t="s">
        <v>#N/A Requesting Data...1622093613</v>
        <stp/>
        <stp>BDP|4153997052351160102</stp>
        <tr r="AB71" s="8"/>
      </tp>
      <tp t="s">
        <v>#N/A Requesting Data...3433121920</v>
        <stp/>
        <stp>BDP|1941836944053157642</stp>
        <tr r="AF74" s="8"/>
      </tp>
      <tp t="s">
        <v>#N/A Requesting Data...2723300369</v>
        <stp/>
        <stp>BDP|3280469099620366668</stp>
        <tr r="AO91" s="8"/>
      </tp>
      <tp t="s">
        <v>#N/A Requesting Data...2364417023</v>
        <stp/>
        <stp>BDP|3160954926998816824</stp>
        <tr r="AB68" s="8"/>
      </tp>
      <tp>
        <v>89.53</v>
        <stp/>
        <stp>BDP|13363374610714856729|22</stp>
        <stp>CO6 Comdty</stp>
        <stp>PX_SETTLE_ACTUAL_RT</stp>
        <tr r="V10" s="8"/>
      </tp>
      <tp t="s">
        <v>#N/A Requesting Data...2716871129</v>
        <stp/>
        <stp>BDP|8534416859944119553</stp>
        <tr r="P92" s="8"/>
      </tp>
      <tp t="s">
        <v>#N/A Requesting Data...3847026036</v>
        <stp/>
        <stp>BDP|9513763473660773151</stp>
        <tr r="AO73" s="8"/>
      </tp>
      <tp>
        <v>72.150000000000006</v>
        <stp/>
        <stp>BDP|10458528705285411751|22</stp>
        <stp>FSWTM20 Comdty</stp>
        <stp>LAST_PRICE</stp>
        <tr r="P24" s="8"/>
      </tp>
      <tp t="s">
        <v>#N/A Requesting Data...1693381228</v>
        <stp/>
        <stp>BDP|7004935114872550511</stp>
        <tr r="AM68" s="8"/>
      </tp>
      <tp t="s">
        <v>#N/A Requesting Data...2267601644</v>
        <stp/>
        <stp>BDP|2113858639378625987</stp>
        <tr r="F24" s="8"/>
      </tp>
      <tp t="s">
        <v>#N/A Requesting Data...3559627511</v>
        <stp/>
        <stp>BDP|8880784657793421106</stp>
        <tr r="P64" s="8"/>
      </tp>
      <tp t="s">
        <v>#N/A Requesting Data...1703133929</v>
        <stp/>
        <stp>BDP|5490157694865632000</stp>
        <tr r="W63" s="8"/>
      </tp>
      <tp t="s">
        <v>#N/A Requesting Data...1483373911</v>
        <stp/>
        <stp>BDP|8373053774015500268</stp>
        <tr r="D130" s="8"/>
      </tp>
      <tp t="s">
        <v>#N/A Requesting Data...2848151586</v>
        <stp/>
        <stp>BDP|2448273050444122940</stp>
        <tr r="AB69" s="8"/>
      </tp>
      <tp t="s">
        <v>#N/A Requesting Data...1810470165</v>
        <stp/>
        <stp>BDP|1356195896166956733</stp>
        <tr r="F21" s="8"/>
      </tp>
      <tp t="s">
        <v>#N/A Requesting Data...3877760500</v>
        <stp/>
        <stp>BDP|2250760186170469505</stp>
        <tr r="D24" s="8"/>
        <tr r="O24" s="8"/>
      </tp>
      <tp t="s">
        <v>#N/A Requesting Data...3262770329</v>
        <stp/>
        <stp>BDP|6102922101714156378</stp>
        <tr r="AB80" s="8"/>
      </tp>
      <tp t="s">
        <v>#N/A Requesting Data...3117828429</v>
        <stp/>
        <stp>BDP|5091059184000225579</stp>
        <tr r="J6" s="8"/>
        <tr r="T6" s="8"/>
      </tp>
      <tp t="s">
        <v>#N/A Requesting Data...1202038569</v>
        <stp/>
        <stp>BDP|6354113862009690025</stp>
        <tr r="P71" s="8"/>
      </tp>
      <tp t="s">
        <v>#N/A Requesting Data...1221428988</v>
        <stp/>
        <stp>BDP|9398465621903785478</stp>
        <tr r="J79" s="8"/>
      </tp>
      <tp t="s">
        <v>#N/A Requesting Data...2974060614</v>
        <stp/>
        <stp>BDP|9708144218381696089</stp>
        <tr r="D83" s="8"/>
      </tp>
      <tp>
        <v>79.41</v>
        <stp/>
        <stp>BDP|8143294359953698460|22</stp>
        <stp>CO16 Comdty</stp>
        <stp>PX_SETTLE_ACTUAL_RT</stp>
        <tr r="V20" s="8"/>
      </tp>
      <tp>
        <v>83.32</v>
        <stp/>
        <stp>BDP|1495792781673068105|22</stp>
        <stp>CO11 Comdty</stp>
        <stp>PX_SETTLE_ACTUAL_RT</stp>
        <tr r="V15" s="8"/>
      </tp>
      <tp>
        <v>-3.31</v>
        <stp/>
        <stp>BDP|14913709161191626867|22</stp>
        <stp>HWTCOQ8 Comdty</stp>
        <stp>LAST_PRICE</stp>
        <tr r="AA25" s="8"/>
      </tp>
      <tp>
        <v>95.38</v>
        <stp/>
        <stp>BDP|13351878010354235185|22</stp>
        <stp>CO3 Comdty</stp>
        <stp>PX_SETTLE_ACTUAL_RT</stp>
        <tr r="V7" s="8"/>
      </tp>
      <tp t="s">
        <v>#N/A Requesting Data...3117682946</v>
        <stp/>
        <stp>BDP|5163560833708688292</stp>
        <tr r="D78" s="8"/>
      </tp>
      <tp t="s">
        <v>#N/A Requesting Data...3222185798</v>
        <stp/>
        <stp>BDP|1589092453599140456</stp>
        <tr r="AO88" s="8"/>
      </tp>
      <tp t="s">
        <v>#N/A Requesting Data...2416657485</v>
        <stp/>
        <stp>BDP|9794404317762831734</stp>
        <tr r="AH87" s="8"/>
      </tp>
      <tp t="s">
        <v>#N/A Requesting Data...2426235399</v>
        <stp/>
        <stp>BDP|5301461919149758007</stp>
        <tr r="D109" s="8"/>
      </tp>
      <tp>
        <v>102.31</v>
        <stp/>
        <stp>BDP|16653808152500980408|22</stp>
        <stp>CO1 Comdty</stp>
        <stp>PX_SETTLE_ACTUAL_RT</stp>
        <tr r="V5" s="8"/>
      </tp>
      <tp>
        <v>85.43</v>
        <stp/>
        <stp>BDP|16855268562573265756|22</stp>
        <stp>CO9 Comdty</stp>
        <stp>PX_SETTLE_ACTUAL_RT</stp>
        <tr r="V13" s="8"/>
      </tp>
      <tp t="s">
        <v>#N/A Requesting Data...3792481560</v>
        <stp/>
        <stp>BDP|5486294992120129777</stp>
        <tr r="J75" s="8"/>
      </tp>
      <tp t="s">
        <v>#N/A Requesting Data...1776024022</v>
        <stp/>
        <stp>BDP|2638930701987945544</stp>
        <tr r="AB98" s="8"/>
      </tp>
      <tp t="s">
        <v>#N/A Requesting Data...3164666234</v>
        <stp/>
        <stp>BDP|5916845731292127526</stp>
        <tr r="AH70" s="8"/>
      </tp>
      <tp t="s">
        <v>#N/A Requesting Data...2656232480</v>
        <stp/>
        <stp>BDP|2107488252178088243</stp>
        <tr r="L6" s="8"/>
      </tp>
      <tp t="s">
        <v>#N/A Requesting Data...1393132945</v>
        <stp/>
        <stp>BDP|8855624035621310505</stp>
        <tr r="F8" s="8"/>
      </tp>
      <tp t="s">
        <v>#N/A Requesting Data...3932440968</v>
        <stp/>
        <stp>BDP|6716265619255920939</stp>
        <tr r="D7" s="8"/>
        <tr r="O7" s="8"/>
      </tp>
      <tp t="s">
        <v>#N/A Requesting Data...3171419285</v>
        <stp/>
        <stp>BDP|8144339272405484078</stp>
        <tr r="W79" s="8"/>
      </tp>
      <tp t="s">
        <v>#N/A Requesting Data...2703013010</v>
        <stp/>
        <stp>BDP|6545976009613102592</stp>
        <tr r="D27" s="8"/>
        <tr r="O27" s="8"/>
      </tp>
      <tp t="s">
        <v>#N/A Requesting Data...2098304203</v>
        <stp/>
        <stp>BDP|4277912800755024120</stp>
        <tr r="J24" s="8"/>
        <tr r="T24" s="8"/>
      </tp>
      <tp t="s">
        <v>#N/A Requesting Data...2140673308</v>
        <stp/>
        <stp>BDP|4080513940848678467</stp>
        <tr r="AM69" s="8"/>
      </tp>
      <tp t="s">
        <v>#N/A Requesting Data...2193936261</v>
        <stp/>
        <stp>BDP|4570830171575515730</stp>
        <tr r="P69" s="8"/>
      </tp>
      <tp t="s">
        <v>#N/A Requesting Data...4059164828</v>
        <stp/>
        <stp>BDP|2625433012277528948</stp>
        <tr r="J69" s="8"/>
      </tp>
      <tp t="s">
        <v>#N/A Requesting Data...1754539170</v>
        <stp/>
        <stp>BDP|1011849794069115073</stp>
        <tr r="W98" s="8"/>
      </tp>
      <tp t="s">
        <v>#N/A Requesting Data...1681282576</v>
        <stp/>
        <stp>BDP|9084670876806106767</stp>
        <tr r="F45" s="8"/>
      </tp>
      <tp t="s">
        <v>#N/A Requesting Data...1310804320</v>
        <stp/>
        <stp>BDP|8824487424846524159</stp>
        <tr r="AM64" s="8"/>
      </tp>
      <tp t="s">
        <v>#N/A Requesting Data...3701085619</v>
        <stp/>
        <stp>BDP|4071830378511847360</stp>
        <tr r="J78" s="8"/>
      </tp>
      <tp>
        <v>70.05</v>
        <stp/>
        <stp>BDP|1770535999430806987|22</stp>
        <stp>CO44 Comdty</stp>
        <stp>PX_SETTLE_ACTUAL_RT</stp>
        <tr r="V48" s="8"/>
      </tp>
      <tp>
        <v>72</v>
        <stp/>
        <stp>BDP|4138333366002337649|22</stp>
        <stp>CO35 Comdty</stp>
        <stp>PX_SETTLE_ACTUAL_RT</stp>
        <tr r="V39" s="8"/>
      </tp>
      <tp>
        <v>-3.42</v>
        <stp/>
        <stp>BDP|13571946339635710246|22</stp>
        <stp>HWTCOK8 Comdty</stp>
        <stp>LAST_PRICE</stp>
        <tr r="AA22" s="8"/>
      </tp>
      <tp t="s">
        <v>#N/A Invalid Security</v>
        <stp/>
        <stp>BDP|12004753379496303848|22</stp>
        <stp>HWTCOX8 Comdty</stp>
        <stp>LAST_PRICE</stp>
        <tr r="AA28" s="8"/>
      </tp>
      <tp t="s">
        <v>#N/A Requesting Data...2074409395</v>
        <stp/>
        <stp>BDP|8312870956799838614</stp>
        <tr r="AM80" s="8"/>
      </tp>
      <tp>
        <v>71.69</v>
        <stp/>
        <stp>BDP|13192601063791190423|22</stp>
        <stp>FSWTM21 Comdty</stp>
        <stp>LAST_PRICE</stp>
        <tr r="P25" s="8"/>
      </tp>
      <tp>
        <v>73.05</v>
        <stp/>
        <stp>BDP|16265302577254848257|22</stp>
        <stp>FSWTM18 Comdty</stp>
        <stp>LAST_PRICE</stp>
        <tr r="P22" s="8"/>
      </tp>
      <tp t="s">
        <v>#N/A Requesting Data...3912580828</v>
        <stp/>
        <stp>BDP|4529241541040898816</stp>
        <tr r="F41" s="8"/>
      </tp>
      <tp t="s">
        <v>#N/A Requesting Data...2188147013</v>
        <stp/>
        <stp>BDP|1984163681057718506</stp>
        <tr r="L22" s="8"/>
      </tp>
      <tp t="s">
        <v>#N/A Requesting Data...3659215967</v>
        <stp/>
        <stp>BDP|3192772852398849350</stp>
        <tr r="D91" s="8"/>
      </tp>
      <tp t="s">
        <v>#N/A Requesting Data...2096786536</v>
        <stp/>
        <stp>BDP|8887303168125859271</stp>
        <tr r="F27" s="8"/>
      </tp>
      <tp t="s">
        <v>#N/A Requesting Data...2504824814</v>
        <stp/>
        <stp>BDP|2038799567578971186</stp>
        <tr r="D28" s="8"/>
        <tr r="O28" s="8"/>
      </tp>
      <tp t="s">
        <v>#N/A Requesting Data...2873796643</v>
        <stp/>
        <stp>BDP|9392298706236260726</stp>
        <tr r="J33" s="8"/>
        <tr r="T33" s="8"/>
      </tp>
      <tp t="s">
        <v>#N/A Requesting Data...2307685694</v>
        <stp/>
        <stp>BDP|6000586164019076603</stp>
        <tr r="J26" s="8"/>
        <tr r="T26" s="8"/>
      </tp>
      <tp t="s">
        <v>#N/A Requesting Data...1038207046</v>
        <stp/>
        <stp>BDP|2816500058770586883</stp>
        <tr r="D32" s="8"/>
        <tr r="O32" s="8"/>
      </tp>
      <tp t="s">
        <v>#N/A Requesting Data...1390356379</v>
        <stp/>
        <stp>BDP|3707936433520882329</stp>
        <tr r="L97" s="8"/>
      </tp>
      <tp t="s">
        <v>#N/A Requesting Data...2961681117</v>
        <stp/>
        <stp>BDP|6402587866088675714</stp>
        <tr r="AM65" s="8"/>
      </tp>
      <tp t="s">
        <v>#N/A Requesting Data...3438435524</v>
        <stp/>
        <stp>BDP|9191051520205711419</stp>
        <tr r="AB85" s="8"/>
      </tp>
      <tp t="s">
        <v>#N/A Requesting Data...2556344059</v>
        <stp/>
        <stp>BDP|7329383989574177214</stp>
        <tr r="J47" s="8"/>
        <tr r="T47" s="8"/>
      </tp>
      <tp t="s">
        <v>#N/A Requesting Data...2647408585</v>
        <stp/>
        <stp>BDP|8558259747145287165</stp>
        <tr r="P70" s="8"/>
      </tp>
      <tp t="s">
        <v>#N/A Requesting Data...1100796282</v>
        <stp/>
        <stp>BDP|2505818129766919445</stp>
        <tr r="W90" s="8"/>
      </tp>
      <tp t="s">
        <v>#N/A Requesting Data...4061540545</v>
        <stp/>
        <stp>BDP|8809781957518297850</stp>
        <tr r="AH73" s="8"/>
      </tp>
      <tp t="s">
        <v>#N/A Requesting Data...1523011959</v>
        <stp/>
        <stp>BDP|7708507007928199013</stp>
        <tr r="W65" s="8"/>
      </tp>
      <tp>
        <v>73.56</v>
        <stp/>
        <stp>BDP|12096922331756419900|22</stp>
        <stp>FSWTM17 Comdty</stp>
        <stp>LAST_PRICE</stp>
        <tr r="P21" s="8"/>
      </tp>
      <tp>
        <v>74.099999999999994</v>
        <stp/>
        <stp>BDP|18210823926715416949|22</stp>
        <stp>FSWTM16 Comdty</stp>
        <stp>LAST_PRICE</stp>
        <tr r="P20" s="8"/>
      </tp>
      <tp t="s">
        <v>#N/A Requesting Data...3768718395</v>
        <stp/>
        <stp>BDP|4688400601792309856</stp>
        <tr r="D131" s="8"/>
      </tp>
      <tp t="s">
        <v>#N/A Requesting Data...2055020727</v>
        <stp/>
        <stp>BDP|8139417904910153632</stp>
        <tr r="F91" s="8"/>
      </tp>
      <tp t="s">
        <v>#N/A Requesting Data...3288303506</v>
        <stp/>
        <stp>BDP|7856937458610786123</stp>
        <tr r="F83" s="8"/>
      </tp>
      <tp t="s">
        <v>#N/A Requesting Data...1143903163</v>
        <stp/>
        <stp>BDP|9168773157147207654</stp>
        <tr r="D48" s="8"/>
        <tr r="O48" s="8"/>
      </tp>
      <tp t="s">
        <v>#N/A Requesting Data...3765011357</v>
        <stp/>
        <stp>BDP|3718943238591611294</stp>
        <tr r="J92" s="8"/>
      </tp>
      <tp t="s">
        <v>#N/A Requesting Data...2379602603</v>
        <stp/>
        <stp>BDP|5063726888542771289</stp>
        <tr r="J95" s="8"/>
      </tp>
      <tp>
        <v>-3.11</v>
        <stp/>
        <stp>BDP|352379625427827554|22</stp>
        <stp>FVMZM21 Index</stp>
        <stp>LAST_PRICE</stp>
        <tr r="AC84" s="8"/>
      </tp>
      <tp>
        <v>102.31</v>
        <stp/>
        <stp>BDP|13140156898540669604|22</stp>
        <stp>FSCOM0 Index</stp>
        <stp>LAST_PRICE</stp>
        <tr r="K63" s="8"/>
      </tp>
      <tp t="s">
        <v>#N/A Requesting Data...4013653094</v>
        <stp/>
        <stp>BDP|7688831974245821635</stp>
        <tr r="AH71" s="8"/>
      </tp>
      <tp t="s">
        <v>#N/A Requesting Data...4204277125</v>
        <stp/>
        <stp>BDP|4101912522574159097</stp>
        <tr r="AM98" s="8"/>
      </tp>
      <tp t="s">
        <v>#N/A Requesting Data...1120378669</v>
        <stp/>
        <stp>BDP|3388198786617240663</stp>
        <tr r="L64" s="8"/>
      </tp>
      <tp t="s">
        <v>#N/A Requesting Data...2685016108</v>
        <stp/>
        <stp>BDP|8340173934063960206</stp>
        <tr r="L58" s="8"/>
      </tp>
      <tp t="s">
        <v>#N/A Requesting Data...2071384551</v>
        <stp/>
        <stp>BDP|2145635922525836840</stp>
        <tr r="J72" s="8"/>
      </tp>
      <tp t="s">
        <v>#N/A Requesting Data...1393266453</v>
        <stp/>
        <stp>BDP|8787423709063364428</stp>
        <tr r="F23" s="8"/>
      </tp>
      <tp t="s">
        <v>#N/A Requesting Data...4127594695</v>
        <stp/>
        <stp>BDP|4558116051188110368</stp>
        <tr r="J45" s="8"/>
        <tr r="T45" s="8"/>
      </tp>
      <tp t="s">
        <v>#N/A Requesting Data...2940613883</v>
        <stp/>
        <stp>BDP|9175244708608808867</stp>
        <tr r="AF80" s="8"/>
      </tp>
      <tp t="s">
        <v>#N/A Requesting Data...1731151292</v>
        <stp/>
        <stp>BDP|4531055094176553008</stp>
        <tr r="J22" s="8"/>
        <tr r="T22" s="8"/>
      </tp>
      <tp t="s">
        <v>#N/A Requesting Data...1753896609</v>
        <stp/>
        <stp>BDP|1763415476759908085</stp>
        <tr r="AO64" s="8"/>
      </tp>
      <tp>
        <v>66.36</v>
        <stp/>
        <stp>BDP|14941720646510826928|22</stp>
        <stp>FSWTM36 Comdty</stp>
        <stp>LAST_PRICE</stp>
        <tr r="P40" s="8"/>
      </tp>
      <tp t="s">
        <v>#N/A Requesting Data...3511251265</v>
        <stp/>
        <stp>BDP|7237209454539299236</stp>
        <tr r="D136" s="8"/>
      </tp>
      <tp t="s">
        <v>#N/A Requesting Data...2513865101</v>
        <stp/>
        <stp>BDP|7051929243672790323</stp>
        <tr r="W70" s="8"/>
      </tp>
      <tp t="s">
        <v>#N/A Requesting Data...4245220549</v>
        <stp/>
        <stp>BDP|7716208734455689809</stp>
        <tr r="W88" s="8"/>
      </tp>
      <tp t="s">
        <v>#N/A Requesting Data...4096316601</v>
        <stp/>
        <stp>BDP|5494436273759484453</stp>
        <tr r="P91" s="8"/>
      </tp>
      <tp t="s">
        <v>#N/A Requesting Data...2914698043</v>
        <stp/>
        <stp>BDP|8663384034355843670</stp>
        <tr r="AM74" s="8"/>
      </tp>
      <tp>
        <v>73.47</v>
        <stp/>
        <stp>BDP|8498965811490487194|22</stp>
        <stp>CO30 Comdty</stp>
        <stp>PX_SETTLE_ACTUAL_RT</stp>
        <tr r="V34" s="8"/>
      </tp>
      <tp>
        <v>74.680000000000007</v>
        <stp/>
        <stp>BDP|5324623311505769190|22</stp>
        <stp>CO26 Comdty</stp>
        <stp>PX_SETTLE_ACTUAL_RT</stp>
        <tr r="V30" s="8"/>
      </tp>
      <tp>
        <v>78.819999999999993</v>
        <stp/>
        <stp>BDP|1062304800802464898|22</stp>
        <stp>CO17 Comdty</stp>
        <stp>PX_SETTLE_ACTUAL_RT</stp>
        <tr r="V21" s="8"/>
      </tp>
      <tp>
        <v>2.5099999999999998</v>
        <stp/>
        <stp>BDP|15076806223751095367|22</stp>
        <stp>FDBSM5 Index</stp>
        <stp>LAST_PRICE</stp>
        <tr r="Q68" s="8"/>
      </tp>
      <tp t="s">
        <v>#N/A Requesting Data...1741689868</v>
        <stp/>
        <stp>BDP|8086760082453865065</stp>
        <tr r="W91" s="8"/>
      </tp>
      <tp t="s">
        <v>#N/A Requesting Data...3464749760</v>
        <stp/>
        <stp>BDP|6960683963856940402</stp>
        <tr r="AF83" s="8"/>
      </tp>
      <tp t="s">
        <v>#N/A Requesting Data...1158077002</v>
        <stp/>
        <stp>BDP|3074274275963019198</stp>
        <tr r="AM82" s="8"/>
      </tp>
      <tp t="s">
        <v>#N/A Requesting Data...4066617491</v>
        <stp/>
        <stp>BDP|8418429609728238040</stp>
        <tr r="F12" s="8"/>
      </tp>
      <tp t="s">
        <v>#N/A Requesting Data...1571192765</v>
        <stp/>
        <stp>BDP|3036607318666530634</stp>
        <tr r="P87" s="8"/>
      </tp>
      <tp t="s">
        <v>#N/A Requesting Data...2859597817</v>
        <stp/>
        <stp>BDP|1784813663512217999</stp>
        <tr r="D69" s="8"/>
      </tp>
      <tp t="s">
        <v>#N/A Requesting Data...4042692080</v>
        <stp/>
        <stp>BDP|7739733901580191460</stp>
        <tr r="F82" s="8"/>
      </tp>
      <tp t="s">
        <v>#N/A Requesting Data...4292382413</v>
        <stp/>
        <stp>BDP|1532641510075131733</stp>
        <tr r="J76" s="8"/>
      </tp>
      <tp t="s">
        <v>#N/A Requesting Data...4056941093</v>
        <stp/>
        <stp>BDP|1365845145589149030</stp>
        <tr r="L84" s="8"/>
      </tp>
      <tp t="s">
        <v>#N/A Requesting Data...2804416602</v>
        <stp/>
        <stp>BDP|6621736535697795179</stp>
        <tr r="J7" s="8"/>
        <tr r="T7" s="8"/>
      </tp>
      <tp t="s">
        <v>#N/A Requesting Data...2814959593</v>
        <stp/>
        <stp>BDP|4579746116746116060</stp>
        <tr r="AM99" s="8"/>
      </tp>
      <tp t="s">
        <v>#N/A Requesting Data...2990720171</v>
        <stp/>
        <stp>BDP|2419825779868667185</stp>
        <tr r="AF76" s="8"/>
      </tp>
      <tp t="s">
        <v>#N/A Requesting Data...4229220541</v>
        <stp/>
        <stp>BDP|8175109725209128641</stp>
        <tr r="AO75" s="8"/>
      </tp>
      <tp t="s">
        <v>#N/A Requesting Data...4024303780</v>
        <stp/>
        <stp>BDP|9008532580129552974</stp>
        <tr r="F44" s="8"/>
      </tp>
      <tp t="s">
        <v>#N/A Requesting Data...1729694874</v>
        <stp/>
        <stp>BDP|9261227584536309110</stp>
        <tr r="AB67" s="8"/>
      </tp>
      <tp t="s">
        <v>#N/A Requesting Data...2808751490</v>
        <stp/>
        <stp>BDP|1458088332467128182</stp>
        <tr r="AM67" s="8"/>
      </tp>
      <tp t="s">
        <v>#N/A Requesting Data...2316231264</v>
        <stp/>
        <stp>BDP|6694974783573776020</stp>
        <tr r="AB93" s="8"/>
      </tp>
      <tp t="s">
        <v>#N/A Requesting Data...2474754718</v>
        <stp/>
        <stp>BDP|5968768569266126634</stp>
        <tr r="J89" s="8"/>
      </tp>
      <tp>
        <v>75.89</v>
        <stp/>
        <stp>BDP|1541684047316411133|22</stp>
        <stp>CO23 Comdty</stp>
        <stp>PX_SETTLE_ACTUAL_RT</stp>
        <tr r="V27" s="8"/>
      </tp>
      <tp>
        <v>73.760000000000005</v>
        <stp/>
        <stp>BDP|5531748798439484612|22</stp>
        <stp>CO29 Comdty</stp>
        <stp>PX_SETTLE_ACTUAL_RT</stp>
        <tr r="V33" s="8"/>
      </tp>
      <tp>
        <v>76.36</v>
        <stp/>
        <stp>BDP|1650543029508061691|22</stp>
        <stp>CO22 Comdty</stp>
        <stp>PX_SETTLE_ACTUAL_RT</stp>
        <tr r="V26" s="8"/>
      </tp>
      <tp>
        <v>79.260000000000005</v>
        <stp/>
        <stp>BDP|11735326303197534498|22</stp>
        <stp>FSCLM8 Index</stp>
        <stp>LAST_PRICE</stp>
        <tr r="E71" s="8"/>
      </tp>
      <tp>
        <v>-3.41</v>
        <stp/>
        <stp>BDP|10461817247546678205|22</stp>
        <stp>HWTCOJ8 Comdty</stp>
        <stp>LAST_PRICE</stp>
        <tr r="AA21" s="8"/>
      </tp>
      <tp t="s">
        <v>#N/A Requesting Data...4170813302</v>
        <stp/>
        <stp>BDP|1366563707739886806</stp>
        <tr r="AM79" s="8"/>
      </tp>
      <tp t="s">
        <v>#N/A Requesting Data...1301112529</v>
        <stp/>
        <stp>BDP|9503050632639064680</stp>
        <tr r="D51" s="8"/>
        <tr r="O51" s="8"/>
      </tp>
      <tp t="s">
        <v>#N/A Requesting Data...2099615611</v>
        <stp/>
        <stp>BDP|6525584066626641677</stp>
        <tr r="AF96" s="8"/>
      </tp>
      <tp t="s">
        <v>#N/A Requesting Data...3005158030</v>
        <stp/>
        <stp>BDP|9616280505659606775</stp>
        <tr r="J96" s="8"/>
      </tp>
      <tp t="s">
        <v>#N/A Requesting Data...1956916036</v>
        <stp/>
        <stp>BDP|4225719969480419056</stp>
        <tr r="D49" s="8"/>
        <tr r="O49" s="8"/>
      </tp>
      <tp t="s">
        <v>#N/A Requesting Data...4176443460</v>
        <stp/>
        <stp>BDP|2886026737612388658</stp>
        <tr r="D45" s="8"/>
        <tr r="O45" s="8"/>
      </tp>
      <tp t="s">
        <v>#N/A Requesting Data...2082719836</v>
        <stp/>
        <stp>BDP|6812542281867253974</stp>
        <tr r="J70" s="8"/>
      </tp>
      <tp t="s">
        <v>#N/A Requesting Data...1630808703</v>
        <stp/>
        <stp>BDP|4087621448892247108</stp>
        <tr r="L19" s="8"/>
      </tp>
      <tp t="s">
        <v>#N/A Requesting Data...1145025102</v>
        <stp/>
        <stp>BDP|7688791918162867679</stp>
        <tr r="D77" s="8"/>
      </tp>
      <tp>
        <v>76.06</v>
        <stp/>
        <stp>BDP|15255487342218619324|22</stp>
        <stp>FSWTM13 Comdty</stp>
        <stp>LAST_PRICE</stp>
        <tr r="P17" s="8"/>
      </tp>
      <tp t="s">
        <v>#N/A Requesting Data...2779288171</v>
        <stp/>
        <stp>BDP|1018012138696501159</stp>
        <tr r="L70" s="8"/>
      </tp>
      <tp t="s">
        <v>#N/A Requesting Data...2866390677</v>
        <stp/>
        <stp>BDP|5184607551646946570</stp>
        <tr r="D97" s="8"/>
      </tp>
      <tp t="s">
        <v>#N/A Requesting Data...3858390552</v>
        <stp/>
        <stp>BDP|1859281635806834324</stp>
        <tr r="L33" s="8"/>
      </tp>
      <tp t="s">
        <v>#N/A Requesting Data...1563865332</v>
        <stp/>
        <stp>BDP|4824934430998686328</stp>
        <tr r="L50" s="8"/>
      </tp>
      <tp t="s">
        <v>#N/A Requesting Data...3090867083</v>
        <stp/>
        <stp>BDP|5261536519065365141</stp>
        <tr r="F63" s="8"/>
      </tp>
      <tp t="s">
        <v>#N/A Requesting Data...2192828400</v>
        <stp/>
        <stp>BDP|8146791585236236421</stp>
        <tr r="AH75" s="8"/>
      </tp>
      <tp t="s">
        <v>#N/A Requesting Data...4107420416</v>
        <stp/>
        <stp>BDP|6251699973867111542</stp>
        <tr r="AH94" s="8"/>
      </tp>
      <tp t="s">
        <v>#N/A Requesting Data...1580947788</v>
        <stp/>
        <stp>BDP|1524994082834452194</stp>
        <tr r="AH81" s="8"/>
      </tp>
      <tp t="s">
        <v>#N/A Requesting Data...1707152832</v>
        <stp/>
        <stp>BDP|6137896047336408981</stp>
        <tr r="D26" s="8"/>
        <tr r="O26" s="8"/>
      </tp>
      <tp t="s">
        <v>#N/A Requesting Data...2168519348</v>
        <stp/>
        <stp>BDP|9886709044998431784</stp>
        <tr r="W68" s="8"/>
      </tp>
      <tp t="s">
        <v>#N/A Requesting Data...1999730875</v>
        <stp/>
        <stp>BDP|2006139728086908227</stp>
        <tr r="D82" s="8"/>
      </tp>
      <tp t="s">
        <v>#N/A Requesting Data...4145766655</v>
        <stp/>
        <stp>BDP|3503565403484873795</stp>
        <tr r="AF66" s="8"/>
      </tp>
      <tp t="s">
        <v>#N/A Requesting Data...1965019359</v>
        <stp/>
        <stp>BDP|2624192347992912059</stp>
        <tr r="D30" s="8"/>
        <tr r="O30" s="8"/>
      </tp>
      <tp t="s">
        <v>#N/A Requesting Data...3784411089</v>
        <stp/>
        <stp>BDP|1516204927422274643</stp>
        <tr r="L88" s="8"/>
      </tp>
      <tp t="s">
        <v>#N/A Requesting Data...3392308620</v>
        <stp/>
        <stp>BDP|3804915228669134446</stp>
        <tr r="D142" s="8"/>
      </tp>
      <tp>
        <v>-3.61</v>
        <stp/>
        <stp>BDP|606865233685066974|22</stp>
        <stp>HWTCOG8 Comdty</stp>
        <stp>PX_SETTLE_ACTUAL_RT</stp>
        <tr r="AB19" s="8"/>
      </tp>
      <tp>
        <v>69.59</v>
        <stp/>
        <stp>BDP|3915251305301936818|22</stp>
        <stp>CO46 Comdty</stp>
        <stp>PX_SETTLE_ACTUAL_RT</stp>
        <tr r="V50" s="8"/>
      </tp>
      <tp t="s">
        <v>#N/A Requesting Data...2345743966</v>
        <stp/>
        <stp>BDP|2053736979770480444</stp>
        <tr r="AB91" s="8"/>
      </tp>
      <tp t="s">
        <v>#N/A Requesting Data...4116525007</v>
        <stp/>
        <stp>BDP|3791595503597475734</stp>
        <tr r="D64" s="8"/>
      </tp>
      <tp t="s">
        <v>#N/A Requesting Data...2491091575</v>
        <stp/>
        <stp>BDP|4643193422382300360</stp>
        <tr r="D99" s="8"/>
      </tp>
      <tp t="s">
        <v>#N/A Requesting Data...1288296235</v>
        <stp/>
        <stp>BDP|5496032297159988315</stp>
        <tr r="L23" s="8"/>
      </tp>
      <tp t="s">
        <v>#N/A Requesting Data...3954649853</v>
        <stp/>
        <stp>BDP|4941182129128128907</stp>
        <tr r="P81" s="8"/>
      </tp>
      <tp t="s">
        <v>#N/A Requesting Data...1445139461</v>
        <stp/>
        <stp>BDP|6960253061207255367</stp>
        <tr r="J46" s="8"/>
        <tr r="T46" s="8"/>
      </tp>
      <tp t="s">
        <v>#N/A Requesting Data...3140951020</v>
        <stp/>
        <stp>BDP|8327030783591967748</stp>
        <tr r="AM86" s="8"/>
      </tp>
      <tp t="s">
        <v>#N/A Requesting Data...2255045854</v>
        <stp/>
        <stp>BDP|8519525586183685086</stp>
        <tr r="AB63" s="8"/>
      </tp>
      <tp t="s">
        <v>#N/A Requesting Data...1535552397</v>
        <stp/>
        <stp>BDP|4489926348317599849</stp>
        <tr r="D22" s="8"/>
        <tr r="O22" s="8"/>
      </tp>
      <tp t="s">
        <v>#N/A Requesting Data...1593148278</v>
        <stp/>
        <stp>BDP|7763343120855588592</stp>
        <tr r="AM100" s="8"/>
      </tp>
      <tp t="s">
        <v>#N/A Requesting Data...2090076536</v>
        <stp/>
        <stp>BDP|9798943459484457720</stp>
        <tr r="J16" s="8"/>
        <tr r="T16" s="8"/>
      </tp>
      <tp t="s">
        <v>#N/A Requesting Data...3673404782</v>
        <stp/>
        <stp>BDP|1073096749244527788</stp>
        <tr r="F48" s="8"/>
      </tp>
      <tp t="s">
        <v>#N/A Requesting Data...2112800868</v>
        <stp/>
        <stp>BDP|5150758402270386481</stp>
        <tr r="L48" s="8"/>
      </tp>
      <tp t="s">
        <v>#N/A Requesting Data...2309497490</v>
        <stp/>
        <stp>BDP|2920645136482859312</stp>
        <tr r="L14" s="8"/>
      </tp>
      <tp t="s">
        <v>#N/A Requesting Data...3057473868</v>
        <stp/>
        <stp>BDP|5031782821164219281</stp>
        <tr r="J99" s="8"/>
      </tp>
      <tp t="s">
        <v>#N/A Requesting Data...3124261867</v>
        <stp/>
        <stp>BDP|6812233128159154912</stp>
        <tr r="J23" s="8"/>
        <tr r="T23" s="8"/>
      </tp>
      <tp t="s">
        <v>#N/A Requesting Data...2749440747</v>
        <stp/>
        <stp>BDP|2120833821176248810</stp>
        <tr r="AM81" s="8"/>
      </tp>
      <tp t="s">
        <v>#N/A Requesting Data...2458966922</v>
        <stp/>
        <stp>BDP|3006750234296796711</stp>
        <tr r="F30" s="8"/>
      </tp>
      <tp t="s">
        <v>#N/A Requesting Data...3012966840</v>
        <stp/>
        <stp>BDP|3978446488331789872</stp>
        <tr r="J32" s="8"/>
        <tr r="T32" s="8"/>
      </tp>
      <tp t="s">
        <v>#N/A Requesting Data...1710675090</v>
        <stp/>
        <stp>BDP|3281442842384292137</stp>
        <tr r="P98" s="8"/>
      </tp>
      <tp>
        <v>74.319999999999993</v>
        <stp/>
        <stp>BDP|2234201232778852841|22</stp>
        <stp>CO27 Comdty</stp>
        <stp>PX_SETTLE_ACTUAL_RT</stp>
        <tr r="V31" s="8"/>
      </tp>
      <tp>
        <v>5.84</v>
        <stp/>
        <stp>BDP|10294229591205998638|22</stp>
        <stp>FVMZM0 Index</stp>
        <stp>LAST_PRICE</stp>
        <tr r="AC63" s="8"/>
      </tp>
      <tp>
        <v>80.319999999999993</v>
        <stp/>
        <stp>BDP|13327607250840968612|22</stp>
        <stp>FSCLM7 Index</stp>
        <stp>LAST_PRICE</stp>
        <tr r="E70" s="8"/>
      </tp>
      <tp>
        <v>-3.98</v>
        <stp/>
        <stp>BDP|11594794462567583725|22</stp>
        <stp>HWTCOX7 Comdty</stp>
        <stp>LAST_PRICE</stp>
        <tr r="AA16" s="8"/>
      </tp>
      <tp t="s">
        <v>#N/A Requesting Data...3607735175</v>
        <stp/>
        <stp>BDP|5639005117143943004</stp>
        <tr r="AH76" s="8"/>
      </tp>
      <tp t="s">
        <v>#N/A Requesting Data...3591129378</v>
        <stp/>
        <stp>BDP|6013319578393715673</stp>
        <tr r="AB75" s="8"/>
      </tp>
      <tp t="s">
        <v>#N/A Requesting Data...2307948984</v>
        <stp/>
        <stp>BDP|2546259830113162782</stp>
        <tr r="W72" s="8"/>
      </tp>
      <tp t="s">
        <v>#N/A Requesting Data...2571726129</v>
        <stp/>
        <stp>BDP|4747381583978642034</stp>
        <tr r="D143" s="8"/>
      </tp>
      <tp t="s">
        <v>#N/A Requesting Data...1515433077</v>
        <stp/>
        <stp>BDP|2017000088999107478</stp>
        <tr r="AB86" s="8"/>
      </tp>
      <tp t="s">
        <v>#N/A Requesting Data...2535983176</v>
        <stp/>
        <stp>BDP|4251985183993109172</stp>
        <tr r="L43" s="8"/>
      </tp>
      <tp t="s">
        <v>#N/A Requesting Data...1463407210</v>
        <stp/>
        <stp>BDP|5611499634291491404</stp>
        <tr r="L79" s="8"/>
      </tp>
      <tp t="s">
        <v>#N/A Requesting Data...4106350890</v>
        <stp/>
        <stp>BDP|3340806511919637485</stp>
        <tr r="AM90" s="8"/>
      </tp>
      <tp t="s">
        <v>#N/A Requesting Data...3880501380</v>
        <stp/>
        <stp>BDP|3473547917898837837</stp>
        <tr r="D129" s="8"/>
      </tp>
      <tp t="s">
        <v>#N/A Requesting Data...2107656978</v>
        <stp/>
        <stp>BDP|2092430367562095583</stp>
        <tr r="AH78" s="8"/>
      </tp>
      <tp t="s">
        <v>#N/A Requesting Data...2496272218</v>
        <stp/>
        <stp>BDP|1160688217889264806</stp>
        <tr r="D37" s="8"/>
        <tr r="O37" s="8"/>
      </tp>
      <tp t="s">
        <v>#N/A Requesting Data...2219353327</v>
        <stp/>
        <stp>BDP|9374993791389405724</stp>
        <tr r="L41" s="8"/>
      </tp>
      <tp>
        <v>63.2</v>
        <stp/>
        <stp>BDP|10916443971289665708|22</stp>
        <stp>FSWTM47 Comdty</stp>
        <stp>LAST_PRICE</stp>
        <tr r="P51" s="8"/>
      </tp>
      <tp t="s">
        <v>#N/A Requesting Data...4032388952</v>
        <stp/>
        <stp>BDP|9223690486892846270</stp>
        <tr r="AO99" s="8"/>
      </tp>
      <tp t="s">
        <v>#N/A Requesting Data...3789727942</v>
        <stp/>
        <stp>BDP|7556253743507152105</stp>
        <tr r="AH98" s="8"/>
      </tp>
      <tp t="s">
        <v>#N/A Requesting Data...2962252910</v>
        <stp/>
        <stp>BDP|3614478613855336436</stp>
        <tr r="AB73" s="8"/>
      </tp>
      <tp t="s">
        <v>#N/A Requesting Data...2234969582</v>
        <stp/>
        <stp>BDP|3896410778896157123</stp>
        <tr r="J42" s="8"/>
        <tr r="T42" s="8"/>
      </tp>
      <tp t="s">
        <v>#N/A Requesting Data...1763011284</v>
        <stp/>
        <stp>BDP|1626355175376267444</stp>
        <tr r="D146" s="8"/>
      </tp>
      <tp t="s">
        <v>#N/A Requesting Data...3140162645</v>
        <stp/>
        <stp>BDP|7745670030316883392</stp>
        <tr r="AM75" s="8"/>
      </tp>
      <tp t="s">
        <v>#N/A Requesting Data...4269300760</v>
        <stp/>
        <stp>BDP|8124938574277845686</stp>
        <tr r="W81" s="8"/>
      </tp>
      <tp t="s">
        <v>#N/A Requesting Data...3831630771</v>
        <stp/>
        <stp>BDP|5954380447920330520</stp>
        <tr r="W92" s="8"/>
      </tp>
      <tp t="s">
        <v>#N/A Requesting Data...4126868274</v>
        <stp/>
        <stp>BDP|3295131313720075458</stp>
        <tr r="D86" s="8"/>
      </tp>
      <tp t="s">
        <v>#N/A Requesting Data...1241214206</v>
        <stp/>
        <stp>BDP|8375963133914415158</stp>
        <tr r="L98" s="8"/>
      </tp>
      <tp t="s">
        <v>#N/A Requesting Data...2343272155</v>
        <stp/>
        <stp>BDP|1658481930354889528</stp>
        <tr r="F93" s="8"/>
      </tp>
      <tp t="s">
        <v>#N/A Requesting Data...1962687757</v>
        <stp/>
        <stp>BDP|9703531051836837886</stp>
        <tr r="P86" s="8"/>
      </tp>
      <tp>
        <v>91.09</v>
        <stp/>
        <stp>BDP|559685363928326027|22</stp>
        <stp>FSWTM2 Comdty</stp>
        <stp>LAST_PRICE</stp>
        <tr r="P6" s="8"/>
      </tp>
      <tp>
        <v>70.78</v>
        <stp/>
        <stp>BDP|6987863251648593295|22</stp>
        <stp>CO40 Comdty</stp>
        <stp>PX_SETTLE_ACTUAL_RT</stp>
        <tr r="V44" s="8"/>
      </tp>
      <tp>
        <v>72.28</v>
        <stp/>
        <stp>BDP|7181480745841340285|22</stp>
        <stp>CO34 Comdty</stp>
        <stp>PX_SETTLE_ACTUAL_RT</stp>
        <tr r="V38" s="8"/>
      </tp>
      <tp>
        <v>88.3</v>
        <stp/>
        <stp>BDP|11158526893491191389|22</stp>
        <stp>FSCLM2 Index</stp>
        <stp>LAST_PRICE</stp>
        <tr r="E65" s="8"/>
      </tp>
      <tp>
        <v>81.430000000000007</v>
        <stp/>
        <stp>BDP|17831597711781976955|22</stp>
        <stp>FSCLM6 Index</stp>
        <stp>LAST_PRICE</stp>
        <tr r="E69" s="8"/>
      </tp>
      <tp>
        <v>0.64</v>
        <stp/>
        <stp>BDP|255236586196312944|22</stp>
        <stp>AFY32 Comdty</stp>
        <stp>YEST_LAST_TRADE</stp>
        <tr r="Y94" s="8"/>
      </tp>
      <tp t="s">
        <v>#N/A Real Time</v>
        <stp/>
        <stp>BDP|6124394739768490184|22</stp>
        <stp>FSCLQ Q221 Index</stp>
        <stp>LAST_PRICE</stp>
        <tr r="E58" s="8"/>
      </tp>
      <tp t="s">
        <v>#N/A Requesting Data...3816576795</v>
        <stp/>
        <stp>BDP|2829342891009477139</stp>
        <tr r="J53" s="8"/>
        <tr r="T53" s="8"/>
      </tp>
      <tp t="s">
        <v>#N/A Requesting Data...1874585393</v>
        <stp/>
        <stp>BDP|7449783532285112652</stp>
        <tr r="AF85" s="8"/>
      </tp>
      <tp t="s">
        <v>#N/A Requesting Data...1368742235</v>
        <stp/>
        <stp>BDP|7468188856677178439</stp>
        <tr r="D140" s="8"/>
      </tp>
      <tp t="s">
        <v>#N/A Requesting Data...2713612462</v>
        <stp/>
        <stp>BDP|9574982516001527073</stp>
        <tr r="F17" s="8"/>
      </tp>
      <tp t="s">
        <v>#N/A Requesting Data...2252420938</v>
        <stp/>
        <stp>BDP|5550707663480736482</stp>
        <tr r="F70" s="8"/>
      </tp>
      <tp t="s">
        <v>#N/A Requesting Data...4140358927</v>
        <stp/>
        <stp>BDP|4914746056520610638</stp>
        <tr r="J82" s="8"/>
      </tp>
      <tp t="s">
        <v>#N/A Requesting Data...4166694816</v>
        <stp/>
        <stp>BDP|9884937897471522853</stp>
        <tr r="L80" s="8"/>
      </tp>
      <tp t="s">
        <v>#N/A Requesting Data...1587827961</v>
        <stp/>
        <stp>BDP|4317085037470203720</stp>
        <tr r="L94" s="8"/>
      </tp>
      <tp t="s">
        <v>#N/A Requesting Data...2192508270</v>
        <stp/>
        <stp>BDP|1390218256810047691</stp>
        <tr r="AF88" s="8"/>
      </tp>
      <tp t="s">
        <v>#N/A Requesting Data...2001052229</v>
        <stp/>
        <stp>BDP|9286307767055443932</stp>
        <tr r="L35" s="8"/>
      </tp>
      <tp t="s">
        <v>#N/A Requesting Data...1424096756</v>
        <stp/>
        <stp>BDP|6794033060807209749</stp>
        <tr r="AO82" s="8"/>
      </tp>
      <tp t="s">
        <v>#N/A Requesting Data...2217203774</v>
        <stp/>
        <stp>BDP|4878476507822824237</stp>
        <tr r="D111" s="8"/>
      </tp>
      <tp t="s">
        <v>#N/A Requesting Data...4124412997</v>
        <stp/>
        <stp>BDP|5157064336144482255</stp>
        <tr r="AM72" s="8"/>
      </tp>
      <tp t="s">
        <v>#N/A Requesting Data...3339012007</v>
        <stp/>
        <stp>BDP|3844815088585285655</stp>
        <tr r="L21" s="8"/>
      </tp>
      <tp t="s">
        <v>#N/A Requesting Data...2974121665</v>
        <stp/>
        <stp>BDP|9889576484234553086</stp>
        <tr r="AH80" s="8"/>
      </tp>
      <tp t="s">
        <v>#N/A Requesting Data...2049470511</v>
        <stp/>
        <stp>BDP|5664438113974222438</stp>
        <tr r="W74" s="8"/>
      </tp>
      <tp t="s">
        <v>#N/A Requesting Data...1622958885</v>
        <stp/>
        <stp>BDP|7337483172454796098</stp>
        <tr r="AF77" s="8"/>
      </tp>
      <tp t="s">
        <v>#N/A Requesting Data...3547514752</v>
        <stp/>
        <stp>BDP|2495556274180097021</stp>
        <tr r="J41" s="8"/>
        <tr r="T41" s="8"/>
      </tp>
      <tp t="s">
        <v>#N/A Requesting Data...1966419479</v>
        <stp/>
        <stp>BDP|2460022862396036209</stp>
        <tr r="F5" s="8"/>
      </tp>
      <tp t="s">
        <v>#N/A Requesting Data...3678668550</v>
        <stp/>
        <stp>BDP|8598217782447015528</stp>
        <tr r="F46" s="8"/>
      </tp>
      <tp t="s">
        <v>#N/A Requesting Data...3315493883</v>
        <stp/>
        <stp>BDP|7716427296359660316</stp>
        <tr r="F7" s="8"/>
      </tp>
      <tp>
        <v>90.56</v>
        <stp/>
        <stp>BDP|11202782105886194172|22</stp>
        <stp>FSCLM1 Index</stp>
        <stp>LAST_PRICE</stp>
        <tr r="E64" s="8"/>
      </tp>
      <tp t="s">
        <v>#N/A Requesting Data...1331181653</v>
        <stp/>
        <stp>BDP|6990901912618673751</stp>
        <tr r="D101" s="8"/>
      </tp>
      <tp t="s">
        <v>#N/A Requesting Data...4214855125</v>
        <stp/>
        <stp>BDP|8476659025964552989</stp>
        <tr r="D39" s="8"/>
        <tr r="O39" s="8"/>
      </tp>
      <tp t="s">
        <v>#N/A Requesting Data...2571744074</v>
        <stp/>
        <stp>BDP|5531215002843640590</stp>
        <tr r="F89" s="8"/>
      </tp>
      <tp t="s">
        <v>#N/A Requesting Data...1887077649</v>
        <stp/>
        <stp>BDP|3281266847736233285</stp>
        <tr r="D43" s="8"/>
        <tr r="O43" s="8"/>
      </tp>
      <tp t="s">
        <v>#N/A Requesting Data...4235663977</v>
        <stp/>
        <stp>BDP|7068792333262785040</stp>
        <tr r="AF81" s="8"/>
      </tp>
      <tp t="s">
        <v>#N/A Requesting Data...1323592830</v>
        <stp/>
        <stp>BDP|4308601399002752833</stp>
        <tr r="AB79" s="8"/>
      </tp>
      <tp t="s">
        <v>#N/A Requesting Data...4277564572</v>
        <stp/>
        <stp>BDP|6409345134571273693</stp>
        <tr r="AO72" s="8"/>
      </tp>
      <tp t="s">
        <v>#N/A Requesting Data...4044583788</v>
        <stp/>
        <stp>BDP|9323526349340604910</stp>
        <tr r="J11" s="8"/>
        <tr r="T11" s="8"/>
      </tp>
      <tp t="s">
        <v>#N/A Requesting Data...3686240115</v>
        <stp/>
        <stp>BDP|1767458027900982609</stp>
        <tr r="J80" s="8"/>
      </tp>
      <tp t="s">
        <v>#N/A Requesting Data...1656317252</v>
        <stp/>
        <stp>BDP|6760993478460424909</stp>
        <tr r="D137" s="8"/>
      </tp>
      <tp t="s">
        <v>#N/A Requesting Data...1564057902</v>
        <stp/>
        <stp>BDP|2394066670574114067</stp>
        <tr r="F97" s="8"/>
      </tp>
      <tp t="s">
        <v>#N/A Requesting Data...1592230573</v>
        <stp/>
        <stp>BDP|4702920806595845991</stp>
        <tr r="AF82" s="8"/>
      </tp>
      <tp t="s">
        <v>#N/A Requesting Data...3506461046</v>
        <stp/>
        <stp>BDP|7728754104649579813</stp>
        <tr r="F25" s="8"/>
      </tp>
      <tp t="s">
        <v>#N/A Requesting Data...1976995500</v>
        <stp/>
        <stp>BDP|3594882780276992479</stp>
        <tr r="L37" s="8"/>
      </tp>
      <tp t="s">
        <v>#N/A Requesting Data...3100305278</v>
        <stp/>
        <stp>BDP|5301812641621167928</stp>
        <tr r="D72" s="8"/>
      </tp>
      <tp t="s">
        <v>#N/A Requesting Data...3151918849</v>
        <stp/>
        <stp>BDP|4069380378649547857</stp>
        <tr r="W85" s="8"/>
      </tp>
      <tp t="s">
        <v>#N/A Requesting Data...3903834213</v>
        <stp/>
        <stp>BDP|8075287091726197493</stp>
        <tr r="F34" s="8"/>
      </tp>
      <tp t="s">
        <v>#N/A Requesting Data...2386775318</v>
        <stp/>
        <stp>BDP|2642705868120883202</stp>
        <tr r="P80" s="8"/>
      </tp>
      <tp t="s">
        <v>#N/A Requesting Data...2384180496</v>
        <stp/>
        <stp>BDP|9786444806855045935</stp>
        <tr r="J31" s="8"/>
        <tr r="T31" s="8"/>
      </tp>
      <tp>
        <v>70.260000000000005</v>
        <stp/>
        <stp>BDP|7060559566525153518|22</stp>
        <stp>CO43 Comdty</stp>
        <stp>PX_SETTLE_ACTUAL_RT</stp>
        <tr r="V47" s="8"/>
      </tp>
      <tp>
        <v>77.8</v>
        <stp/>
        <stp>BDP|8076398026438511428|22</stp>
        <stp>CO19 Comdty</stp>
        <stp>PX_SETTLE_ACTUAL_RT</stp>
        <tr r="V23" s="8"/>
      </tp>
      <tp>
        <v>72.569999999999993</v>
        <stp/>
        <stp>BDP|9431119459224403597|22</stp>
        <stp>CO33 Comdty</stp>
        <stp>PX_SETTLE_ACTUAL_RT</stp>
        <tr r="V37" s="8"/>
      </tp>
      <tp>
        <v>88.01</v>
        <stp/>
        <stp>BDP|11137418917272117745|22</stp>
        <stp>FSCOM6 Index</stp>
        <stp>LAST_PRICE</stp>
        <tr r="K69" s="8"/>
      </tp>
      <tp t="s">
        <v>#N/A Requesting Data...3592739685</v>
        <stp/>
        <stp>BDP|8120585151432151839</stp>
        <tr r="J85" s="8"/>
      </tp>
      <tp t="s">
        <v>#N/A Requesting Data...2261483916</v>
        <stp/>
        <stp>BDP|9130338254609489482</stp>
        <tr r="AF75" s="8"/>
      </tp>
      <tp t="s">
        <v>#N/A Requesting Data...1699010819</v>
        <stp/>
        <stp>BDP|3817421425495581217</stp>
        <tr r="AO85" s="8"/>
      </tp>
      <tp t="s">
        <v>#N/A Requesting Data...1716783281</v>
        <stp/>
        <stp>BDP|7350096178067812517</stp>
        <tr r="D98" s="8"/>
      </tp>
      <tp>
        <v>66.98</v>
        <stp/>
        <stp>BDP|10212960718584562156|22</stp>
        <stp>FSWTM34 Comdty</stp>
        <stp>LAST_PRICE</stp>
        <tr r="P38" s="8"/>
      </tp>
      <tp t="s">
        <v>#N/A Requesting Data...4200347402</v>
        <stp/>
        <stp>BDP|7350514194980934974</stp>
        <tr r="AH69" s="8"/>
      </tp>
      <tp t="s">
        <v>#N/A Requesting Data...4178952929</v>
        <stp/>
        <stp>BDP|7616622527363907258</stp>
        <tr r="F96" s="8"/>
      </tp>
      <tp t="s">
        <v>#N/A Requesting Data...1393105450</v>
        <stp/>
        <stp>BDP|1301151778827184202</stp>
        <tr r="F90" s="8"/>
      </tp>
      <tp t="s">
        <v>#N/A Requesting Data...1973377689</v>
        <stp/>
        <stp>BDP|2949564014847284364</stp>
        <tr r="F69" s="8"/>
      </tp>
      <tp>
        <v>98.43</v>
        <stp/>
        <stp>BDP|12564647053526111366|22</stp>
        <stp>CO2 Comdty</stp>
        <stp>PX_SETTLE_ACTUAL_RT</stp>
        <tr r="V6" s="8"/>
      </tp>
      <tp t="s">
        <v>#N/A Requesting Data...2099802073</v>
        <stp/>
        <stp>BDP|8919333195154673455</stp>
        <tr r="D65" s="8"/>
      </tp>
      <tp t="s">
        <v>#N/A Requesting Data...2488775772</v>
        <stp/>
        <stp>BDP|3360087715842780248</stp>
        <tr r="J98" s="8"/>
      </tp>
      <tp t="s">
        <v>#N/A Requesting Data...3886912267</v>
        <stp/>
        <stp>BDP|4018137653892826056</stp>
        <tr r="AB83" s="8"/>
      </tp>
      <tp t="s">
        <v>#N/A Requesting Data...3130965162</v>
        <stp/>
        <stp>BDP|1534334148565675158</stp>
        <tr r="F22" s="8"/>
      </tp>
      <tp t="s">
        <v>#N/A Requesting Data...3998033174</v>
        <stp/>
        <stp>BDP|6380599327275829686</stp>
        <tr r="P93" s="8"/>
      </tp>
      <tp t="s">
        <v>#N/A Requesting Data...1459023633</v>
        <stp/>
        <stp>BDP|3042534815977255268</stp>
        <tr r="AH99" s="8"/>
      </tp>
      <tp t="s">
        <v>#N/A Requesting Data...2066344059</v>
        <stp/>
        <stp>BDP|6880058941600999066</stp>
        <tr r="D25" s="8"/>
        <tr r="O25" s="8"/>
      </tp>
      <tp t="s">
        <v>#N/A Requesting Data...2953176994</v>
        <stp/>
        <stp>BDP|9762427012938013642</stp>
        <tr r="F10" s="8"/>
      </tp>
      <tp t="s">
        <v>#N/A Requesting Data...3139985894</v>
        <stp/>
        <stp>BDP|8587942019495127791</stp>
        <tr r="D34" s="8"/>
        <tr r="O34" s="8"/>
      </tp>
      <tp t="s">
        <v>#N/A Requesting Data...4121514760</v>
        <stp/>
        <stp>BDP|4061576393722262862</stp>
        <tr r="AO98" s="8"/>
      </tp>
      <tp t="s">
        <v>#N/A Requesting Data...3329309646</v>
        <stp/>
        <stp>BDP|1344384775176976172</stp>
        <tr r="AB95" s="8"/>
      </tp>
      <tp t="s">
        <v>#N/A Requesting Data...3523475477</v>
        <stp/>
        <stp>BDP|5148181586466890867</stp>
        <tr r="F52" s="8"/>
      </tp>
      <tp t="s">
        <v>#N/A Requesting Data...4224844732</v>
        <stp/>
        <stp>BDP|1735563226833331759</stp>
        <tr r="J97" s="8"/>
      </tp>
      <tp t="s">
        <v>#N/A Requesting Data...4133162526</v>
        <stp/>
        <stp>BDP|4611347838210909656</stp>
        <tr r="J35" s="8"/>
        <tr r="T35" s="8"/>
      </tp>
      <tp t="s">
        <v>#N/A Requesting Data...2673053115</v>
        <stp/>
        <stp>BDP|1754028409977852427</stp>
        <tr r="L67" s="8"/>
      </tp>
      <tp t="s">
        <v>#N/A Requesting Data...4010509482</v>
        <stp/>
        <stp>BDP|6889233248014720638</stp>
        <tr r="F95" s="8"/>
      </tp>
      <tp t="s">
        <v>#N/A Requesting Data...2727063542</v>
        <stp/>
        <stp>BDP|8195956933923112315</stp>
        <tr r="AO96" s="8"/>
      </tp>
      <tp t="s">
        <v>#N/A Requesting Data...3627999595</v>
        <stp/>
        <stp>BDP|1654804505369102269</stp>
        <tr r="P66" s="8"/>
      </tp>
      <tp t="s">
        <v>#N/A Requesting Data...2666298481</v>
        <stp/>
        <stp>BDP|8247488164588267088</stp>
        <tr r="F85" s="8"/>
      </tp>
      <tp t="s">
        <v>#N/A Requesting Data...3028123773</v>
        <stp/>
        <stp>BDP|1178306531091486210</stp>
        <tr r="AF68" s="8"/>
      </tp>
      <tp t="s">
        <v>#N/A Requesting Data...2020164766</v>
        <stp/>
        <stp>BDP|4787378293545371950</stp>
        <tr r="J43" s="8"/>
        <tr r="T43" s="8"/>
      </tp>
      <tp t="s">
        <v>#N/A Requesting Data...3085665954</v>
        <stp/>
        <stp>BDP|7968993321918091647</stp>
        <tr r="L25" s="8"/>
      </tp>
      <tp t="s">
        <v>#N/A Requesting Data...2477568074</v>
        <stp/>
        <stp>BDP|5369123836881084422</stp>
        <tr r="F37" s="8"/>
      </tp>
      <tp>
        <v>5.32</v>
        <stp/>
        <stp>BDP|17871863824201774468|22</stp>
        <stp>FDBSM1 Index</stp>
        <stp>LAST_PRICE</stp>
        <tr r="Q64" s="8"/>
      </tp>
      <tp>
        <v>0.64</v>
        <stp/>
        <stp>BDP|669189114700937608|22</stp>
        <stp>AFY33 Comdty</stp>
        <stp>YEST_LAST_TRADE</stp>
        <tr r="Y95" s="8"/>
      </tp>
      <tp>
        <v>-6.5</v>
        <stp/>
        <stp>BDP|11254478466646903373|22</stp>
        <stp>HWTCOJ7 Comdty</stp>
        <stp>LAST_PRICE</stp>
        <tr r="AA9" s="8"/>
      </tp>
      <tp>
        <v>-6</v>
        <stp/>
        <stp>BDP|15976658997237079367|22</stp>
        <stp>HWTCOH7 Comdty</stp>
        <stp>LAST_PRICE</stp>
        <tr r="AA8" s="8"/>
      </tp>
      <tp t="s">
        <v>#N/A Requesting Data...4291380433</v>
        <stp/>
        <stp>BDP|7729392667576598761</stp>
        <tr r="AO86" s="8"/>
      </tp>
      <tp t="s">
        <v>#N/A Requesting Data...1854287751</v>
        <stp/>
        <stp>BDP|9000635620367009997</stp>
        <tr r="AF89" s="8"/>
      </tp>
      <tp t="s">
        <v>#N/A Requesting Data...4202376609</v>
        <stp/>
        <stp>BDP|9327222402831007998</stp>
        <tr r="AB94" s="8"/>
      </tp>
      <tp t="s">
        <v>#N/A Requesting Data...2445481808</v>
        <stp/>
        <stp>BDP|6445294905615526239</stp>
        <tr r="L5" s="8"/>
      </tp>
      <tp t="s">
        <v>#N/A Requesting Data...2757787427</v>
        <stp/>
        <stp>BDP|5709067335961336487</stp>
        <tr r="AO76" s="8"/>
      </tp>
      <tp t="s">
        <v>#N/A Requesting Data...1760235428</v>
        <stp/>
        <stp>BDP|2072137821930478290</stp>
        <tr r="W67" s="8"/>
      </tp>
      <tp t="s">
        <v>#N/A Requesting Data...3262063455</v>
        <stp/>
        <stp>BDP|8292533091891500693</stp>
        <tr r="AM84" s="8"/>
      </tp>
      <tp t="s">
        <v>#N/A Requesting Data...3549163575</v>
        <stp/>
        <stp>BDP|6987292721426908349</stp>
        <tr r="AM94" s="8"/>
      </tp>
      <tp t="s">
        <v>#N/A Requesting Data...3864547864</v>
        <stp/>
        <stp>BDP|2428618774433455384</stp>
        <tr r="W97" s="8"/>
      </tp>
      <tp t="s">
        <v>#N/A Requesting Data...2341762984</v>
        <stp/>
        <stp>BDP|4602353625784179242</stp>
        <tr r="AM78" s="8"/>
      </tp>
      <tp t="s">
        <v>#N/A Requesting Data...3539669472</v>
        <stp/>
        <stp>BDP|9067527372108464071</stp>
        <tr r="L90" s="8"/>
      </tp>
      <tp t="s">
        <v>#N/A Requesting Data...1655646955</v>
        <stp/>
        <stp>BDP|4477175659256854535</stp>
        <tr r="AH89" s="8"/>
      </tp>
      <tp t="s">
        <v>#N/A Requesting Data...2730817235</v>
        <stp/>
        <stp>BDP|6216545723282331009</stp>
        <tr r="AH77" s="8"/>
      </tp>
      <tp t="s">
        <v>#N/A Requesting Data...1616355252</v>
        <stp/>
        <stp>BDP|1429769158277830745</stp>
        <tr r="AO78" s="8"/>
      </tp>
      <tp t="s">
        <v>#N/A Requesting Data...3130726695</v>
        <stp/>
        <stp>BDP|1723730322671652660</stp>
        <tr r="AB92" s="8"/>
      </tp>
      <tp t="s">
        <v>#N/A Requesting Data...4077745245</v>
        <stp/>
        <stp>BDP|8633447336369322526</stp>
        <tr r="D35" s="8"/>
        <tr r="O35" s="8"/>
      </tp>
      <tp>
        <v>68.19</v>
        <stp/>
        <stp>BDP|645568685830074254|22</stp>
        <stp>FSCLM29 Index</stp>
        <stp>LAST_PRICE</stp>
        <tr r="E92" s="8"/>
      </tp>
      <tp>
        <v>13.87</v>
        <stp/>
        <stp>BDP|10896819434277509994|22</stp>
        <stp>FDBSM0 Index</stp>
        <stp>LAST_PRICE</stp>
        <tr r="Q63" s="8"/>
      </tp>
      <tp t="s">
        <v>#N/A Requesting Data...2703103920</v>
        <stp/>
        <stp>BDP|66474435057550920</stp>
        <tr r="AF90" s="8"/>
      </tp>
      <tp>
        <v>91.21</v>
        <stp/>
        <stp>BDP|942911314517896727|22</stp>
        <stp>FSCOM4 Index</stp>
        <stp>LAST_PRICE</stp>
        <tr r="K67" s="8"/>
      </tp>
      <tp>
        <v>0.54</v>
        <stp/>
        <stp>BDP|14272404364270865565|22</stp>
        <stp>FDBSM37 Index</stp>
        <stp>YEST_LAST_TRADE</stp>
        <tr r="R100" s="8"/>
      </tp>
      <tp>
        <v>-7.28</v>
        <stp/>
        <stp>BDP|11174821984474460051|22</stp>
        <stp>FVMZM36 Index</stp>
        <stp>YEST_LAST_TRADE</stp>
        <tr r="AD99" s="8"/>
      </tp>
      <tp t="s">
        <v>#N/A Requesting Data...2656121383</v>
        <stp/>
        <stp>BDP|93848177562688544</stp>
        <tr r="D46" s="8"/>
        <tr r="O46" s="8"/>
      </tp>
      <tp>
        <v>0.52700000000000002</v>
        <stp/>
        <stp>BDP|928710762746185213|22</stp>
        <stp>AFY4 Comdty</stp>
        <stp>LAST_PRICE</stp>
        <tr r="X66" s="8"/>
      </tp>
      <tp>
        <v>0.93</v>
        <stp/>
        <stp>BDP|17842568883931464865|22</stp>
        <stp>FDBSM13 Index</stp>
        <stp>YEST_LAST_TRADE</stp>
        <tr r="R76" s="8"/>
      </tp>
      <tp>
        <v>-13.64</v>
        <stp/>
        <stp>BDP|13452113813970199575|22</stp>
        <stp>FVMZM12 Index</stp>
        <stp>YEST_LAST_TRADE</stp>
        <tr r="AD75" s="8"/>
      </tp>
      <tp>
        <v>-9.64</v>
        <stp/>
        <stp>BDP|11754211873046531702|22</stp>
        <stp>FVMZM25 Index</stp>
        <stp>YEST_LAST_TRADE</stp>
        <tr r="AD88" s="8"/>
      </tp>
      <tp>
        <v>-8.65</v>
        <stp/>
        <stp>BDP|10176039436630971988|22</stp>
        <stp>FVMZM30 Index</stp>
        <stp>YEST_LAST_TRADE</stp>
        <tr r="AD93" s="8"/>
      </tp>
      <tp t="s">
        <v>#N/A Requesting Data...1678706494</v>
        <stp/>
        <stp>BDP|94119606009601553</stp>
        <tr r="AM87" s="8"/>
      </tp>
      <tp>
        <v>-9.17</v>
        <stp/>
        <stp>BDP|10581249963987592244|22</stp>
        <stp>FVMZM27 Index</stp>
        <stp>YEST_LAST_TRADE</stp>
        <tr r="AD90" s="8"/>
      </tp>
      <tp>
        <v>1.97</v>
        <stp/>
        <stp>BDP|362395771910555189|22</stp>
        <stp>FVMZM1 Index</stp>
        <stp>LAST_PRICE</stp>
        <tr r="AC64" s="8"/>
      </tp>
      <tp t="s">
        <v>#N/A Invalid Security</v>
        <stp/>
        <stp>BDP|404335596895214261|22</stp>
        <stp>DTD25 Comdty</stp>
        <stp>YEST_LAST_TRADE</stp>
        <tr r="F133" s="8"/>
      </tp>
      <tp>
        <v>0.53</v>
        <stp/>
        <stp>BDP|10211539044704942769|22</stp>
        <stp>FDBSM32 Index</stp>
        <stp>YEST_LAST_TRADE</stp>
        <tr r="R95" s="8"/>
      </tp>
      <tp t="s">
        <v>#N/A Requesting Data...1816306980</v>
        <stp/>
        <stp>BDP|36016292302405529</stp>
        <tr r="L42" s="8"/>
      </tp>
      <tp>
        <v>66.47</v>
        <stp/>
        <stp>BDP|237555528757732398|22</stp>
        <stp>CL36 Comdty</stp>
        <stp>LAST_PRICE</stp>
        <tr r="E40" s="8"/>
      </tp>
      <tp>
        <v>0.53</v>
        <stp/>
        <stp>BDP|16091220976352126269|22</stp>
        <stp>FDBSM35 Index</stp>
        <stp>YEST_LAST_TRADE</stp>
        <tr r="R98" s="8"/>
      </tp>
      <tp>
        <v>-12.48</v>
        <stp/>
        <stp>BDP|16036131616233862115|22</stp>
        <stp>FVMZM15 Index</stp>
        <stp>YEST_LAST_TRADE</stp>
        <tr r="AD78" s="8"/>
      </tp>
      <tp>
        <v>86.57</v>
        <stp/>
        <stp>BDP|740460223496005530|22</stp>
        <stp>FSCOM7 Index</stp>
        <stp>LAST_PRICE</stp>
        <tr r="K70" s="8"/>
      </tp>
      <tp>
        <v>0.68</v>
        <stp/>
        <stp>BDP|17951523981735123673|22</stp>
        <stp>FDBSM18 Index</stp>
        <stp>YEST_LAST_TRADE</stp>
        <tr r="R81" s="8"/>
      </tp>
      <tp>
        <v>0.44</v>
        <stp/>
        <stp>BDP|86126013495721346|22</stp>
        <stp>AFY28 Comdty</stp>
        <stp>LAST_PRICE</stp>
        <tr r="X90" s="8"/>
      </tp>
      <tp>
        <v>0.54</v>
        <stp/>
        <stp>BDP|11986789460545444770|22</stp>
        <stp>FDBSM27 Index</stp>
        <stp>YEST_LAST_TRADE</stp>
        <tr r="R90" s="8"/>
      </tp>
      <tp>
        <v>0.53</v>
        <stp/>
        <stp>BDP|17094522734978283043|22</stp>
        <stp>FDBSM25 Index</stp>
        <stp>YEST_LAST_TRADE</stp>
        <tr r="R88" s="8"/>
      </tp>
      <tp>
        <v>0.53</v>
        <stp/>
        <stp>BDP|16749469895501069205|22</stp>
        <stp>FDBSM31 Index</stp>
        <stp>YEST_LAST_TRADE</stp>
        <tr r="R94" s="8"/>
      </tp>
      <tp>
        <v>0.53</v>
        <stp/>
        <stp>BDP|13391907928117739403|22</stp>
        <stp>FDBSM29 Index</stp>
        <stp>YEST_LAST_TRADE</stp>
        <tr r="R92" s="8"/>
      </tp>
      <tp>
        <v>-14.08</v>
        <stp/>
        <stp>BDP|15501478037489019795|22</stp>
        <stp>FVMZM11 Index</stp>
        <stp>YEST_LAST_TRADE</stp>
        <tr r="AD74" s="8"/>
      </tp>
      <tp>
        <v>0.64</v>
        <stp/>
        <stp>BDP|12117284850970526771|22</stp>
        <stp>FDBSM19 Index</stp>
        <stp>YEST_LAST_TRADE</stp>
        <tr r="R82" s="8"/>
      </tp>
      <tp t="s">
        <v>#N/A Requesting Data...2818552648</v>
        <stp/>
        <stp>BDP|87062123336401176</stp>
        <tr r="L85" s="8"/>
      </tp>
      <tp>
        <v>0.53</v>
        <stp/>
        <stp>BDP|13440460312723135522|22</stp>
        <stp>FDBSM30 Index</stp>
        <stp>YEST_LAST_TRADE</stp>
        <tr r="R93" s="8"/>
      </tp>
      <tp>
        <v>-11.34</v>
        <stp/>
        <stp>BDP|11517894319323224129|22</stp>
        <stp>FVMZM19 Index</stp>
        <stp>YEST_LAST_TRADE</stp>
        <tr r="AD82" s="8"/>
      </tp>
      <tp>
        <v>0.55000000000000004</v>
        <stp/>
        <stp>BDP|11831923426265987075|22</stp>
        <stp>FDBSM21 Index</stp>
        <stp>YEST_LAST_TRADE</stp>
        <tr r="R84" s="8"/>
      </tp>
      <tp t="s">
        <v>#N/A Requesting Data...1581174359</v>
        <stp/>
        <stp>BDP|78243115962108557</stp>
        <tr r="AH93" s="8"/>
      </tp>
      <tp t="s">
        <v>#N/A Invalid Security</v>
        <stp/>
        <stp>BDP|882386421843233778|22</stp>
        <stp>DTD29 Comdty</stp>
        <stp>YEST_LAST_TRADE</stp>
        <tr r="F137" s="8"/>
      </tp>
      <tp>
        <v>67.16</v>
        <stp/>
        <stp>BDP|223265731817666528|22</stp>
        <stp>FSWTM33 Comdty</stp>
        <stp>PX_SETTLE_ACTUAL_RT</stp>
        <tr r="Q37" s="8"/>
      </tp>
      <tp>
        <v>0.53</v>
        <stp/>
        <stp>BDP|13907390973374301237|22</stp>
        <stp>FDBSM33 Index</stp>
        <stp>YEST_LAST_TRADE</stp>
        <tr r="R96" s="8"/>
      </tp>
      <tp>
        <v>-9.4</v>
        <stp/>
        <stp>BDP|16939209550727552855|22</stp>
        <stp>FVMZM26 Index</stp>
        <stp>YEST_LAST_TRADE</stp>
        <tr r="AD89" s="8"/>
      </tp>
      <tp>
        <v>0.72</v>
        <stp/>
        <stp>BDP|13192173591370264220|22</stp>
        <stp>FDBSM17 Index</stp>
        <stp>YEST_LAST_TRADE</stp>
        <tr r="R80" s="8"/>
      </tp>
      <tp t="s">
        <v>#N/A Real Time</v>
        <stp/>
        <stp>BDP|570930470563361932|22</stp>
        <stp>DTD18 Comdty</stp>
        <stp>YEST_LAST_TRADE</stp>
        <tr r="F126" s="8"/>
      </tp>
      <tp>
        <v>-8.48</v>
        <stp/>
        <stp>BDP|18077782034562782444|22</stp>
        <stp>FVMZM31 Index</stp>
        <stp>YEST_LAST_TRADE</stp>
        <tr r="AD94" s="8"/>
      </tp>
      <tp>
        <v>0.53</v>
        <stp/>
        <stp>BDP|16167240542629087623|22</stp>
        <stp>FDBSM24 Index</stp>
        <stp>YEST_LAST_TRADE</stp>
        <tr r="R87" s="8"/>
      </tp>
      <tp>
        <v>69.819999999999993</v>
        <stp/>
        <stp>BDP|15076868936101062278|22</stp>
        <stp>CO45 Comdty</stp>
        <stp>PX_SETTLE_ACTUAL_RT</stp>
        <tr r="V49" s="8"/>
      </tp>
      <tp>
        <v>-9.36</v>
        <stp/>
        <stp>BDP|1429793708986281783|22</stp>
        <stp>FVMZM7 Index</stp>
        <stp>LAST_PRICE</stp>
        <tr r="AC70" s="8"/>
      </tp>
      <tp>
        <v>3.95</v>
        <stp/>
        <stp>BDP|1273516736642607542|22</stp>
        <stp>FDBSM2 Index</stp>
        <stp>LAST_PRICE</stp>
        <tr r="Q65" s="8"/>
      </tp>
      <tp t="s">
        <v>#N/A Requesting Data...1918915639</v>
        <stp/>
        <stp>BDP|416691416196617407</stp>
        <tr r="J91" s="8"/>
      </tp>
      <tp t="s">
        <v>#N/A Requesting Data...4232415750</v>
        <stp/>
        <stp>BDP|299470401021678075</stp>
        <tr r="F100" s="8"/>
      </tp>
      <tp>
        <v>0.64</v>
        <stp/>
        <stp>BDP|8810747497558640124|22</stp>
        <stp>AFY24 Comdty</stp>
        <stp>YEST_LAST_TRADE</stp>
        <tr r="Y86" s="8"/>
      </tp>
      <tp>
        <v>75.17</v>
        <stp/>
        <stp>BDP|8217502594453229296|22</stp>
        <stp>FSCLM13 Index</stp>
        <stp>LAST_PRICE</stp>
        <tr r="E76" s="8"/>
      </tp>
      <tp>
        <v>71.489999999999995</v>
        <stp/>
        <stp>BDP|9270170734465831825|22</stp>
        <stp>FSCLM20 Index</stp>
        <stp>LAST_PRICE</stp>
        <tr r="E83" s="8"/>
      </tp>
      <tp>
        <v>71.989999999999995</v>
        <stp/>
        <stp>BDP|1961080442207494743|22</stp>
        <stp>FSCLM19 Index</stp>
        <stp>LAST_PRICE</stp>
        <tr r="E82" s="8"/>
      </tp>
      <tp>
        <v>-3.71</v>
        <stp/>
        <stp>BDP|7046365849192565253|22</stp>
        <stp>FVMZM19 Index</stp>
        <stp>LAST_PRICE</stp>
        <tr r="AC82" s="8"/>
      </tp>
      <tp>
        <v>72.27</v>
        <stp/>
        <stp>BDP|4058083597493894945|22</stp>
        <stp>FSCOM33 Index</stp>
        <stp>LAST_PRICE</stp>
        <tr r="K96" s="8"/>
      </tp>
      <tp>
        <v>91.08</v>
        <stp/>
        <stp>BDP|3922848078789180246|22</stp>
        <stp>CL2 Comdty</stp>
        <stp>LAST_PRICE</stp>
        <tr r="AA4" s="2"/>
        <tr r="E6" s="8"/>
      </tp>
      <tp t="s">
        <v>#N/A Requesting Data...4119256968</v>
        <stp/>
        <stp>BDP|395600637022217331</stp>
        <tr r="W83" s="8"/>
      </tp>
      <tp t="s">
        <v>#N/A Requesting Data...2587328526</v>
        <stp/>
        <stp>BDP|997188520830741707</stp>
        <tr r="F31" s="8"/>
      </tp>
      <tp>
        <v>0.64</v>
        <stp/>
        <stp>BDP|5742768183402406679|22</stp>
        <stp>AFY31 Comdty</stp>
        <stp>YEST_LAST_TRADE</stp>
        <tr r="Y93" s="8"/>
      </tp>
      <tp>
        <v>73.89</v>
        <stp/>
        <stp>BDP|2845094312672376597|22</stp>
        <stp>FSCLM15 Index</stp>
        <stp>LAST_PRICE</stp>
        <tr r="E78" s="8"/>
      </tp>
      <tp>
        <v>75.02</v>
        <stp/>
        <stp>BDP|6501604125210161516|22</stp>
        <stp>FSCOM24 Index</stp>
        <stp>LAST_PRICE</stp>
        <tr r="K87" s="8"/>
      </tp>
      <tp>
        <v>80.72</v>
        <stp/>
        <stp>BDP|4395908943104500951|22</stp>
        <stp>FSCOM13 Index</stp>
        <stp>LAST_PRICE</stp>
        <tr r="K76" s="8"/>
      </tp>
      <tp>
        <v>81.91</v>
        <stp/>
        <stp>BDP|6514214354566775032|22</stp>
        <stp>CL7 Comdty</stp>
        <stp>LAST_PRICE</stp>
        <tr r="E11" s="8"/>
      </tp>
      <tp>
        <v>79.510000000000005</v>
        <stp/>
        <stp>BDP|6767678038535776556|22</stp>
        <stp>CL9 Comdty</stp>
        <stp>LAST_PRICE</stp>
        <tr r="E13" s="8"/>
      </tp>
      <tp>
        <v>-8.56</v>
        <stp/>
        <stp>BDP|5271519121260633589|22</stp>
        <stp>FVMZM8 Index</stp>
        <stp>LAST_PRICE</stp>
        <tr r="AC71" s="8"/>
      </tp>
      <tp>
        <v>-10.35</v>
        <stp/>
        <stp>BDP|6528690865553060416|22</stp>
        <stp>FVMZM6 Index</stp>
        <stp>LAST_PRICE</stp>
        <tr r="AC69" s="8"/>
      </tp>
      <tp t="s">
        <v>#N/A Requesting Data...2288708523</v>
        <stp/>
        <stp>BDP|512108619005428257</stp>
        <tr r="D13" s="8"/>
        <tr r="O13" s="8"/>
      </tp>
      <tp t="s">
        <v>#N/A Requesting Data...3519444905</v>
        <stp/>
        <stp>BDP|385427412324291686</stp>
        <tr r="P77" s="8"/>
      </tp>
      <tp t="s">
        <v>#N/A Requesting Data...1854841353</v>
        <stp/>
        <stp>BDP|927878499546967057</stp>
        <tr r="D12" s="8"/>
        <tr r="O12" s="8"/>
      </tp>
      <tp t="s">
        <v>#N/A Requesting Data...3896869186</v>
        <stp/>
        <stp>BDP|182739674366699157</stp>
        <tr r="AO71" s="8"/>
      </tp>
      <tp t="s">
        <v>#N/A Requesting Data...3683612573</v>
        <stp/>
        <stp>BDP|412816080263455423</stp>
        <tr r="AO70" s="8"/>
      </tp>
      <tp>
        <v>77.86</v>
        <stp/>
        <stp>BDP|6827014325513629587|22</stp>
        <stp>FSWTM9 Comdty</stp>
        <stp>PX_SETTLE_ACTUAL_RT</stp>
        <tr r="Q13" s="8"/>
      </tp>
      <tp>
        <v>-2.21</v>
        <stp/>
        <stp>BDP|5999980218095902944|22</stp>
        <stp>FVMZM24 Index</stp>
        <stp>LAST_PRICE</stp>
        <tr r="AC87" s="8"/>
      </tp>
      <tp>
        <v>65.97</v>
        <stp/>
        <stp>BDP|2510611787859924063|22</stp>
        <stp>FSCLM36 Index</stp>
        <stp>LAST_PRICE</stp>
        <tr r="E99" s="8"/>
      </tp>
      <tp>
        <v>2.06</v>
        <stp/>
        <stp>BDP|1172348178141723587|22</stp>
        <stp>FVMZM3 Index</stp>
        <stp>LAST_PRICE</stp>
        <tr r="AC66" s="8"/>
      </tp>
      <tp>
        <v>2.25</v>
        <stp/>
        <stp>BDP|2169751646598902137|22</stp>
        <stp>FDBSM6 Index</stp>
        <stp>LAST_PRICE</stp>
        <tr r="Q69" s="8"/>
      </tp>
      <tp>
        <v>0.64</v>
        <stp/>
        <stp>BDP|8464768650920080647|22</stp>
        <stp>AFY37 Comdty</stp>
        <stp>YEST_LAST_TRADE</stp>
        <tr r="Y99" s="8"/>
      </tp>
      <tp>
        <v>0.64</v>
        <stp/>
        <stp>BDP|9220674240941946622|22</stp>
        <stp>AFY23 Comdty</stp>
        <stp>YEST_LAST_TRADE</stp>
        <tr r="Y85" s="8"/>
      </tp>
      <tp>
        <v>-4.72</v>
        <stp/>
        <stp>BDP|5560019454014469775|22</stp>
        <stp>FVMZM16 Index</stp>
        <stp>LAST_PRICE</stp>
        <tr r="AC79" s="8"/>
      </tp>
      <tp>
        <v>70.430000000000007</v>
        <stp/>
        <stp>BDP|10277507652480050782|22</stp>
        <stp>CO42 Comdty</stp>
        <stp>PX_SETTLE_ACTUAL_RT</stp>
        <tr r="V46" s="8"/>
      </tp>
      <tp>
        <v>1.75</v>
        <stp/>
        <stp>BDP|2022751864687121376|22</stp>
        <stp>FDBSM9 Index</stp>
        <stp>LAST_PRICE</stp>
        <tr r="Q72" s="8"/>
      </tp>
      <tp>
        <v>3.48</v>
        <stp/>
        <stp>BDP|9687257041427288313|22</stp>
        <stp>FVMZM0 Index</stp>
        <stp>YEST_LAST_TRADE</stp>
        <tr r="AD63" s="8"/>
      </tp>
      <tp t="s">
        <v>#N/A Requesting Data...2710148947</v>
        <stp/>
        <stp>BDP|366008011424747485</stp>
        <tr r="F28" s="8"/>
      </tp>
      <tp>
        <v>72.84</v>
        <stp/>
        <stp>BDP|1665636969295189756|22</stp>
        <stp>FSCOM31 Index</stp>
        <stp>LAST_PRICE</stp>
        <tr r="K94" s="8"/>
      </tp>
      <tp>
        <v>72.849999999999994</v>
        <stp/>
        <stp>BDP|16728753573038136559|22</stp>
        <stp>CO32 Comdty</stp>
        <stp>PX_SETTLE_ACTUAL_RT</stp>
        <tr r="V36" s="8"/>
      </tp>
      <tp>
        <v>78.19</v>
        <stp/>
        <stp>BDP|9037750900656669906|22</stp>
        <stp>FSCLM9 Index</stp>
        <stp>LAST_PRICE</stp>
        <tr r="E72" s="8"/>
      </tp>
      <tp>
        <v>84.25</v>
        <stp/>
        <stp>BDP|2806273456733493386|22</stp>
        <stp>FSCOM9 Index</stp>
        <stp>LAST_PRICE</stp>
        <tr r="K72" s="8"/>
      </tp>
      <tp t="s">
        <v>#N/A Requesting Data...3665875992</v>
        <stp/>
        <stp>BDP|448064502915444530</stp>
        <tr r="J49" s="8"/>
        <tr r="T49" s="8"/>
      </tp>
      <tp>
        <v>0.64</v>
        <stp/>
        <stp>BDP|4536034595892923543|22</stp>
        <stp>AFY26 Comdty</stp>
        <stp>YEST_LAST_TRADE</stp>
        <tr r="Y88" s="8"/>
      </tp>
      <tp>
        <v>70.67</v>
        <stp/>
        <stp>BDP|8056096951789073716|22</stp>
        <stp>FSCLM22 Index</stp>
        <stp>LAST_PRICE</stp>
        <tr r="E85" s="8"/>
      </tp>
      <tp>
        <v>-2.8</v>
        <stp/>
        <stp>BDP|5399405777878379818|22</stp>
        <stp>FVMZM22 Index</stp>
        <stp>LAST_PRICE</stp>
        <tr r="AC85" s="8"/>
      </tp>
      <tp>
        <v>84.93</v>
        <stp/>
        <stp>BDP|6151023530259054814|22</stp>
        <stp>CL5 Comdty</stp>
        <stp>LAST_PRICE</stp>
        <tr r="E9" s="8"/>
        <tr r="AA7" s="2"/>
      </tp>
      <tp>
        <v>81.599999999999994</v>
        <stp/>
        <stp>BDP|16597716824136017737|22</stp>
        <stp>CO13 Comdty</stp>
        <stp>PX_SETTLE_ACTUAL_RT</stp>
        <tr r="V17" s="8"/>
      </tp>
      <tp>
        <v>73.17</v>
        <stp/>
        <stp>BDP|17252807863412000340|22</stp>
        <stp>CO31 Comdty</stp>
        <stp>PX_SETTLE_ACTUAL_RT</stp>
        <tr r="V35" s="8"/>
      </tp>
      <tp>
        <v>86.13</v>
        <stp/>
        <stp>BDP|5796890670009381895|22</stp>
        <stp>FSCLM3 Index</stp>
        <stp>LAST_PRICE</stp>
        <tr r="E66" s="8"/>
      </tp>
      <tp>
        <v>92.39</v>
        <stp/>
        <stp>BDP|1286831124073641686|22</stp>
        <stp>FSCLM0 Index</stp>
        <stp>LAST_PRICE</stp>
        <tr r="E63" s="8"/>
      </tp>
      <tp>
        <v>3.16</v>
        <stp/>
        <stp>BDP|4805239078213595898|22</stp>
        <stp>FDBSM3 Index</stp>
        <stp>LAST_PRICE</stp>
        <tr r="Q66" s="8"/>
      </tp>
      <tp>
        <v>1.89</v>
        <stp/>
        <stp>BDP|5557919344267383050|22</stp>
        <stp>FDBSM8 Index</stp>
        <stp>LAST_PRICE</stp>
        <tr r="Q71" s="8"/>
      </tp>
      <tp t="s">
        <v>#N/A Requesting Data...2779647265</v>
        <stp/>
        <stp>BDP|174649507596830362</stp>
        <tr r="W84" s="8"/>
      </tp>
      <tp t="s">
        <v>#N/A Requesting Data...3594536692</v>
        <stp/>
        <stp>BDP|235078210934598683</stp>
        <tr r="W86" s="8"/>
      </tp>
      <tp t="s">
        <v>#N/A Requesting Data...2600346341</v>
        <stp/>
        <stp>BDP|296692663921526242</stp>
        <tr r="F19" s="8"/>
      </tp>
      <tp t="s">
        <v>#N/A Requesting Data...2514056830</v>
        <stp/>
        <stp>BDP|344644503605482002</stp>
        <tr r="L95" s="8"/>
      </tp>
      <tp t="s">
        <v>#N/A Requesting Data...1993621678</v>
        <stp/>
        <stp>BDP|605227760024002343</stp>
        <tr r="J68" s="8"/>
      </tp>
      <tp>
        <v>0.64</v>
        <stp/>
        <stp>BDP|1806157429438166346|22</stp>
        <stp>AFY22 Comdty</stp>
        <stp>YEST_LAST_TRADE</stp>
        <tr r="Y84" s="8"/>
      </tp>
      <tp>
        <v>65.19</v>
        <stp/>
        <stp>BDP|966657859335012409|22</stp>
        <stp>FSWTM40 Comdty</stp>
        <stp>LAST_PRICE</stp>
        <tr r="P44" s="8"/>
      </tp>
      <tp>
        <v>73.430000000000007</v>
        <stp/>
        <stp>BDP|9807545822519968701|22</stp>
        <stp>FSCOM29 Index</stp>
        <stp>LAST_PRICE</stp>
        <tr r="K92" s="8"/>
      </tp>
      <tp>
        <v>-1.17</v>
        <stp/>
        <stp>BDP|2277559422706377648|22</stp>
        <stp>FVMZM28 Index</stp>
        <stp>LAST_PRICE</stp>
        <tr r="AC91" s="8"/>
      </tp>
      <tp>
        <v>69.22</v>
        <stp/>
        <stp>BDP|3553290272941894742|22</stp>
        <stp>FSCLM26 Index</stp>
        <stp>LAST_PRICE</stp>
        <tr r="E89" s="8"/>
      </tp>
      <tp>
        <v>-5.0599999999999996</v>
        <stp/>
        <stp>BDP|4122504663663368295|22</stp>
        <stp>FVMZM15 Index</stp>
        <stp>LAST_PRICE</stp>
        <tr r="AC78" s="8"/>
      </tp>
      <tp>
        <v>70.27</v>
        <stp/>
        <stp>BDP|8089469367999278329|22</stp>
        <stp>FSCLM23 Index</stp>
        <stp>LAST_PRICE</stp>
        <tr r="E86" s="8"/>
      </tp>
      <tp>
        <v>83.29</v>
        <stp/>
        <stp>BDP|5444845385537611571|22</stp>
        <stp>FSWTM6 Comdty</stp>
        <stp>LAST_PRICE</stp>
        <tr r="P10" s="8"/>
      </tp>
      <tp>
        <v>80.650000000000006</v>
        <stp/>
        <stp>BDP|1368073625105816353|22</stp>
        <stp>CL8 Comdty</stp>
        <stp>LAST_PRICE</stp>
        <tr r="E12" s="8"/>
      </tp>
      <tp>
        <v>80.81</v>
        <stp/>
        <stp>BDP|14630014990938740460|22</stp>
        <stp>CO14 Comdty</stp>
        <stp>PX_SETTLE_ACTUAL_RT</stp>
        <tr r="V18" s="8"/>
      </tp>
      <tp>
        <v>75.45</v>
        <stp/>
        <stp>BDP|13508237395062987529|22</stp>
        <stp>CO24 Comdty</stp>
        <stp>PX_SETTLE_ACTUAL_RT</stp>
        <tr r="V28" s="8"/>
      </tp>
      <tp t="s">
        <v>#N/A Requesting Data...1971060231</v>
        <stp/>
        <stp>BDP|285883479294467987</stp>
        <tr r="F18" s="8"/>
      </tp>
      <tp t="s">
        <v>#N/A Requesting Data...2059169268</v>
        <stp/>
        <stp>BDP|145814762379653531</stp>
        <tr r="AF69" s="8"/>
      </tp>
      <tp>
        <v>0.64</v>
        <stp/>
        <stp>BDP|8452428760465062791|22</stp>
        <stp>AFY29 Comdty</stp>
        <stp>YEST_LAST_TRADE</stp>
        <tr r="Y91" s="8"/>
      </tp>
      <tp>
        <v>82.36</v>
        <stp/>
        <stp>BDP|8612973345861304634|22</stp>
        <stp>FSCOM11 Index</stp>
        <stp>LAST_PRICE</stp>
        <tr r="K74" s="8"/>
      </tp>
      <tp>
        <v>84.32</v>
        <stp/>
        <stp>BDP|17996338414931854926|22</stp>
        <stp>CO10 Comdty</stp>
        <stp>PX_SETTLE_ACTUAL_RT</stp>
        <tr r="V14" s="8"/>
      </tp>
      <tp>
        <v>74.040000000000006</v>
        <stp/>
        <stp>BDP|11037896772732776777|22</stp>
        <stp>CO28 Comdty</stp>
        <stp>PX_SETTLE_ACTUAL_RT</stp>
        <tr r="V32" s="8"/>
      </tp>
      <tp>
        <v>98.46</v>
        <stp/>
        <stp>BDP|4746537783867608784|22</stp>
        <stp>FSCOM1 Index</stp>
        <stp>LAST_PRICE</stp>
        <tr r="K64" s="8"/>
      </tp>
      <tp>
        <v>2.04</v>
        <stp/>
        <stp>BDP|2097142934820043368|22</stp>
        <stp>FDBSM7 Index</stp>
        <stp>LAST_PRICE</stp>
        <tr r="Q70" s="8"/>
      </tp>
      <tp>
        <v>-4.12</v>
        <stp/>
        <stp>BDP|602785371587667865|22</stp>
        <stp>HWTCOV7 Comdty</stp>
        <stp>LAST_PRICE</stp>
        <tr r="AA15" s="8"/>
      </tp>
      <tp>
        <v>0.64</v>
        <stp/>
        <stp>BDP|6664601332881906520|22</stp>
        <stp>AFY27 Comdty</stp>
        <stp>YEST_LAST_TRADE</stp>
        <tr r="Y89" s="8"/>
      </tp>
      <tp>
        <v>0.66300000000000003</v>
        <stp/>
        <stp>BDP|5754289462076291064|22</stp>
        <stp>AFY13 Comdty</stp>
        <stp>YEST_LAST_TRADE</stp>
        <tr r="Y75" s="8"/>
      </tp>
      <tp>
        <v>77.36</v>
        <stp/>
        <stp>BDP|7670534595325824300|22</stp>
        <stp>FSCLM10 Index</stp>
        <stp>LAST_PRICE</stp>
        <tr r="E73" s="8"/>
      </tp>
      <tp>
        <v>91.31</v>
        <stp/>
        <stp>BDP|2007380977979285327|22</stp>
        <stp>CO5 Comdty</stp>
        <stp>LAST_PRICE</stp>
        <tr r="K9" s="8"/>
        <tr r="U9" s="8"/>
        <tr r="AC7" s="2"/>
      </tp>
      <tp>
        <v>0.64</v>
        <stp/>
        <stp>BDP|7690174659335556075|22</stp>
        <stp>AFY28 Comdty</stp>
        <stp>YEST_LAST_TRADE</stp>
        <tr r="Y90" s="8"/>
      </tp>
      <tp>
        <v>75.819999999999993</v>
        <stp/>
        <stp>BDP|4699894925860423219|22</stp>
        <stp>FSCLM12 Index</stp>
        <stp>LAST_PRICE</stp>
        <tr r="E75" s="8"/>
      </tp>
      <tp>
        <v>74</v>
        <stp/>
        <stp>BDP|4315318962526693880|22</stp>
        <stp>FSCOM27 Index</stp>
        <stp>LAST_PRICE</stp>
        <tr r="K90" s="8"/>
      </tp>
      <tp>
        <v>-0.94</v>
        <stp/>
        <stp>BDP|2118712108046064993|22</stp>
        <stp>FVMZM29 Index</stp>
        <stp>LAST_PRICE</stp>
        <tr r="AC92" s="8"/>
      </tp>
      <tp>
        <v>77.72</v>
        <stp/>
        <stp>BDP|2780175599697373175|22</stp>
        <stp>FSCOM18 Index</stp>
        <stp>LAST_PRICE</stp>
        <tr r="K81" s="8"/>
      </tp>
      <tp>
        <v>89.62</v>
        <stp/>
        <stp>BDP|4720853679340039066|22</stp>
        <stp>CO6 Comdty</stp>
        <stp>LAST_PRICE</stp>
        <tr r="K10" s="8"/>
        <tr r="U10" s="8"/>
        <tr r="AC8" s="2"/>
      </tp>
      <tp>
        <v>-2.44</v>
        <stp/>
        <stp>BDP|7119684377329428940|22</stp>
        <stp>FVMZM3 Index</stp>
        <stp>YEST_LAST_TRADE</stp>
        <tr r="AD66" s="8"/>
      </tp>
      <tp t="s">
        <v>#N/A Requesting Data...2514558801</v>
        <stp/>
        <stp>BDP|856477492465833736</stp>
        <tr r="F88" s="8"/>
      </tp>
      <tp>
        <v>-4.3600000000000003</v>
        <stp/>
        <stp>BDP|2784151586656503741|22</stp>
        <stp>FVMZM17 Index</stp>
        <stp>LAST_PRICE</stp>
        <tr r="AC80" s="8"/>
      </tp>
      <tp>
        <v>75.38</v>
        <stp/>
        <stp>BDP|7936541364828494069|22</stp>
        <stp>FSCOM23 Index</stp>
        <stp>LAST_PRICE</stp>
        <tr r="K86" s="8"/>
      </tp>
      <tp>
        <v>0.75</v>
        <stp/>
        <stp>BDP|2374589192166554041|22</stp>
        <stp>FVMZM36 Index</stp>
        <stp>LAST_PRICE</stp>
        <tr r="AC99" s="8"/>
      </tp>
      <tp>
        <v>75.069999999999993</v>
        <stp/>
        <stp>BDP|11289856037090716344|22</stp>
        <stp>CO25 Comdty</stp>
        <stp>PX_SETTLE_ACTUAL_RT</stp>
        <tr r="V29" s="8"/>
      </tp>
      <tp>
        <v>-7.93</v>
        <stp/>
        <stp>BDP|2115125960425442944|22</stp>
        <stp>FVMZM9 Index</stp>
        <stp>LAST_PRICE</stp>
        <tr r="AC72" s="8"/>
      </tp>
      <tp>
        <v>64.37</v>
        <stp/>
        <stp>BDP|506644239830683052|22</stp>
        <stp>FSWTM43 Comdty</stp>
        <stp>LAST_PRICE</stp>
        <tr r="P47" s="8"/>
      </tp>
      <tp>
        <v>0.64</v>
        <stp/>
        <stp>BDP|7217738904771337554|22</stp>
        <stp>AFY19 Comdty</stp>
        <stp>YEST_LAST_TRADE</stp>
        <tr r="Y81" s="8"/>
      </tp>
      <tp>
        <v>78.86</v>
        <stp/>
        <stp>BDP|1385342794759805800|22</stp>
        <stp>FSWTM8 Comdty</stp>
        <stp>PX_SETTLE_ACTUAL_RT</stp>
        <tr r="Q12" s="8"/>
      </tp>
      <tp>
        <v>0.95</v>
        <stp/>
        <stp>BDP|9122424259731178052|22</stp>
        <stp>FVMZM37 Index</stp>
        <stp>LAST_PRICE</stp>
        <tr r="AC100" s="8"/>
      </tp>
      <tp>
        <v>76.290000000000006</v>
        <stp/>
        <stp>BDP|7570946091093363960|22</stp>
        <stp>FSCOM21 Index</stp>
        <stp>LAST_PRICE</stp>
        <tr r="K84" s="8"/>
      </tp>
      <tp>
        <v>74.260000000000005</v>
        <stp/>
        <stp>BDP|8596676830229570920|22</stp>
        <stp>FSCOM26 Index</stp>
        <stp>LAST_PRICE</stp>
        <tr r="K89" s="8"/>
      </tp>
      <tp>
        <v>-3.42</v>
        <stp/>
        <stp>BDP|9089196621886698401|22</stp>
        <stp>FVMZM20 Index</stp>
        <stp>LAST_PRICE</stp>
        <tr r="AC83" s="8"/>
      </tp>
      <tp>
        <v>76.83</v>
        <stp/>
        <stp>BDP|17872308359828922608|22</stp>
        <stp>CO21 Comdty</stp>
        <stp>PX_SETTLE_ACTUAL_RT</stp>
        <tr r="V25" s="8"/>
      </tp>
      <tp>
        <v>-11.22</v>
        <stp/>
        <stp>BDP|9185032870332325456|22</stp>
        <stp>FVMZM5 Index</stp>
        <stp>LAST_PRICE</stp>
        <tr r="AC68" s="8"/>
      </tp>
      <tp>
        <v>2.2400000000000002</v>
        <stp/>
        <stp>BDP|1317661942949441070|22</stp>
        <stp>FVMZM2 Index</stp>
        <stp>LAST_PRICE</stp>
        <tr r="AC65" s="8"/>
      </tp>
      <tp>
        <v>-1.73</v>
        <stp/>
        <stp>BDP|5531580190741251951|22</stp>
        <stp>FVMZM2 Index</stp>
        <stp>YEST_LAST_TRADE</stp>
        <tr r="AD65" s="8"/>
      </tp>
      <tp t="s">
        <v>#N/A Requesting Data...3173268925</v>
        <stp/>
        <stp>BDP|417232072218834453</stp>
        <tr r="P82" s="8"/>
      </tp>
      <tp>
        <v>0.64</v>
        <stp/>
        <stp>BDP|7073646249993869549|22</stp>
        <stp>AFY25 Comdty</stp>
        <stp>YEST_LAST_TRADE</stp>
        <tr r="Y87" s="8"/>
      </tp>
      <tp>
        <v>0.64300000000000002</v>
        <stp/>
        <stp>BDP|4041191918552841558|22</stp>
        <stp>AFY15 Comdty</stp>
        <stp>YEST_LAST_TRADE</stp>
        <tr r="Y77" s="8"/>
      </tp>
      <tp>
        <v>86.01</v>
        <stp/>
        <stp>BDP|2985314652579652500|22</stp>
        <stp>FSWTM3 Comdty</stp>
        <stp>PX_SETTLE_ACTUAL_RT</stp>
        <tr r="Q7" s="8"/>
      </tp>
      <tp>
        <v>-2.46</v>
        <stp/>
        <stp>BDP|4943421134274808876|22</stp>
        <stp>FVMZM23 Index</stp>
        <stp>LAST_PRICE</stp>
        <tr r="AC86" s="8"/>
      </tp>
      <tp>
        <v>67.55</v>
        <stp/>
        <stp>BDP|7343681169919783544|22</stp>
        <stp>FSCLM31 Index</stp>
        <stp>LAST_PRICE</stp>
        <tr r="E94" s="8"/>
      </tp>
      <tp>
        <v>70.930000000000007</v>
        <stp/>
        <stp>BDP|10043439711329706804|22</stp>
        <stp>CO39 Comdty</stp>
        <stp>PX_SETTLE_ACTUAL_RT</stp>
        <tr r="V43" s="8"/>
      </tp>
      <tp>
        <v>70.61</v>
        <stp/>
        <stp>BDP|12455755400209061993|22</stp>
        <stp>CO41 Comdty</stp>
        <stp>PX_SETTLE_ACTUAL_RT</stp>
        <tr r="V45" s="8"/>
      </tp>
      <tp>
        <v>71.69</v>
        <stp/>
        <stp>BDP|15722171520259272810|22</stp>
        <stp>CO36 Comdty</stp>
        <stp>PX_SETTLE_ACTUAL_RT</stp>
        <tr r="V40" s="8"/>
      </tp>
      <tp t="s">
        <v>#N/A Requesting Data...2301200201</v>
        <stp/>
        <stp>BDP|756382176068532419</stp>
        <tr r="J30" s="8"/>
        <tr r="T30" s="8"/>
      </tp>
      <tp t="s">
        <v>#N/A Requesting Data...4185473893</v>
        <stp/>
        <stp>BDP|528598329677737852</stp>
        <tr r="AM91" s="8"/>
      </tp>
      <tp t="s">
        <v>#N/A Requesting Data...2006231044</v>
        <stp/>
        <stp>BDP|439978974425138372</stp>
        <tr r="W76" s="8"/>
      </tp>
      <tp t="s">
        <v>#N/A Requesting Data...3094253650</v>
        <stp/>
        <stp>BDP|168378091350422202</stp>
        <tr r="W71" s="8"/>
      </tp>
      <tp>
        <v>0.64</v>
        <stp/>
        <stp>BDP|6445797938350345006|22</stp>
        <stp>AFY40 Comdty</stp>
        <stp>YEST_LAST_TRADE</stp>
        <tr r="Y102" s="8"/>
      </tp>
      <tp>
        <v>0.64</v>
        <stp/>
        <stp>BDP|7019434691201110901|22</stp>
        <stp>AFY34 Comdty</stp>
        <stp>YEST_LAST_TRADE</stp>
        <tr r="Y96" s="8"/>
      </tp>
      <tp>
        <v>0</v>
        <stp/>
        <stp>BDP|4070536811789313647|22</stp>
        <stp>FVMZM33 Index</stp>
        <stp>LAST_PRICE</stp>
        <tr r="AC96" s="8"/>
      </tp>
      <tp>
        <v>79.95</v>
        <stp/>
        <stp>BDP|5051549980005481534|22</stp>
        <stp>FSCOM14 Index</stp>
        <stp>LAST_PRICE</stp>
        <tr r="K77" s="8"/>
      </tp>
      <tp>
        <v>69.37</v>
        <stp/>
        <stp>BDP|17322396344349596980|22</stp>
        <stp>CO47 Comdty</stp>
        <stp>PX_SETTLE_ACTUAL_RT</stp>
        <tr r="V51" s="8"/>
      </tp>
      <tp>
        <v>71.41</v>
        <stp/>
        <stp>BDP|17282401001314810802|22</stp>
        <stp>CO37 Comdty</stp>
        <stp>PX_SETTLE_ACTUAL_RT</stp>
        <tr r="V41" s="8"/>
      </tp>
      <tp>
        <v>85.38</v>
        <stp/>
        <stp>BDP|5621007247634449787|22</stp>
        <stp>FSCOM8 Index</stp>
        <stp>LAST_PRICE</stp>
        <tr r="K71" s="8"/>
      </tp>
      <tp>
        <v>93.12</v>
        <stp/>
        <stp>BDP|1320438117581940829|22</stp>
        <stp>FSCOM3 Index</stp>
        <stp>LAST_PRICE</stp>
        <tr r="K66" s="8"/>
      </tp>
      <tp>
        <v>-16.95</v>
        <stp/>
        <stp>BDP|5308557551610490291|22</stp>
        <stp>FVMZM6 Index</stp>
        <stp>YEST_LAST_TRADE</stp>
        <tr r="AD69" s="8"/>
      </tp>
      <tp t="s">
        <v>#N/A Requesting Data...2790445063</v>
        <stp/>
        <stp>BDP|954843828592117368</stp>
        <tr r="L57" s="8"/>
      </tp>
      <tp>
        <v>63.77</v>
        <stp/>
        <stp>BDP|538720048701756901|22</stp>
        <stp>FSWTM45 Comdty</stp>
        <stp>LAST_PRICE</stp>
        <tr r="P49" s="8"/>
      </tp>
      <tp>
        <v>0.23</v>
        <stp/>
        <stp>BDP|2978582880711528257|22</stp>
        <stp>FVMZM34 Index</stp>
        <stp>LAST_PRICE</stp>
        <tr r="AC97" s="8"/>
      </tp>
      <tp>
        <v>-0.5</v>
        <stp/>
        <stp>BDP|2186047231604400994|22</stp>
        <stp>FVMZM31 Index</stp>
        <stp>LAST_PRICE</stp>
        <tr r="AC94" s="8"/>
      </tp>
      <tp>
        <v>84.93</v>
        <stp/>
        <stp>BDP|8898333718817432171|22</stp>
        <stp>FSWTM5 Comdty</stp>
        <stp>LAST_PRICE</stp>
        <tr r="P9" s="8"/>
      </tp>
      <tp>
        <v>78.290000000000006</v>
        <stp/>
        <stp>BDP|11991073058323521483|22</stp>
        <stp>CO18 Comdty</stp>
        <stp>PX_SETTLE_ACTUAL_RT</stp>
        <tr r="V22" s="8"/>
      </tp>
      <tp>
        <v>69.16</v>
        <stp/>
        <stp>BDP|17883871008135252393|22</stp>
        <stp>CO48 Comdty</stp>
        <stp>PX_SETTLE_ACTUAL_RT</stp>
        <tr r="V52" s="8"/>
      </tp>
      <tp>
        <v>95.32</v>
        <stp/>
        <stp>BDP|2583274363312919303|22</stp>
        <stp>FSCOM2 Index</stp>
        <stp>LAST_PRICE</stp>
        <tr r="K65" s="8"/>
      </tp>
      <tp t="s">
        <v>#N/A Requesting Data...3240902533</v>
        <stp/>
        <stp>BDP|828116962165843861</stp>
        <tr r="J48" s="8"/>
        <tr r="T48" s="8"/>
      </tp>
      <tp t="s">
        <v>#N/A Requesting Data...2388020506</v>
        <stp/>
        <stp>BDP|604928213024637639</stp>
        <tr r="D36" s="8"/>
        <tr r="O36" s="8"/>
      </tp>
      <tp>
        <v>0.64</v>
        <stp/>
        <stp>BDP|9853089994329477956|22</stp>
        <stp>AFY17 Comdty</stp>
        <stp>YEST_LAST_TRADE</stp>
        <tr r="Y79" s="8"/>
      </tp>
      <tp>
        <v>0.64</v>
        <stp/>
        <stp>BDP|2009072089573508939|22</stp>
        <stp>AFY41 Comdty</stp>
        <stp>YEST_LAST_TRADE</stp>
        <tr r="Y103" s="8"/>
      </tp>
      <tp>
        <v>0.64300000000000002</v>
        <stp/>
        <stp>BDP|3585095153143036558|22</stp>
        <stp>AFY14 Comdty</stp>
        <stp>YEST_LAST_TRADE</stp>
        <tr r="Y76" s="8"/>
      </tp>
      <tp>
        <v>0.64</v>
        <stp/>
        <stp>BDP|6311093700841555757|22</stp>
        <stp>AFY38 Comdty</stp>
        <stp>YEST_LAST_TRADE</stp>
        <tr r="Y100" s="8"/>
      </tp>
      <tp>
        <v>72.42</v>
        <stp/>
        <stp>BDP|6220371487871757629|22</stp>
        <stp>FSCLM18 Index</stp>
        <stp>LAST_PRICE</stp>
        <tr r="E81" s="8"/>
      </tp>
      <tp>
        <v>80.66</v>
        <stp/>
        <stp>BDP|5911801230167119924|22</stp>
        <stp>FSWTM8 Comdty</stp>
        <stp>LAST_PRICE</stp>
        <tr r="P12" s="8"/>
      </tp>
      <tp>
        <v>69.94</v>
        <stp/>
        <stp>BDP|2679209386993944255|22</stp>
        <stp>FSCLM24 Index</stp>
        <stp>LAST_PRICE</stp>
        <tr r="E87" s="8"/>
      </tp>
      <tp>
        <v>71.09</v>
        <stp/>
        <stp>BDP|9989008805739928838|22</stp>
        <stp>FSCOM37 Index</stp>
        <stp>LAST_PRICE</stp>
        <tr r="K100" s="8"/>
      </tp>
      <tp>
        <v>85.46</v>
        <stp/>
        <stp>BDP|6384236404683594951|22</stp>
        <stp>CO9 Comdty</stp>
        <stp>LAST_PRICE</stp>
        <tr r="U13" s="8"/>
        <tr r="K13" s="8"/>
      </tp>
      <tp>
        <v>72.87</v>
        <stp/>
        <stp>BDP|99101065203875464|22</stp>
        <stp>FSCLM17 Index</stp>
        <stp>LAST_PRICE</stp>
        <tr r="E80" s="8"/>
      </tp>
      <tp t="s">
        <v>#N/A Real Time</v>
        <stp/>
        <stp>BDP|7570768037606297827|22</stp>
        <stp>DTD22 Comdty</stp>
        <stp>YEST_LAST_TRADE</stp>
        <tr r="F130" s="8"/>
      </tp>
      <tp t="s">
        <v>#N/A Invalid Security</v>
        <stp/>
        <stp>BDP|3991524147558878732|22</stp>
        <stp>DTD36 Comdty</stp>
        <stp>YEST_LAST_TRADE</stp>
        <tr r="F144" s="8"/>
      </tp>
      <tp>
        <v>0.98</v>
        <stp/>
        <stp>BDP|7316809473630842870|22</stp>
        <stp>FDBSM34 Index</stp>
        <stp>LAST_PRICE</stp>
        <tr r="Q97" s="8"/>
      </tp>
      <tp>
        <v>1.1000000000000001</v>
        <stp/>
        <stp>BDP|1508163494433467836|22</stp>
        <stp>FDBSM19 Index</stp>
        <stp>LAST_PRICE</stp>
        <tr r="Q82" s="8"/>
      </tp>
      <tp>
        <v>1.27</v>
        <stp/>
        <stp>BDP|9889695018314768906|22</stp>
        <stp>FDBSM15 Index</stp>
        <stp>LAST_PRICE</stp>
        <tr r="Q78" s="8"/>
      </tp>
      <tp>
        <v>1.44</v>
        <stp/>
        <stp>BDP|9832769426966176267|22</stp>
        <stp>FDBSM7 Index</stp>
        <stp>YEST_LAST_TRADE</stp>
        <tr r="R70" s="8"/>
      </tp>
      <tp>
        <v>2.77</v>
        <stp/>
        <stp>BDP|7866789718161911|22</stp>
        <stp>FDBSM4 Index</stp>
        <stp>LAST_PRICE</stp>
        <tr r="Q67" s="8"/>
      </tp>
      <tp>
        <v>0.99</v>
        <stp/>
        <stp>BDP|5471204872521537247|22</stp>
        <stp>FDBSM28 Index</stp>
        <stp>LAST_PRICE</stp>
        <tr r="Q91" s="8"/>
      </tp>
      <tp>
        <v>0.99</v>
        <stp/>
        <stp>BDP|5661508408181227356|22</stp>
        <stp>FDBSM30 Index</stp>
        <stp>LAST_PRICE</stp>
        <tr r="Q93" s="8"/>
      </tp>
      <tp>
        <v>1.01</v>
        <stp/>
        <stp>BDP|1963601456851518084|22</stp>
        <stp>FDBSM23 Index</stp>
        <stp>LAST_PRICE</stp>
        <tr r="Q86" s="8"/>
      </tp>
      <tp>
        <v>0.98</v>
        <stp/>
        <stp>BDP|5130154716557789061|22</stp>
        <stp>FDBSM32 Index</stp>
        <stp>LAST_PRICE</stp>
        <tr r="Q95" s="8"/>
      </tp>
      <tp>
        <v>2.61</v>
        <stp/>
        <stp>BDP|4333866124562633054|22</stp>
        <stp>FDBSM2 Index</stp>
        <stp>YEST_LAST_TRADE</stp>
        <tr r="R65" s="8"/>
      </tp>
      <tp>
        <v>0.1</v>
        <stp/>
        <stp>BDP|7400809121325693602|22</stp>
        <stp>DTD13 Comdty</stp>
        <stp>YEST_LAST_TRADE</stp>
        <tr r="F121" s="8"/>
      </tp>
      <tp>
        <v>86.67</v>
        <stp/>
        <stp>BDP|3236880690908776895|22</stp>
        <stp>CO8 Comdty</stp>
        <stp>PX_SETTLE_ACTUAL_RT</stp>
        <tr r="V12" s="8"/>
      </tp>
      <tp t="s">
        <v>#N/A Invalid Security</v>
        <stp/>
        <stp>BDP|5067131725607593888|22</stp>
        <stp>DTD33 Comdty</stp>
        <stp>YEST_LAST_TRADE</stp>
        <tr r="F141" s="8"/>
      </tp>
      <tp t="s">
        <v>#N/A Invalid Security</v>
        <stp/>
        <stp>BDP|1051049258729391695|22</stp>
        <stp>DTD38 Comdty</stp>
        <stp>YEST_LAST_TRADE</stp>
        <tr r="F146" s="8"/>
      </tp>
      <tp>
        <v>0.99</v>
        <stp/>
        <stp>BDP|7969054207496405752|22</stp>
        <stp>FDBSM37 Index</stp>
        <stp>LAST_PRICE</stp>
        <tr r="Q100" s="8"/>
      </tp>
      <tp>
        <v>0.99</v>
        <stp/>
        <stp>BDP|9111931754675880718|22</stp>
        <stp>FDBSM29 Index</stp>
        <stp>LAST_PRICE</stp>
        <tr r="Q92" s="8"/>
      </tp>
      <tp>
        <v>0.99</v>
        <stp/>
        <stp>BDP|5224040377364033061|22</stp>
        <stp>FDBSM31 Index</stp>
        <stp>LAST_PRICE</stp>
        <tr r="Q94" s="8"/>
      </tp>
      <tp t="s">
        <v>#N/A Invalid Security</v>
        <stp/>
        <stp>BDP|5773937453925645655|22</stp>
        <stp>DTD31 Comdty</stp>
        <stp>YEST_LAST_TRADE</stp>
        <tr r="F139" s="8"/>
      </tp>
      <tp>
        <v>1</v>
        <stp/>
        <stp>BDP|6891155954052451642|22</stp>
        <stp>FDBSM25 Index</stp>
        <stp>LAST_PRICE</stp>
        <tr r="Q88" s="8"/>
      </tp>
      <tp>
        <v>1.01</v>
        <stp/>
        <stp>BDP|5009114754963228411|22</stp>
        <stp>FDBSM24 Index</stp>
        <stp>LAST_PRICE</stp>
        <tr r="Q87" s="8"/>
      </tp>
      <tp t="s">
        <v>#N/A Invalid Security</v>
        <stp/>
        <stp>BDP|5876225106332784021|22</stp>
        <stp>DTD27 Comdty</stp>
        <stp>YEST_LAST_TRADE</stp>
        <tr r="F135" s="8"/>
      </tp>
      <tp t="s">
        <v>#N/A Invalid Security</v>
        <stp/>
        <stp>BDP|7375884780743353168|22</stp>
        <stp>DTD34 Comdty</stp>
        <stp>YEST_LAST_TRADE</stp>
        <tr r="F142" s="8"/>
      </tp>
      <tp>
        <v>1.46</v>
        <stp/>
        <stp>BDP|2560928707875312443|22</stp>
        <stp>FDBSM12 Index</stp>
        <stp>LAST_PRICE</stp>
        <tr r="Q75" s="8"/>
      </tp>
      <tp t="s">
        <v>#N/A Invalid Security</v>
        <stp/>
        <stp>BDP|3345417214676196410|22</stp>
        <stp>DTD28 Comdty</stp>
        <stp>YEST_LAST_TRADE</stp>
        <tr r="F136" s="8"/>
      </tp>
      <tp>
        <v>9.01</v>
        <stp/>
        <stp>BDP|6699358124742922335|22</stp>
        <stp>FDBSM0 Index</stp>
        <stp>YEST_LAST_TRADE</stp>
        <tr r="R63" s="8"/>
      </tp>
      <tp t="s">
        <v>#N/A Real Time</v>
        <stp/>
        <stp>BDP|9169430881334131787|22</stp>
        <stp>DTD15 Comdty</stp>
        <stp>YEST_LAST_TRADE</stp>
        <tr r="F123" s="8"/>
      </tp>
      <tp t="s">
        <v>#N/A Invalid Security</v>
        <stp/>
        <stp>BDP|4382344322932966108|22</stp>
        <stp>DTD37 Comdty</stp>
        <stp>YEST_LAST_TRADE</stp>
        <tr r="F145" s="8"/>
      </tp>
      <tp>
        <v>1.03</v>
        <stp/>
        <stp>BDP|6669026760915565863|22</stp>
        <stp>FDBSM22 Index</stp>
        <stp>LAST_PRICE</stp>
        <tr r="Q85" s="8"/>
      </tp>
      <tp>
        <v>0.98</v>
        <stp/>
        <stp>BDP|6601930533103826381|22</stp>
        <stp>FDBSM36 Index</stp>
        <stp>LAST_PRICE</stp>
        <tr r="Q99" s="8"/>
      </tp>
      <tp>
        <v>0.15</v>
        <stp/>
        <stp>BDP|5161452816739950984|22</stp>
        <stp>DTD14 Comdty</stp>
        <stp>YEST_LAST_TRADE</stp>
        <tr r="F122" s="8"/>
      </tp>
      <tp>
        <v>-7.78</v>
        <stp/>
        <stp>BDP|250615918489406216|22</stp>
        <stp>FVMZM34 Index</stp>
        <stp>YEST_LAST_TRADE</stp>
        <tr r="AD97" s="8"/>
      </tp>
      <tp>
        <v>1.85</v>
        <stp/>
        <stp>BDP|6723618101727757057|22</stp>
        <stp>FDBSM4 Index</stp>
        <stp>YEST_LAST_TRADE</stp>
        <tr r="R67" s="8"/>
      </tp>
      <tp t="s">
        <v>#N/A Real Time</v>
        <stp/>
        <stp>BDP|6327753487589869369|22</stp>
        <stp>DTD16 Comdty</stp>
        <stp>YEST_LAST_TRADE</stp>
        <tr r="F124" s="8"/>
      </tp>
      <tp>
        <v>91.2</v>
        <stp/>
        <stp>BDP|6489639598692065702|22</stp>
        <stp>CO5 Comdty</stp>
        <stp>PX_SETTLE_ACTUAL_RT</stp>
        <tr r="V9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amcotradingus.sharepoint.com/sites/Teams-ATA-Crude-TradingCoverage/Shared%20Documents/Trading%20Coverage/ATA%20Lights/Cargoes/Alberto%20Daily/US%20Exports%202026.xlsx" TargetMode="External"/><Relationship Id="rId1" Type="http://schemas.openxmlformats.org/officeDocument/2006/relationships/externalLinkPath" Target="US%20Export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FQoqCbh206mEEV060HFKDzw8twIyeRClMveWoHTLIWOSuE2TccIT7G8ayu3-_Dd" itemId="01ZTSDROIXEJKU4X3NFJCZ2GXASPIX55B4">
      <xxl21:absoluteUrl r:id="rId2"/>
    </xxl21:alternateUrls>
    <sheetNames>
      <sheetName val="Control"/>
      <sheetName val="WTI"/>
      <sheetName val="Sheet1"/>
      <sheetName val="Report"/>
      <sheetName val="CLK1"/>
      <sheetName val="BAKKEN"/>
      <sheetName val="LULA"/>
      <sheetName val="MARS"/>
      <sheetName val="LIZA"/>
      <sheetName val="FORTIES"/>
      <sheetName val="CASTILLA"/>
      <sheetName val="MOLO"/>
    </sheetNames>
    <sheetDataSet>
      <sheetData sheetId="0" refreshError="1"/>
      <sheetData sheetId="1">
        <row r="44">
          <cell r="AS44">
            <v>0</v>
          </cell>
          <cell r="AU44">
            <v>4.3978668295098204</v>
          </cell>
        </row>
        <row r="58">
          <cell r="AD58">
            <v>795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9DF8-A0D9-4433-A68D-9F1C7A915335}">
  <sheetPr codeName="Sheet1"/>
  <dimension ref="A1:AB125"/>
  <sheetViews>
    <sheetView showGridLines="0" zoomScale="70" zoomScaleNormal="70" workbookViewId="0">
      <selection activeCell="B3" sqref="B3:N49"/>
    </sheetView>
  </sheetViews>
  <sheetFormatPr defaultRowHeight="15.65" customHeight="1" x14ac:dyDescent="0.35"/>
  <cols>
    <col min="1" max="1" width="10.54296875" bestFit="1" customWidth="1"/>
    <col min="2" max="2" width="19.453125" bestFit="1" customWidth="1"/>
    <col min="5" max="5" width="18.54296875" customWidth="1"/>
    <col min="6" max="6" width="19.453125" bestFit="1" customWidth="1"/>
    <col min="7" max="7" width="4.54296875" customWidth="1"/>
    <col min="8" max="8" width="24.54296875" customWidth="1"/>
    <col min="9" max="9" width="21.453125" bestFit="1" customWidth="1"/>
    <col min="10" max="10" width="17.453125" customWidth="1"/>
    <col min="11" max="11" width="10" bestFit="1" customWidth="1"/>
    <col min="12" max="12" width="22.453125" bestFit="1" customWidth="1"/>
    <col min="13" max="13" width="14.7265625" bestFit="1" customWidth="1"/>
    <col min="14" max="14" width="13.453125" bestFit="1" customWidth="1"/>
    <col min="15" max="15" width="10.453125" bestFit="1" customWidth="1"/>
    <col min="16" max="16" width="11.453125" bestFit="1" customWidth="1"/>
    <col min="17" max="17" width="7.7265625" bestFit="1" customWidth="1"/>
    <col min="18" max="18" width="10.453125" bestFit="1" customWidth="1"/>
    <col min="19" max="19" width="10.54296875" customWidth="1"/>
    <col min="20" max="20" width="12" customWidth="1"/>
    <col min="22" max="22" width="21.453125" customWidth="1"/>
  </cols>
  <sheetData>
    <row r="1" spans="2:28" ht="15.65" customHeight="1" thickBot="1" x14ac:dyDescent="0.4">
      <c r="Z1">
        <v>2.2999999999999998</v>
      </c>
    </row>
    <row r="2" spans="2:28" ht="15.65" customHeight="1" thickTop="1" thickBot="1" x14ac:dyDescent="0.4">
      <c r="B2" s="494"/>
      <c r="C2" s="493"/>
      <c r="D2" s="493"/>
      <c r="E2" s="493"/>
      <c r="F2" s="493"/>
      <c r="G2" s="493"/>
      <c r="H2" s="493"/>
      <c r="I2" s="493"/>
      <c r="J2" s="562" t="s">
        <v>0</v>
      </c>
      <c r="K2" s="562"/>
      <c r="L2" s="562"/>
      <c r="M2" s="562"/>
      <c r="N2" s="563"/>
      <c r="R2" s="271"/>
      <c r="S2" s="271" t="s">
        <v>1</v>
      </c>
      <c r="T2" s="271"/>
      <c r="U2" s="271"/>
      <c r="V2" s="271"/>
      <c r="W2" s="271" t="s">
        <v>2</v>
      </c>
      <c r="X2" s="271" t="s">
        <v>3</v>
      </c>
      <c r="Y2" s="271"/>
      <c r="Z2" s="271"/>
      <c r="AA2" s="299"/>
      <c r="AB2" s="271" t="s">
        <v>4</v>
      </c>
    </row>
    <row r="3" spans="2:28" ht="15.65" customHeight="1" thickBot="1" x14ac:dyDescent="0.4">
      <c r="B3" s="564" t="s">
        <v>5</v>
      </c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6"/>
      <c r="P3" s="375">
        <f>EOMONTH(BBG!D5,0)</f>
        <v>46356</v>
      </c>
      <c r="Q3" s="84">
        <f>BBG!E5</f>
        <v>93.14</v>
      </c>
      <c r="R3">
        <f>BBG!F5</f>
        <v>90.42</v>
      </c>
      <c r="S3" s="324">
        <f>EOMONTH(BBG!H5,0)</f>
        <v>46387</v>
      </c>
      <c r="T3" s="279">
        <f>BBG!K5</f>
        <v>102.49</v>
      </c>
      <c r="U3" s="279">
        <f>BBG!L5</f>
        <v>98.03</v>
      </c>
      <c r="V3" s="325">
        <f ca="1">EOMONTH(TODAY(),0)</f>
        <v>46326</v>
      </c>
      <c r="W3" s="271">
        <f>BBG!E63</f>
        <v>92.39</v>
      </c>
      <c r="X3" s="271">
        <f>BBG!K63</f>
        <v>102.31</v>
      </c>
      <c r="Y3" s="271">
        <f t="shared" ref="Y3:Y41" si="0">W3-X3</f>
        <v>-9.9200000000000017</v>
      </c>
      <c r="Z3" s="271"/>
      <c r="AA3" s="299"/>
      <c r="AB3" s="271"/>
    </row>
    <row r="4" spans="2:28" ht="15.65" customHeight="1" thickBot="1" x14ac:dyDescent="0.4">
      <c r="B4" s="567" t="s">
        <v>6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9"/>
      <c r="P4" s="326">
        <f t="shared" ref="P4:P41" si="1">EOMONTH(P3,1)</f>
        <v>46387</v>
      </c>
      <c r="Q4" s="84">
        <f>BBG!E6</f>
        <v>91.08</v>
      </c>
      <c r="R4">
        <f>BBG!F6</f>
        <v>88.42</v>
      </c>
      <c r="S4" s="326">
        <f t="shared" ref="S4:S41" si="2">EOMONTH(S3,1)</f>
        <v>46418</v>
      </c>
      <c r="T4" s="279">
        <f>BBG!K6</f>
        <v>98.62</v>
      </c>
      <c r="U4" s="279">
        <f>BBG!L6</f>
        <v>95.09</v>
      </c>
      <c r="V4" s="327">
        <f t="shared" ref="V4:V41" ca="1" si="3">EOMONTH(V3,1)</f>
        <v>46356</v>
      </c>
      <c r="W4" s="271">
        <f>BBG!E64</f>
        <v>90.56</v>
      </c>
      <c r="X4" s="271">
        <f>BBG!K64</f>
        <v>98.46</v>
      </c>
      <c r="Y4" s="271">
        <f t="shared" si="0"/>
        <v>-7.8999999999999915</v>
      </c>
      <c r="Z4" s="271">
        <f>Y4+Z1</f>
        <v>-5.5999999999999917</v>
      </c>
      <c r="AA4" s="299"/>
      <c r="AB4" s="328">
        <f ca="1">VLOOKUP(USG!E25,$P$3:$Q$41,2,FALSE)-VLOOKUP(USG!E25,$V$3:$W$41,2,FALSE)</f>
        <v>2.5799999999999983</v>
      </c>
    </row>
    <row r="5" spans="2:28" ht="15.65" customHeight="1" x14ac:dyDescent="0.35">
      <c r="B5" s="541" t="s">
        <v>7</v>
      </c>
      <c r="C5" s="543">
        <v>46296</v>
      </c>
      <c r="D5" s="543">
        <v>46327</v>
      </c>
      <c r="E5" s="543">
        <v>46357</v>
      </c>
      <c r="F5" s="543">
        <v>46388</v>
      </c>
      <c r="G5" s="543">
        <v>46419</v>
      </c>
      <c r="H5" s="543">
        <v>46447</v>
      </c>
      <c r="I5" s="543">
        <v>46478</v>
      </c>
      <c r="J5" s="543">
        <v>46508</v>
      </c>
      <c r="K5" s="543">
        <v>46539</v>
      </c>
      <c r="L5" s="543">
        <v>46569</v>
      </c>
      <c r="M5" s="543">
        <v>46600</v>
      </c>
      <c r="N5" s="545">
        <v>46631</v>
      </c>
      <c r="P5" s="326">
        <f t="shared" si="1"/>
        <v>46418</v>
      </c>
      <c r="Q5" s="84">
        <f>BBG!E7</f>
        <v>88.99</v>
      </c>
      <c r="R5">
        <f>BBG!F7</f>
        <v>86.73</v>
      </c>
      <c r="S5" s="326">
        <f t="shared" si="2"/>
        <v>46446</v>
      </c>
      <c r="T5" s="279">
        <f>BBG!K7</f>
        <v>95.54</v>
      </c>
      <c r="U5" s="279">
        <f>BBG!L7</f>
        <v>92.850000000000009</v>
      </c>
      <c r="V5" s="327">
        <f t="shared" ca="1" si="3"/>
        <v>46387</v>
      </c>
      <c r="W5" s="271">
        <f>BBG!E65</f>
        <v>88.3</v>
      </c>
      <c r="X5" s="271">
        <f>BBG!K65</f>
        <v>95.32</v>
      </c>
      <c r="Y5" s="271">
        <f t="shared" si="0"/>
        <v>-7.019999999999996</v>
      </c>
      <c r="Z5" s="271">
        <f>T5-W5</f>
        <v>7.2400000000000091</v>
      </c>
      <c r="AA5" s="299"/>
      <c r="AB5" s="307" t="e">
        <f ca="1">VLOOKUP(USG!E28,$P$3:$Q$41,2,FALSE)-VLOOKUP(USG!E28,$V$3:$W$41,2,FALSE)</f>
        <v>#N/A</v>
      </c>
    </row>
    <row r="6" spans="2:28" ht="15.65" customHeight="1" x14ac:dyDescent="0.35">
      <c r="B6" s="541" t="s">
        <v>8</v>
      </c>
      <c r="C6" s="481">
        <v>8.25</v>
      </c>
      <c r="D6" s="481">
        <v>4.3079999999999998</v>
      </c>
      <c r="E6" s="481">
        <v>3.383</v>
      </c>
      <c r="F6" s="481">
        <v>2.4529999999999998</v>
      </c>
      <c r="G6" s="481">
        <v>1.768</v>
      </c>
      <c r="H6" s="481">
        <v>1.6419999999999999</v>
      </c>
      <c r="I6" s="481">
        <v>1.5649999999999999</v>
      </c>
      <c r="J6" s="481">
        <v>1.36</v>
      </c>
      <c r="K6" s="481">
        <v>1.254</v>
      </c>
      <c r="L6" s="481">
        <v>1.254</v>
      </c>
      <c r="M6" s="481">
        <v>1.095</v>
      </c>
      <c r="N6" s="546">
        <v>0.99299999999999999</v>
      </c>
      <c r="P6" s="326">
        <f t="shared" si="1"/>
        <v>46446</v>
      </c>
      <c r="Q6" s="84">
        <f>BBG!E8</f>
        <v>86.89</v>
      </c>
      <c r="R6">
        <f>BBG!F8</f>
        <v>85.11</v>
      </c>
      <c r="S6" s="326">
        <f t="shared" si="2"/>
        <v>46477</v>
      </c>
      <c r="T6" s="279">
        <f>BBG!K8</f>
        <v>93.22</v>
      </c>
      <c r="U6" s="279">
        <f>BBG!L8</f>
        <v>91.15</v>
      </c>
      <c r="V6" s="327">
        <f t="shared" ca="1" si="3"/>
        <v>46418</v>
      </c>
      <c r="W6" s="271">
        <f>BBG!E66</f>
        <v>86.13</v>
      </c>
      <c r="X6" s="271">
        <f>BBG!K66</f>
        <v>93.12</v>
      </c>
      <c r="Y6" s="271">
        <f t="shared" si="0"/>
        <v>-6.9900000000000091</v>
      </c>
      <c r="Z6" s="271" t="s">
        <v>9</v>
      </c>
      <c r="AA6" s="271"/>
      <c r="AB6" s="307" t="e">
        <f ca="1">VLOOKUP(USG!E29,$P$3:$Q$41,2,FALSE)-VLOOKUP(USG!E29,$V$3:$W$41,2,FALSE)</f>
        <v>#N/A</v>
      </c>
    </row>
    <row r="7" spans="2:28" ht="15.65" customHeight="1" x14ac:dyDescent="0.35">
      <c r="B7" s="541" t="s">
        <v>10</v>
      </c>
      <c r="C7" s="481">
        <v>0.75</v>
      </c>
      <c r="D7" s="481">
        <v>1.35</v>
      </c>
      <c r="E7" s="481">
        <v>1</v>
      </c>
      <c r="F7" s="481">
        <v>1.2</v>
      </c>
      <c r="G7" s="481">
        <v>1.4</v>
      </c>
      <c r="H7" s="481">
        <v>1.55</v>
      </c>
      <c r="I7" s="481">
        <v>1.75</v>
      </c>
      <c r="J7" s="481">
        <v>1.8</v>
      </c>
      <c r="K7" s="481">
        <v>1.85</v>
      </c>
      <c r="L7" s="481">
        <v>1.85</v>
      </c>
      <c r="M7" s="481">
        <v>1.85</v>
      </c>
      <c r="N7" s="546">
        <v>1.85</v>
      </c>
      <c r="P7" s="326">
        <f t="shared" si="1"/>
        <v>46477</v>
      </c>
      <c r="Q7" s="84">
        <f>BBG!E9</f>
        <v>84.93</v>
      </c>
      <c r="R7">
        <f>BBG!F9</f>
        <v>83.710000000000008</v>
      </c>
      <c r="S7" s="326">
        <f t="shared" si="2"/>
        <v>46507</v>
      </c>
      <c r="T7" s="279">
        <f>BBG!K9</f>
        <v>91.31</v>
      </c>
      <c r="U7" s="279">
        <f>BBG!L9</f>
        <v>89.67</v>
      </c>
      <c r="V7" s="327">
        <f t="shared" ca="1" si="3"/>
        <v>46446</v>
      </c>
      <c r="W7" s="271">
        <f>BBG!E67</f>
        <v>84.57</v>
      </c>
      <c r="X7" s="271">
        <f>BBG!K67</f>
        <v>91.21</v>
      </c>
      <c r="Y7" s="271">
        <f t="shared" si="0"/>
        <v>-6.6400000000000006</v>
      </c>
      <c r="Z7" s="271"/>
      <c r="AA7" s="271"/>
      <c r="AB7" s="307" t="e">
        <f ca="1">VLOOKUP(USG!E30,$P$3:$Q$41,2,FALSE)-VLOOKUP(USG!E30,$V$3:$W$41,2,FALSE)</f>
        <v>#N/A</v>
      </c>
    </row>
    <row r="8" spans="2:28" ht="15.65" customHeight="1" x14ac:dyDescent="0.35">
      <c r="B8" s="541" t="s">
        <v>11</v>
      </c>
      <c r="C8" s="481">
        <v>-2.5</v>
      </c>
      <c r="D8" s="481">
        <v>0.7</v>
      </c>
      <c r="E8" s="481">
        <v>0.35</v>
      </c>
      <c r="F8" s="481">
        <v>0.65</v>
      </c>
      <c r="G8" s="481">
        <v>0.85</v>
      </c>
      <c r="H8" s="481">
        <v>1</v>
      </c>
      <c r="I8" s="481">
        <v>1.1499999999999999</v>
      </c>
      <c r="J8" s="481">
        <v>1.2</v>
      </c>
      <c r="K8" s="481">
        <v>1.25</v>
      </c>
      <c r="L8" s="481">
        <v>1.25</v>
      </c>
      <c r="M8" s="481">
        <v>1.25</v>
      </c>
      <c r="N8" s="546">
        <v>1.25</v>
      </c>
      <c r="P8" s="326">
        <f t="shared" si="1"/>
        <v>46507</v>
      </c>
      <c r="Q8" s="84">
        <f>BBG!E10</f>
        <v>83.27</v>
      </c>
      <c r="R8">
        <f>BBG!F10</f>
        <v>82.45</v>
      </c>
      <c r="S8" s="326">
        <f t="shared" si="2"/>
        <v>46538</v>
      </c>
      <c r="T8" s="279">
        <f>BBG!K10</f>
        <v>89.62</v>
      </c>
      <c r="U8" s="279">
        <f>BBG!L10</f>
        <v>88.34</v>
      </c>
      <c r="V8" s="327">
        <f t="shared" ca="1" si="3"/>
        <v>46477</v>
      </c>
      <c r="W8" s="271">
        <f>BBG!E68</f>
        <v>82.89</v>
      </c>
      <c r="X8" s="271">
        <f>BBG!K68</f>
        <v>89.53</v>
      </c>
      <c r="Y8" s="271">
        <f t="shared" si="0"/>
        <v>-6.6400000000000006</v>
      </c>
      <c r="Z8" s="271"/>
      <c r="AA8" s="299"/>
      <c r="AB8" s="307" t="e">
        <f>VLOOKUP(USG!E32,$P$3:$Q$41,2,FALSE)-VLOOKUP(USG!E32,$V$3:$W$41,2,FALSE)</f>
        <v>#N/A</v>
      </c>
    </row>
    <row r="9" spans="2:28" ht="15.65" customHeight="1" x14ac:dyDescent="0.35">
      <c r="B9" s="541" t="s">
        <v>12</v>
      </c>
      <c r="C9" s="481">
        <v>-3.15</v>
      </c>
      <c r="D9" s="481">
        <v>0.15</v>
      </c>
      <c r="E9" s="481">
        <v>-0.2</v>
      </c>
      <c r="F9" s="481">
        <v>0.1</v>
      </c>
      <c r="G9" s="481">
        <v>0.3</v>
      </c>
      <c r="H9" s="481">
        <v>0.45</v>
      </c>
      <c r="I9" s="481">
        <v>0.6</v>
      </c>
      <c r="J9" s="481">
        <v>0.65</v>
      </c>
      <c r="K9" s="481">
        <v>0.7</v>
      </c>
      <c r="L9" s="481">
        <v>0.7</v>
      </c>
      <c r="M9" s="481">
        <v>0.7</v>
      </c>
      <c r="N9" s="546">
        <v>0.7</v>
      </c>
      <c r="P9" s="326">
        <f t="shared" si="1"/>
        <v>46538</v>
      </c>
      <c r="Q9" s="84">
        <f>BBG!E11</f>
        <v>81.91</v>
      </c>
      <c r="R9">
        <f>BBG!F11</f>
        <v>81.320000000000007</v>
      </c>
      <c r="S9" s="326">
        <f t="shared" si="2"/>
        <v>46568</v>
      </c>
      <c r="T9" s="279">
        <f>BBG!K11</f>
        <v>88.09</v>
      </c>
      <c r="U9" s="279">
        <f>BBG!L11</f>
        <v>87.09</v>
      </c>
      <c r="V9" s="327">
        <f t="shared" ca="1" si="3"/>
        <v>46507</v>
      </c>
      <c r="W9" s="271">
        <f>BBG!E69</f>
        <v>81.430000000000007</v>
      </c>
      <c r="X9" s="271">
        <f>BBG!K69</f>
        <v>88.01</v>
      </c>
      <c r="Y9" s="271">
        <f t="shared" si="0"/>
        <v>-6.5799999999999983</v>
      </c>
      <c r="Z9" s="271"/>
      <c r="AA9" s="299"/>
      <c r="AB9" s="307" t="e">
        <f ca="1">VLOOKUP(USG!E33,$P$3:$Q$41,2,FALSE)-VLOOKUP(USG!E33,$V$3:$W$41,2,FALSE)</f>
        <v>#N/A</v>
      </c>
    </row>
    <row r="10" spans="2:28" ht="15.65" customHeight="1" x14ac:dyDescent="0.35">
      <c r="B10" s="541" t="s">
        <v>13</v>
      </c>
      <c r="C10" s="481">
        <v>-5.5</v>
      </c>
      <c r="D10" s="481">
        <v>-6</v>
      </c>
      <c r="E10" s="481">
        <v>-6</v>
      </c>
      <c r="F10" s="481">
        <v>-6.1</v>
      </c>
      <c r="G10" s="481">
        <v>-6.1</v>
      </c>
      <c r="H10" s="481">
        <v>-6.1</v>
      </c>
      <c r="I10" s="481">
        <v>-6.1</v>
      </c>
      <c r="J10" s="481">
        <v>-6.1</v>
      </c>
      <c r="K10" s="481">
        <v>-6.1</v>
      </c>
      <c r="L10" s="481">
        <v>-6.1</v>
      </c>
      <c r="M10" s="481">
        <v>-6.1</v>
      </c>
      <c r="N10" s="546">
        <v>-6.1</v>
      </c>
      <c r="P10" s="326">
        <f t="shared" si="1"/>
        <v>46568</v>
      </c>
      <c r="Q10" s="84">
        <f>BBG!E12</f>
        <v>80.650000000000006</v>
      </c>
      <c r="R10">
        <f>BBG!F12</f>
        <v>80.28</v>
      </c>
      <c r="S10" s="326">
        <f t="shared" si="2"/>
        <v>46599</v>
      </c>
      <c r="T10" s="279">
        <f>BBG!K12</f>
        <v>86.69</v>
      </c>
      <c r="U10" s="279">
        <f>BBG!L12</f>
        <v>85.91</v>
      </c>
      <c r="V10" s="327">
        <f t="shared" ca="1" si="3"/>
        <v>46538</v>
      </c>
      <c r="W10" s="271">
        <f>BBG!E70</f>
        <v>80.319999999999993</v>
      </c>
      <c r="X10" s="271">
        <f>BBG!K70</f>
        <v>86.57</v>
      </c>
      <c r="Y10" s="271">
        <f t="shared" si="0"/>
        <v>-6.25</v>
      </c>
      <c r="Z10" s="271"/>
      <c r="AA10" s="299"/>
      <c r="AB10" s="307" t="e">
        <f ca="1">VLOOKUP(USG!E34,$P$3:$Q$41,2,FALSE)-VLOOKUP(USG!E34,$V$3:$W$41,2,FALSE)</f>
        <v>#N/A</v>
      </c>
    </row>
    <row r="11" spans="2:28" ht="15.65" customHeight="1" x14ac:dyDescent="0.35">
      <c r="B11" s="541" t="s">
        <v>14</v>
      </c>
      <c r="C11" s="481">
        <v>0.9</v>
      </c>
      <c r="D11" s="481">
        <v>1.05</v>
      </c>
      <c r="E11" s="481">
        <v>0.7</v>
      </c>
      <c r="F11" s="481">
        <v>1</v>
      </c>
      <c r="G11" s="481">
        <v>1.2</v>
      </c>
      <c r="H11" s="481">
        <v>1.35</v>
      </c>
      <c r="I11" s="481">
        <v>1.5</v>
      </c>
      <c r="J11" s="481">
        <v>1.55</v>
      </c>
      <c r="K11" s="481">
        <v>1.6</v>
      </c>
      <c r="L11" s="481">
        <v>1.6</v>
      </c>
      <c r="M11" s="481">
        <v>1.6</v>
      </c>
      <c r="N11" s="546">
        <v>1.6</v>
      </c>
      <c r="P11" s="326">
        <f t="shared" si="1"/>
        <v>46599</v>
      </c>
      <c r="Q11" s="84">
        <f>BBG!E13</f>
        <v>79.510000000000005</v>
      </c>
      <c r="R11">
        <f>BBG!F13</f>
        <v>79.31</v>
      </c>
      <c r="S11" s="326">
        <f t="shared" si="2"/>
        <v>46630</v>
      </c>
      <c r="T11" s="279">
        <f>BBG!K13</f>
        <v>85.46</v>
      </c>
      <c r="U11" s="279">
        <f>BBG!L13</f>
        <v>84.81</v>
      </c>
      <c r="V11" s="327">
        <f t="shared" ca="1" si="3"/>
        <v>46568</v>
      </c>
      <c r="W11" s="271">
        <f>BBG!E71</f>
        <v>79.260000000000005</v>
      </c>
      <c r="X11" s="271">
        <f>BBG!K71</f>
        <v>85.38</v>
      </c>
      <c r="Y11" s="271">
        <f t="shared" si="0"/>
        <v>-6.1199999999999903</v>
      </c>
      <c r="Z11" s="271"/>
      <c r="AB11" s="307" t="e">
        <f ca="1">VLOOKUP(USG!E35,$P$3:$Q$41,2,FALSE)-VLOOKUP(USG!E35,$V$3:$W$41,2,FALSE)</f>
        <v>#N/A</v>
      </c>
    </row>
    <row r="12" spans="2:28" ht="15.65" customHeight="1" x14ac:dyDescent="0.35">
      <c r="B12" s="541" t="s">
        <v>15</v>
      </c>
      <c r="C12" s="481">
        <v>3.25</v>
      </c>
      <c r="D12" s="481">
        <v>2.15</v>
      </c>
      <c r="E12" s="481">
        <v>2.0499999999999998</v>
      </c>
      <c r="F12" s="481">
        <v>1.7</v>
      </c>
      <c r="G12" s="481">
        <v>1.85</v>
      </c>
      <c r="H12" s="481">
        <v>2</v>
      </c>
      <c r="I12" s="481">
        <v>2.2000000000000002</v>
      </c>
      <c r="J12" s="481">
        <v>2.25</v>
      </c>
      <c r="K12" s="481">
        <v>2.2999999999999998</v>
      </c>
      <c r="L12" s="481">
        <v>2.2999999999999998</v>
      </c>
      <c r="M12" s="481">
        <v>2.2999999999999998</v>
      </c>
      <c r="N12" s="546">
        <v>2.2999999999999998</v>
      </c>
      <c r="P12" s="326">
        <f t="shared" si="1"/>
        <v>46630</v>
      </c>
      <c r="Q12" s="84">
        <f>BBG!E14</f>
        <v>78.62</v>
      </c>
      <c r="R12">
        <f>BBG!F14</f>
        <v>78.400000000000006</v>
      </c>
      <c r="S12" s="326">
        <f t="shared" si="2"/>
        <v>46660</v>
      </c>
      <c r="T12" s="279">
        <f>BBG!K14</f>
        <v>84.33</v>
      </c>
      <c r="U12" s="279">
        <f>BBG!L14</f>
        <v>83.79</v>
      </c>
      <c r="V12" s="327">
        <f t="shared" ca="1" si="3"/>
        <v>46599</v>
      </c>
      <c r="W12" s="271">
        <f>BBG!E72</f>
        <v>78.19</v>
      </c>
      <c r="X12" s="271">
        <f>BBG!K72</f>
        <v>84.25</v>
      </c>
      <c r="Y12" s="271">
        <f t="shared" si="0"/>
        <v>-6.0600000000000023</v>
      </c>
      <c r="Z12" s="271"/>
      <c r="AA12" s="271"/>
      <c r="AB12" s="307" t="e">
        <f ca="1">VLOOKUP(USG!E36,$P$3:$Q$41,2,FALSE)-VLOOKUP(USG!E36,$V$3:$W$41,2,FALSE)</f>
        <v>#N/A</v>
      </c>
    </row>
    <row r="13" spans="2:28" ht="15.65" customHeight="1" x14ac:dyDescent="0.35">
      <c r="B13" s="541" t="s">
        <v>16</v>
      </c>
      <c r="C13" s="481">
        <v>0</v>
      </c>
      <c r="D13" s="481">
        <v>4</v>
      </c>
      <c r="E13" s="481">
        <v>4</v>
      </c>
      <c r="F13" s="481">
        <v>3.75</v>
      </c>
      <c r="G13" s="481">
        <v>3.75</v>
      </c>
      <c r="H13" s="481">
        <v>3.75</v>
      </c>
      <c r="I13" s="481">
        <v>4</v>
      </c>
      <c r="J13" s="481">
        <v>4</v>
      </c>
      <c r="K13" s="481">
        <v>4</v>
      </c>
      <c r="L13" s="481">
        <v>4</v>
      </c>
      <c r="M13" s="481">
        <v>4</v>
      </c>
      <c r="N13" s="546">
        <v>4</v>
      </c>
      <c r="P13" s="326">
        <f t="shared" si="1"/>
        <v>46660</v>
      </c>
      <c r="Q13" s="84">
        <f>BBG!E15</f>
        <v>77.59</v>
      </c>
      <c r="R13">
        <f>BBG!F15</f>
        <v>77.55</v>
      </c>
      <c r="S13" s="326">
        <f t="shared" si="2"/>
        <v>46691</v>
      </c>
      <c r="T13" s="279">
        <f>BBG!K15</f>
        <v>83.23</v>
      </c>
      <c r="U13" s="279">
        <f>BBG!L15</f>
        <v>82.86</v>
      </c>
      <c r="V13" s="327">
        <f t="shared" ca="1" si="3"/>
        <v>46630</v>
      </c>
      <c r="W13" s="271">
        <f>BBG!E73</f>
        <v>77.36</v>
      </c>
      <c r="X13" s="271">
        <f>BBG!K73</f>
        <v>83.24</v>
      </c>
      <c r="Y13" s="271">
        <f t="shared" si="0"/>
        <v>-5.8799999999999955</v>
      </c>
      <c r="Z13" s="271"/>
      <c r="AA13" s="271"/>
      <c r="AB13" s="307" t="e">
        <f ca="1">VLOOKUP(USG!E37,$P$3:$Q$41,2,FALSE)-VLOOKUP(USG!E37,$V$3:$W$41,2,FALSE)</f>
        <v>#N/A</v>
      </c>
    </row>
    <row r="14" spans="2:28" ht="15.65" customHeight="1" x14ac:dyDescent="0.35">
      <c r="B14" s="541" t="s">
        <v>17</v>
      </c>
      <c r="C14" s="481">
        <v>-5</v>
      </c>
      <c r="D14" s="481">
        <v>-1</v>
      </c>
      <c r="E14" s="481">
        <v>-1</v>
      </c>
      <c r="F14" s="481">
        <v>-1.25</v>
      </c>
      <c r="G14" s="481">
        <v>-1.25</v>
      </c>
      <c r="H14" s="481">
        <v>-1.25</v>
      </c>
      <c r="I14" s="481">
        <v>-1</v>
      </c>
      <c r="J14" s="481">
        <v>-1</v>
      </c>
      <c r="K14" s="481">
        <v>-1</v>
      </c>
      <c r="L14" s="481">
        <v>-1</v>
      </c>
      <c r="M14" s="481">
        <v>-1</v>
      </c>
      <c r="N14" s="546">
        <v>-1</v>
      </c>
      <c r="P14" s="326">
        <f t="shared" si="1"/>
        <v>46691</v>
      </c>
      <c r="Q14" s="84">
        <f>BBG!E16</f>
        <v>76.84</v>
      </c>
      <c r="R14">
        <f>BBG!F16</f>
        <v>76.78</v>
      </c>
      <c r="S14" s="326">
        <f t="shared" si="2"/>
        <v>46721</v>
      </c>
      <c r="T14" s="279">
        <f>BBG!K16</f>
        <v>82.43</v>
      </c>
      <c r="U14" s="279">
        <f>BBG!L16</f>
        <v>82.03</v>
      </c>
      <c r="V14" s="327">
        <f t="shared" ca="1" si="3"/>
        <v>46660</v>
      </c>
      <c r="W14" s="271">
        <f>BBG!E74</f>
        <v>76.55</v>
      </c>
      <c r="X14" s="271">
        <f>BBG!K74</f>
        <v>82.36</v>
      </c>
      <c r="Y14" s="271">
        <f t="shared" si="0"/>
        <v>-5.8100000000000023</v>
      </c>
      <c r="Z14" s="271"/>
      <c r="AA14" s="271"/>
      <c r="AB14" s="307" t="e">
        <f ca="1">VLOOKUP(USG!E38,$P$3:$Q$41,2,FALSE)-VLOOKUP(USG!E38,$V$3:$W$41,2,FALSE)</f>
        <v>#N/A</v>
      </c>
    </row>
    <row r="15" spans="2:28" ht="15.65" customHeight="1" x14ac:dyDescent="0.35">
      <c r="B15" s="541" t="s">
        <v>18</v>
      </c>
      <c r="C15" s="481">
        <v>-5.65</v>
      </c>
      <c r="D15" s="481">
        <v>-1.65</v>
      </c>
      <c r="E15" s="481">
        <v>-1.65</v>
      </c>
      <c r="F15" s="481">
        <v>-1.9</v>
      </c>
      <c r="G15" s="481">
        <v>-1.9</v>
      </c>
      <c r="H15" s="481">
        <v>-1.9</v>
      </c>
      <c r="I15" s="481">
        <v>-1.65</v>
      </c>
      <c r="J15" s="481">
        <v>-1.65</v>
      </c>
      <c r="K15" s="481">
        <v>-1.65</v>
      </c>
      <c r="L15" s="481">
        <v>-1.65</v>
      </c>
      <c r="M15" s="481">
        <v>-1.65</v>
      </c>
      <c r="N15" s="546">
        <v>-1.65</v>
      </c>
      <c r="P15" s="326">
        <f t="shared" si="1"/>
        <v>46721</v>
      </c>
      <c r="Q15" s="84">
        <f>BBG!E17</f>
        <v>76.12</v>
      </c>
      <c r="R15">
        <f>BBG!F17</f>
        <v>76.100000000000009</v>
      </c>
      <c r="S15" s="326">
        <f t="shared" si="2"/>
        <v>46752</v>
      </c>
      <c r="T15" s="279">
        <f>BBG!K17</f>
        <v>81.58</v>
      </c>
      <c r="U15" s="279">
        <f>BBG!L17</f>
        <v>81.25</v>
      </c>
      <c r="V15" s="327">
        <f t="shared" ca="1" si="3"/>
        <v>46691</v>
      </c>
      <c r="W15" s="271">
        <f>BBG!E75</f>
        <v>75.819999999999993</v>
      </c>
      <c r="X15" s="271">
        <f>BBG!K75</f>
        <v>81.52</v>
      </c>
      <c r="Y15" s="271">
        <f t="shared" si="0"/>
        <v>-5.7000000000000028</v>
      </c>
      <c r="Z15" s="271"/>
      <c r="AA15" s="271"/>
      <c r="AB15" s="307" t="e">
        <f ca="1">VLOOKUP(USG!E39,$P$3:$Q$41,2,FALSE)-VLOOKUP(USG!E39,$V$3:$W$41,2,FALSE)</f>
        <v>#N/A</v>
      </c>
    </row>
    <row r="16" spans="2:28" ht="15.65" customHeight="1" x14ac:dyDescent="0.35">
      <c r="B16" s="541" t="s">
        <v>19</v>
      </c>
      <c r="C16" s="481">
        <v>-5.35</v>
      </c>
      <c r="D16" s="481">
        <v>-1.35</v>
      </c>
      <c r="E16" s="481">
        <v>-1.35</v>
      </c>
      <c r="F16" s="481">
        <v>-1.6</v>
      </c>
      <c r="G16" s="481">
        <v>-1.6</v>
      </c>
      <c r="H16" s="481">
        <v>-1.6</v>
      </c>
      <c r="I16" s="481">
        <v>-1.35</v>
      </c>
      <c r="J16" s="481">
        <v>-1.35</v>
      </c>
      <c r="K16" s="481">
        <v>-1.35</v>
      </c>
      <c r="L16" s="481">
        <v>-1.35</v>
      </c>
      <c r="M16" s="481">
        <v>-1.35</v>
      </c>
      <c r="N16" s="546">
        <v>-1.35</v>
      </c>
      <c r="P16" s="326">
        <f t="shared" si="1"/>
        <v>46752</v>
      </c>
      <c r="Q16" s="84">
        <f>BBG!E18</f>
        <v>75.36</v>
      </c>
      <c r="R16">
        <f>BBG!F18</f>
        <v>75.44</v>
      </c>
      <c r="S16" s="326">
        <f t="shared" si="2"/>
        <v>46783</v>
      </c>
      <c r="T16" s="279">
        <f>BBG!K18</f>
        <v>80.81</v>
      </c>
      <c r="U16" s="279">
        <f>BBG!L18</f>
        <v>80.510000000000005</v>
      </c>
      <c r="V16" s="327">
        <f t="shared" ca="1" si="3"/>
        <v>46721</v>
      </c>
      <c r="W16" s="271">
        <f>BBG!E76</f>
        <v>75.17</v>
      </c>
      <c r="X16" s="271">
        <f>BBG!K76</f>
        <v>80.72</v>
      </c>
      <c r="Y16" s="271">
        <f t="shared" si="0"/>
        <v>-5.5499999999999972</v>
      </c>
      <c r="Z16" s="271"/>
      <c r="AA16" s="271"/>
      <c r="AB16" s="307" t="e">
        <f ca="1">VLOOKUP(USG!E40,$P$3:$Q$41,2,FALSE)-VLOOKUP(USG!E40,$V$3:$W$41,2,FALSE)</f>
        <v>#N/A</v>
      </c>
    </row>
    <row r="17" spans="2:28" ht="15.65" customHeight="1" x14ac:dyDescent="0.35">
      <c r="B17" s="541" t="s">
        <v>20</v>
      </c>
      <c r="C17" s="481">
        <v>-4</v>
      </c>
      <c r="D17" s="481">
        <v>0</v>
      </c>
      <c r="E17" s="481">
        <v>0</v>
      </c>
      <c r="F17" s="481">
        <v>-0.25</v>
      </c>
      <c r="G17" s="481">
        <v>-0.25</v>
      </c>
      <c r="H17" s="481">
        <v>-0.25</v>
      </c>
      <c r="I17" s="481">
        <v>0</v>
      </c>
      <c r="J17" s="481">
        <v>0</v>
      </c>
      <c r="K17" s="481">
        <v>0</v>
      </c>
      <c r="L17" s="481">
        <v>0</v>
      </c>
      <c r="M17" s="481">
        <v>0</v>
      </c>
      <c r="N17" s="546">
        <v>0</v>
      </c>
      <c r="P17" s="326">
        <f t="shared" si="1"/>
        <v>46783</v>
      </c>
      <c r="Q17" s="84">
        <f>BBG!E19</f>
        <v>74.790000000000006</v>
      </c>
      <c r="R17">
        <f>BBG!F19</f>
        <v>74.84</v>
      </c>
      <c r="S17" s="326">
        <f t="shared" si="2"/>
        <v>46812</v>
      </c>
      <c r="T17" s="279">
        <f>BBG!K19</f>
        <v>80.069999999999993</v>
      </c>
      <c r="U17" s="279">
        <f>BBG!L19</f>
        <v>79.820000000000007</v>
      </c>
      <c r="V17" s="327">
        <f t="shared" ca="1" si="3"/>
        <v>46752</v>
      </c>
      <c r="W17" s="271">
        <f>BBG!E77</f>
        <v>74.47</v>
      </c>
      <c r="X17" s="271">
        <f>BBG!K77</f>
        <v>79.95</v>
      </c>
      <c r="Y17" s="271">
        <f t="shared" si="0"/>
        <v>-5.480000000000004</v>
      </c>
      <c r="Z17" s="271"/>
      <c r="AA17" s="271"/>
      <c r="AB17" s="307" t="e">
        <f ca="1">VLOOKUP(USG!G41,$P$3:$Q$41,2,FALSE)-VLOOKUP(USG!G41,$V$3:$W$41,2,FALSE)</f>
        <v>#N/A</v>
      </c>
    </row>
    <row r="18" spans="2:28" ht="15.65" customHeight="1" x14ac:dyDescent="0.35">
      <c r="B18" s="541" t="s">
        <v>21</v>
      </c>
      <c r="C18" s="481">
        <v>-6</v>
      </c>
      <c r="D18" s="481">
        <v>-3</v>
      </c>
      <c r="E18" s="481">
        <v>-3</v>
      </c>
      <c r="F18" s="481">
        <v>-2.25</v>
      </c>
      <c r="G18" s="481">
        <v>-2.25</v>
      </c>
      <c r="H18" s="481">
        <v>-2.25</v>
      </c>
      <c r="I18" s="481">
        <v>-1.5</v>
      </c>
      <c r="J18" s="481">
        <v>-1.5</v>
      </c>
      <c r="K18" s="481">
        <v>-1.5</v>
      </c>
      <c r="L18" s="481">
        <v>-1.25</v>
      </c>
      <c r="M18" s="481">
        <v>-1.25</v>
      </c>
      <c r="N18" s="546">
        <v>-1.25</v>
      </c>
      <c r="P18" s="326">
        <f t="shared" si="1"/>
        <v>46812</v>
      </c>
      <c r="Q18" s="84">
        <f>BBG!E20</f>
        <v>74.19</v>
      </c>
      <c r="R18">
        <f>BBG!F20</f>
        <v>74.27</v>
      </c>
      <c r="S18" s="326">
        <f t="shared" si="2"/>
        <v>46843</v>
      </c>
      <c r="T18" s="279">
        <f>BBG!K20</f>
        <v>79.41</v>
      </c>
      <c r="U18" s="279">
        <f>BBG!L20</f>
        <v>79.22</v>
      </c>
      <c r="V18" s="327">
        <f t="shared" ca="1" si="3"/>
        <v>46783</v>
      </c>
      <c r="W18" s="271">
        <f>BBG!E78</f>
        <v>73.89</v>
      </c>
      <c r="X18" s="271">
        <f>BBG!K78</f>
        <v>79.33</v>
      </c>
      <c r="Y18" s="271">
        <f t="shared" si="0"/>
        <v>-5.4399999999999977</v>
      </c>
      <c r="Z18" s="271"/>
      <c r="AA18" s="271"/>
      <c r="AB18" s="307" t="e">
        <f ca="1">VLOOKUP(USG!G42,$P$3:$Q$41,2,FALSE)-VLOOKUP(USG!G42,$V$3:$W$41,2,FALSE)</f>
        <v>#N/A</v>
      </c>
    </row>
    <row r="19" spans="2:28" ht="15.65" customHeight="1" x14ac:dyDescent="0.35">
      <c r="B19" s="559" t="s">
        <v>22</v>
      </c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1"/>
      <c r="P19" s="326">
        <f t="shared" si="1"/>
        <v>46843</v>
      </c>
      <c r="Q19" s="84">
        <f>BBG!E21</f>
        <v>73.650000000000006</v>
      </c>
      <c r="R19">
        <f>BBG!F21</f>
        <v>73.760000000000005</v>
      </c>
      <c r="S19" s="326">
        <f t="shared" si="2"/>
        <v>46873</v>
      </c>
      <c r="T19" s="279">
        <f>BBG!K21</f>
        <v>78.819999999999993</v>
      </c>
      <c r="U19" s="279">
        <f>BBG!L21</f>
        <v>78.69</v>
      </c>
      <c r="V19" s="327">
        <f t="shared" ca="1" si="3"/>
        <v>46812</v>
      </c>
      <c r="W19" s="271">
        <f>BBG!E79</f>
        <v>73.41</v>
      </c>
      <c r="X19" s="271">
        <f>BBG!K79</f>
        <v>78.73</v>
      </c>
      <c r="Y19" s="271">
        <f t="shared" si="0"/>
        <v>-5.3200000000000074</v>
      </c>
      <c r="Z19" s="271"/>
      <c r="AA19" s="271"/>
      <c r="AB19" s="307" t="e">
        <f ca="1">VLOOKUP(USG!G43,$P$3:$Q$41,2,FALSE)-VLOOKUP(USG!G43,$V$3:$W$41,2,FALSE)</f>
        <v>#N/A</v>
      </c>
    </row>
    <row r="20" spans="2:28" ht="15.65" customHeight="1" x14ac:dyDescent="0.35">
      <c r="B20" s="541" t="s">
        <v>7</v>
      </c>
      <c r="C20" s="543">
        <v>46296</v>
      </c>
      <c r="D20" s="543">
        <v>46327</v>
      </c>
      <c r="E20" s="543">
        <v>46357</v>
      </c>
      <c r="F20" s="543">
        <v>46388</v>
      </c>
      <c r="G20" s="543">
        <v>46419</v>
      </c>
      <c r="H20" s="543">
        <v>46447</v>
      </c>
      <c r="I20" s="543">
        <v>46478</v>
      </c>
      <c r="J20" s="543">
        <v>46508</v>
      </c>
      <c r="K20" s="543">
        <v>46539</v>
      </c>
      <c r="L20" s="543">
        <v>46569</v>
      </c>
      <c r="M20" s="543">
        <v>46600</v>
      </c>
      <c r="N20" s="545">
        <v>46631</v>
      </c>
      <c r="P20" s="326">
        <f t="shared" si="1"/>
        <v>46873</v>
      </c>
      <c r="Q20" s="84">
        <f>BBG!E22</f>
        <v>73.150000000000006</v>
      </c>
      <c r="R20">
        <f>BBG!F22</f>
        <v>73.290000000000006</v>
      </c>
      <c r="S20" s="326">
        <f t="shared" si="2"/>
        <v>46904</v>
      </c>
      <c r="T20" s="279">
        <f>BBG!K22</f>
        <v>78.290000000000006</v>
      </c>
      <c r="U20" s="279">
        <f>BBG!L22</f>
        <v>78.22</v>
      </c>
      <c r="V20" s="327">
        <f t="shared" ca="1" si="3"/>
        <v>46843</v>
      </c>
      <c r="W20" s="271">
        <f>BBG!E80</f>
        <v>72.87</v>
      </c>
      <c r="X20" s="271">
        <f>BBG!K80</f>
        <v>78.2</v>
      </c>
      <c r="Y20" s="271">
        <f t="shared" si="0"/>
        <v>-5.3299999999999983</v>
      </c>
      <c r="Z20" s="271"/>
      <c r="AA20" s="271"/>
      <c r="AB20" s="307" t="e">
        <f ca="1">VLOOKUP(USG!G44,$P$3:$Q$41,2,FALSE)-VLOOKUP(USG!G44,$V$3:$W$41,2,FALSE)</f>
        <v>#N/A</v>
      </c>
    </row>
    <row r="21" spans="2:28" ht="15.65" customHeight="1" x14ac:dyDescent="0.35">
      <c r="B21" s="541" t="s">
        <v>23</v>
      </c>
      <c r="C21" s="481">
        <v>1</v>
      </c>
      <c r="D21" s="481">
        <v>1</v>
      </c>
      <c r="E21" s="481">
        <v>1</v>
      </c>
      <c r="F21" s="481">
        <v>1</v>
      </c>
      <c r="G21" s="481">
        <v>1</v>
      </c>
      <c r="H21" s="481">
        <v>1</v>
      </c>
      <c r="I21" s="481">
        <v>1</v>
      </c>
      <c r="J21" s="481">
        <v>1</v>
      </c>
      <c r="K21" s="481">
        <v>1</v>
      </c>
      <c r="L21" s="481">
        <v>1</v>
      </c>
      <c r="M21" s="481">
        <v>1</v>
      </c>
      <c r="N21" s="546">
        <v>1</v>
      </c>
      <c r="P21" s="326">
        <f t="shared" si="1"/>
        <v>46904</v>
      </c>
      <c r="Q21" s="84">
        <f>BBG!E23</f>
        <v>72.69</v>
      </c>
      <c r="R21">
        <f>BBG!F23</f>
        <v>72.87</v>
      </c>
      <c r="S21" s="326">
        <f t="shared" si="2"/>
        <v>46934</v>
      </c>
      <c r="T21" s="279">
        <f>BBG!K23</f>
        <v>77.75</v>
      </c>
      <c r="U21" s="279">
        <f>BBG!L23</f>
        <v>77.78</v>
      </c>
      <c r="V21" s="327">
        <f t="shared" ca="1" si="3"/>
        <v>46873</v>
      </c>
      <c r="W21" s="271">
        <f>BBG!E81</f>
        <v>72.42</v>
      </c>
      <c r="X21" s="271">
        <f>BBG!K81</f>
        <v>77.72</v>
      </c>
      <c r="Y21" s="271">
        <f t="shared" si="0"/>
        <v>-5.2999999999999972</v>
      </c>
      <c r="Z21" s="271"/>
      <c r="AA21" s="271"/>
      <c r="AB21" s="307" t="e">
        <f>VLOOKUP(USG!#REF!,$P$3:$Q$41,2,FALSE)-VLOOKUP(USG!#REF!,$V$3:$W$41,2,FALSE)</f>
        <v>#REF!</v>
      </c>
    </row>
    <row r="22" spans="2:28" ht="15.65" customHeight="1" x14ac:dyDescent="0.35">
      <c r="B22" s="541" t="s">
        <v>24</v>
      </c>
      <c r="C22" s="481">
        <v>1.1499999999999999</v>
      </c>
      <c r="D22" s="481">
        <v>1.1499999999999999</v>
      </c>
      <c r="E22" s="481">
        <v>1.1499999999999999</v>
      </c>
      <c r="F22" s="481">
        <v>1.1499999999999999</v>
      </c>
      <c r="G22" s="481">
        <v>1.1499999999999999</v>
      </c>
      <c r="H22" s="481">
        <v>1.1499999999999999</v>
      </c>
      <c r="I22" s="481">
        <v>1.1499999999999999</v>
      </c>
      <c r="J22" s="481">
        <v>1.1499999999999999</v>
      </c>
      <c r="K22" s="481">
        <v>1.1499999999999999</v>
      </c>
      <c r="L22" s="481">
        <v>1.1499999999999999</v>
      </c>
      <c r="M22" s="481">
        <v>1.1499999999999999</v>
      </c>
      <c r="N22" s="546">
        <v>1.1499999999999999</v>
      </c>
      <c r="P22" s="326">
        <f t="shared" si="1"/>
        <v>46934</v>
      </c>
      <c r="Q22" s="84">
        <f>BBG!E24</f>
        <v>72.150000000000006</v>
      </c>
      <c r="R22">
        <f>BBG!F24</f>
        <v>72.460000000000008</v>
      </c>
      <c r="S22" s="326">
        <f t="shared" si="2"/>
        <v>46965</v>
      </c>
      <c r="T22" s="279">
        <f>BBG!K24</f>
        <v>77.31</v>
      </c>
      <c r="U22" s="279">
        <f>BBG!L24</f>
        <v>77.34</v>
      </c>
      <c r="V22" s="327">
        <f t="shared" ca="1" si="3"/>
        <v>46904</v>
      </c>
      <c r="W22" s="271">
        <f>BBG!E82</f>
        <v>71.989999999999995</v>
      </c>
      <c r="X22" s="271">
        <f>BBG!K82</f>
        <v>77.239999999999995</v>
      </c>
      <c r="Y22" s="271">
        <f t="shared" si="0"/>
        <v>-5.25</v>
      </c>
      <c r="Z22" s="271"/>
      <c r="AA22" s="271"/>
      <c r="AB22" s="307" t="e">
        <f>VLOOKUP(#REF!,$P$3:$Q$41,2,FALSE)-VLOOKUP(#REF!,$V$3:$W$41,2,FALSE)</f>
        <v>#REF!</v>
      </c>
    </row>
    <row r="23" spans="2:28" ht="15.65" customHeight="1" x14ac:dyDescent="0.35">
      <c r="B23" s="541" t="s">
        <v>473</v>
      </c>
      <c r="C23" s="481">
        <v>0.3</v>
      </c>
      <c r="D23" s="481">
        <v>0.3</v>
      </c>
      <c r="E23" s="481">
        <v>0.3</v>
      </c>
      <c r="F23" s="481">
        <v>0.3</v>
      </c>
      <c r="G23" s="481">
        <v>0.3</v>
      </c>
      <c r="H23" s="481">
        <v>0.3</v>
      </c>
      <c r="I23" s="481">
        <v>0.3</v>
      </c>
      <c r="J23" s="481">
        <v>0.3</v>
      </c>
      <c r="K23" s="481">
        <v>0.3</v>
      </c>
      <c r="L23" s="481">
        <v>0.3</v>
      </c>
      <c r="M23" s="481">
        <v>0.3</v>
      </c>
      <c r="N23" s="546">
        <v>0.3</v>
      </c>
      <c r="P23" s="326">
        <f t="shared" si="1"/>
        <v>46965</v>
      </c>
      <c r="Q23" s="84">
        <f>BBG!E25</f>
        <v>71.790000000000006</v>
      </c>
      <c r="R23">
        <f>BBG!F25</f>
        <v>72.03</v>
      </c>
      <c r="S23" s="326">
        <f t="shared" si="2"/>
        <v>46996</v>
      </c>
      <c r="T23" s="279">
        <f>BBG!K25</f>
        <v>76.83</v>
      </c>
      <c r="U23" s="279">
        <f>BBG!L25</f>
        <v>76.89</v>
      </c>
      <c r="V23" s="327">
        <f t="shared" ca="1" si="3"/>
        <v>46934</v>
      </c>
      <c r="W23" s="271">
        <f>BBG!E83</f>
        <v>71.489999999999995</v>
      </c>
      <c r="X23" s="271">
        <f>BBG!K83</f>
        <v>76.760000000000005</v>
      </c>
      <c r="Y23" s="271">
        <f t="shared" si="0"/>
        <v>-5.2700000000000102</v>
      </c>
      <c r="Z23" s="271"/>
      <c r="AA23" s="271"/>
      <c r="AB23" s="307" t="e">
        <f>VLOOKUP(#REF!,$P$3:$Q$41,2,FALSE)-VLOOKUP(#REF!,$V$3:$W$41,2,FALSE)</f>
        <v>#REF!</v>
      </c>
    </row>
    <row r="24" spans="2:28" ht="15.65" customHeight="1" x14ac:dyDescent="0.35">
      <c r="B24" s="541" t="s">
        <v>474</v>
      </c>
      <c r="C24" s="481">
        <v>1.35</v>
      </c>
      <c r="D24" s="481">
        <v>1.35</v>
      </c>
      <c r="E24" s="481">
        <v>1.35</v>
      </c>
      <c r="F24" s="481">
        <v>1.35</v>
      </c>
      <c r="G24" s="481">
        <v>1.35</v>
      </c>
      <c r="H24" s="481">
        <v>1.35</v>
      </c>
      <c r="I24" s="481">
        <v>1.35</v>
      </c>
      <c r="J24" s="481">
        <v>1.35</v>
      </c>
      <c r="K24" s="481">
        <v>1.35</v>
      </c>
      <c r="L24" s="481">
        <v>1.35</v>
      </c>
      <c r="M24" s="481">
        <v>1.35</v>
      </c>
      <c r="N24" s="546">
        <v>1.35</v>
      </c>
      <c r="P24" s="326">
        <f t="shared" si="1"/>
        <v>46996</v>
      </c>
      <c r="Q24" s="84">
        <f>BBG!E26</f>
        <v>71.33</v>
      </c>
      <c r="R24">
        <f>BBG!F26</f>
        <v>71.62</v>
      </c>
      <c r="S24" s="326">
        <f t="shared" si="2"/>
        <v>47026</v>
      </c>
      <c r="T24" s="279">
        <f>BBG!K26</f>
        <v>76.36</v>
      </c>
      <c r="U24" s="279">
        <f>BBG!L26</f>
        <v>76.460000000000008</v>
      </c>
      <c r="V24" s="327">
        <f t="shared" ca="1" si="3"/>
        <v>46965</v>
      </c>
      <c r="W24" s="271">
        <f>BBG!E84</f>
        <v>71.06</v>
      </c>
      <c r="X24" s="271">
        <f>BBG!K84</f>
        <v>76.290000000000006</v>
      </c>
      <c r="Y24" s="271">
        <f t="shared" si="0"/>
        <v>-5.230000000000004</v>
      </c>
      <c r="Z24" s="271"/>
      <c r="AA24" s="271"/>
      <c r="AB24" s="307" t="e">
        <f>VLOOKUP(USG!#REF!,$P$3:$Q$41,2,FALSE)-VLOOKUP(USG!#REF!,$V$3:$W$41,2,FALSE)</f>
        <v>#REF!</v>
      </c>
    </row>
    <row r="25" spans="2:28" ht="15.65" customHeight="1" x14ac:dyDescent="0.35">
      <c r="B25" s="541" t="s">
        <v>25</v>
      </c>
      <c r="C25" s="481">
        <v>0.3</v>
      </c>
      <c r="D25" s="481">
        <v>0.3</v>
      </c>
      <c r="E25" s="481">
        <v>0.3</v>
      </c>
      <c r="F25" s="481">
        <v>0.3</v>
      </c>
      <c r="G25" s="481">
        <v>0.3</v>
      </c>
      <c r="H25" s="481">
        <v>0.3</v>
      </c>
      <c r="I25" s="481">
        <v>0.3</v>
      </c>
      <c r="J25" s="481">
        <v>0.3</v>
      </c>
      <c r="K25" s="481">
        <v>0.3</v>
      </c>
      <c r="L25" s="481">
        <v>0.3</v>
      </c>
      <c r="M25" s="481">
        <v>0.3</v>
      </c>
      <c r="N25" s="546">
        <v>0.3</v>
      </c>
      <c r="P25" s="326">
        <f t="shared" si="1"/>
        <v>47026</v>
      </c>
      <c r="Q25" s="84">
        <f>BBG!E27</f>
        <v>70.92</v>
      </c>
      <c r="R25">
        <f>BBG!F27</f>
        <v>71.239999999999995</v>
      </c>
      <c r="S25" s="326">
        <f t="shared" si="2"/>
        <v>47057</v>
      </c>
      <c r="T25" s="279">
        <f>BBG!K27</f>
        <v>75.89</v>
      </c>
      <c r="U25" s="279">
        <f>BBG!L27</f>
        <v>76.03</v>
      </c>
      <c r="V25" s="327">
        <f t="shared" ca="1" si="3"/>
        <v>46996</v>
      </c>
      <c r="W25" s="271">
        <f>BBG!E85</f>
        <v>70.67</v>
      </c>
      <c r="X25" s="271">
        <f>BBG!K85</f>
        <v>75.819999999999993</v>
      </c>
      <c r="Y25" s="271">
        <f t="shared" si="0"/>
        <v>-5.1499999999999915</v>
      </c>
      <c r="Z25" s="271"/>
      <c r="AA25" s="271"/>
      <c r="AB25" s="307" t="e">
        <f ca="1">VLOOKUP(USG!E24,$P$3:$Q$41,2,FALSE)-VLOOKUP(USG!E24,$V$3:$W$41,2,FALSE)</f>
        <v>#N/A</v>
      </c>
    </row>
    <row r="26" spans="2:28" ht="15.65" customHeight="1" x14ac:dyDescent="0.35">
      <c r="B26" s="541" t="s">
        <v>26</v>
      </c>
      <c r="C26" s="481">
        <v>0.3</v>
      </c>
      <c r="D26" s="481">
        <v>0.3</v>
      </c>
      <c r="E26" s="481">
        <v>0.3</v>
      </c>
      <c r="F26" s="481">
        <v>0.3</v>
      </c>
      <c r="G26" s="481">
        <v>0.3</v>
      </c>
      <c r="H26" s="481">
        <v>0.3</v>
      </c>
      <c r="I26" s="481">
        <v>0.3</v>
      </c>
      <c r="J26" s="481">
        <v>0.3</v>
      </c>
      <c r="K26" s="481">
        <v>0.3</v>
      </c>
      <c r="L26" s="481">
        <v>0.3</v>
      </c>
      <c r="M26" s="481">
        <v>0.3</v>
      </c>
      <c r="N26" s="546">
        <v>0.3</v>
      </c>
      <c r="P26" s="326">
        <f t="shared" si="1"/>
        <v>47057</v>
      </c>
      <c r="Q26" s="84">
        <f>BBG!E28</f>
        <v>70.53</v>
      </c>
      <c r="R26">
        <f>BBG!F28</f>
        <v>70.86</v>
      </c>
      <c r="S26" s="326">
        <f t="shared" si="2"/>
        <v>47087</v>
      </c>
      <c r="T26" s="279">
        <f>BBG!K28</f>
        <v>75.45</v>
      </c>
      <c r="U26" s="279">
        <f>BBG!L28</f>
        <v>75.63</v>
      </c>
      <c r="V26" s="327">
        <f t="shared" ca="1" si="3"/>
        <v>47026</v>
      </c>
      <c r="W26" s="271">
        <f>BBG!E86</f>
        <v>70.27</v>
      </c>
      <c r="X26" s="271">
        <f>BBG!K86</f>
        <v>75.38</v>
      </c>
      <c r="Y26" s="271">
        <f t="shared" si="0"/>
        <v>-5.1099999999999994</v>
      </c>
      <c r="Z26" s="271"/>
      <c r="AA26" s="271"/>
      <c r="AB26" s="307" t="e">
        <f>VLOOKUP(#REF!,$P$3:$Q$41,2,FALSE)-VLOOKUP(#REF!,$V$3:$W$41,2,FALSE)</f>
        <v>#REF!</v>
      </c>
    </row>
    <row r="27" spans="2:28" ht="15.65" customHeight="1" x14ac:dyDescent="0.35">
      <c r="B27" s="541" t="s">
        <v>27</v>
      </c>
      <c r="C27" s="481">
        <v>1.65</v>
      </c>
      <c r="D27" s="481">
        <v>1.65</v>
      </c>
      <c r="E27" s="481">
        <v>1.65</v>
      </c>
      <c r="F27" s="481">
        <v>1.65</v>
      </c>
      <c r="G27" s="481">
        <v>1.65</v>
      </c>
      <c r="H27" s="481">
        <v>1.65</v>
      </c>
      <c r="I27" s="481">
        <v>1.65</v>
      </c>
      <c r="J27" s="481">
        <v>1.65</v>
      </c>
      <c r="K27" s="481">
        <v>1.65</v>
      </c>
      <c r="L27" s="481">
        <v>1.65</v>
      </c>
      <c r="M27" s="481">
        <v>1.65</v>
      </c>
      <c r="N27" s="546">
        <v>1.65</v>
      </c>
      <c r="P27" s="326">
        <f t="shared" si="1"/>
        <v>47087</v>
      </c>
      <c r="Q27" s="84">
        <f>BBG!E29</f>
        <v>70.180000000000007</v>
      </c>
      <c r="R27">
        <f>BBG!F29</f>
        <v>70.540000000000006</v>
      </c>
      <c r="S27" s="326">
        <f t="shared" si="2"/>
        <v>47118</v>
      </c>
      <c r="T27" s="279">
        <f>BBG!K29</f>
        <v>75.08</v>
      </c>
      <c r="U27" s="279">
        <f>BBG!L29</f>
        <v>75.290000000000006</v>
      </c>
      <c r="V27" s="327">
        <f t="shared" ca="1" si="3"/>
        <v>47057</v>
      </c>
      <c r="W27" s="271">
        <f>BBG!E87</f>
        <v>69.94</v>
      </c>
      <c r="X27" s="271">
        <f>BBG!K87</f>
        <v>75.02</v>
      </c>
      <c r="Y27" s="271">
        <f t="shared" si="0"/>
        <v>-5.0799999999999983</v>
      </c>
      <c r="Z27" s="271"/>
      <c r="AA27" s="271"/>
      <c r="AB27" s="307" t="e">
        <f>VLOOKUP(#REF!,$P$3:$Q$41,2,FALSE)-VLOOKUP(#REF!,$V$3:$W$41,2,FALSE)</f>
        <v>#REF!</v>
      </c>
    </row>
    <row r="28" spans="2:28" ht="15.65" customHeight="1" x14ac:dyDescent="0.35">
      <c r="B28" s="559" t="s">
        <v>28</v>
      </c>
      <c r="C28" s="560"/>
      <c r="D28" s="560"/>
      <c r="E28" s="560"/>
      <c r="F28" s="560"/>
      <c r="G28" s="560"/>
      <c r="H28" s="560"/>
      <c r="I28" s="560"/>
      <c r="J28" s="560"/>
      <c r="K28" s="560"/>
      <c r="L28" s="560"/>
      <c r="M28" s="560"/>
      <c r="N28" s="561"/>
      <c r="P28" s="326">
        <f t="shared" si="1"/>
        <v>47118</v>
      </c>
      <c r="Q28" s="84">
        <f>BBG!E30</f>
        <v>69.739999999999995</v>
      </c>
      <c r="R28">
        <f>BBG!F30</f>
        <v>70.239999999999995</v>
      </c>
      <c r="S28" s="326">
        <f t="shared" si="2"/>
        <v>47149</v>
      </c>
      <c r="T28" s="279">
        <f>BBG!K30</f>
        <v>74.680000000000007</v>
      </c>
      <c r="U28" s="279">
        <f>BBG!L30</f>
        <v>74.94</v>
      </c>
      <c r="V28" s="327">
        <f t="shared" ca="1" si="3"/>
        <v>47087</v>
      </c>
      <c r="W28" s="271">
        <f>BBG!E88</f>
        <v>69.599999999999994</v>
      </c>
      <c r="X28" s="271">
        <f>BBG!K88</f>
        <v>74.63</v>
      </c>
      <c r="Y28" s="271">
        <f t="shared" si="0"/>
        <v>-5.0300000000000011</v>
      </c>
      <c r="Z28" s="271"/>
      <c r="AA28" s="271"/>
      <c r="AB28" s="307" t="e">
        <f ca="1">VLOOKUP(USG!D1,$P$3:$Q$41,2,FALSE)-VLOOKUP(USG!D1,$V$3:$W$41,2,FALSE)</f>
        <v>#N/A</v>
      </c>
    </row>
    <row r="29" spans="2:28" ht="15.65" customHeight="1" x14ac:dyDescent="0.35">
      <c r="B29" s="541" t="s">
        <v>7</v>
      </c>
      <c r="C29" s="543">
        <v>46296</v>
      </c>
      <c r="D29" s="543">
        <v>46327</v>
      </c>
      <c r="E29" s="543">
        <v>46357</v>
      </c>
      <c r="F29" s="543">
        <v>46388</v>
      </c>
      <c r="G29" s="543">
        <v>46419</v>
      </c>
      <c r="H29" s="543">
        <v>46447</v>
      </c>
      <c r="I29" s="543">
        <v>46478</v>
      </c>
      <c r="J29" s="543">
        <v>46508</v>
      </c>
      <c r="K29" s="543">
        <v>46539</v>
      </c>
      <c r="L29" s="543">
        <v>46569</v>
      </c>
      <c r="M29" s="543">
        <v>46600</v>
      </c>
      <c r="N29" s="545">
        <v>46631</v>
      </c>
      <c r="P29" s="326">
        <f t="shared" si="1"/>
        <v>47149</v>
      </c>
      <c r="Q29" s="84">
        <f>BBG!E31</f>
        <v>69.47</v>
      </c>
      <c r="R29">
        <f>BBG!F31</f>
        <v>69.91</v>
      </c>
      <c r="S29" s="326">
        <f t="shared" si="2"/>
        <v>47177</v>
      </c>
      <c r="T29" s="279">
        <f>BBG!K31</f>
        <v>74.319999999999993</v>
      </c>
      <c r="U29" s="279">
        <f>BBG!L31</f>
        <v>74.61</v>
      </c>
      <c r="V29" s="327">
        <f t="shared" ca="1" si="3"/>
        <v>47118</v>
      </c>
      <c r="W29" s="271">
        <f>BBG!E89</f>
        <v>69.22</v>
      </c>
      <c r="X29" s="271">
        <f>BBG!K89</f>
        <v>74.260000000000005</v>
      </c>
      <c r="Y29" s="271">
        <f t="shared" si="0"/>
        <v>-5.0400000000000063</v>
      </c>
      <c r="Z29" s="271"/>
      <c r="AA29" s="271"/>
      <c r="AB29" s="307" t="e">
        <f ca="1">VLOOKUP(USG!D2,$P$3:$Q$41,2,FALSE)-VLOOKUP(USG!D2,$V$3:$W$41,2,FALSE)</f>
        <v>#N/A</v>
      </c>
    </row>
    <row r="30" spans="2:28" ht="15.65" customHeight="1" x14ac:dyDescent="0.35">
      <c r="B30" s="541" t="s">
        <v>29</v>
      </c>
      <c r="C30" s="481">
        <v>-15.25</v>
      </c>
      <c r="D30" s="481">
        <v>-13.1</v>
      </c>
      <c r="E30" s="481">
        <v>-12.55</v>
      </c>
      <c r="F30" s="481">
        <v>-11.85</v>
      </c>
      <c r="G30" s="481">
        <v>-11.45</v>
      </c>
      <c r="H30" s="481">
        <v>-11.05</v>
      </c>
      <c r="I30" s="481">
        <v>-10.6</v>
      </c>
      <c r="J30" s="481">
        <v>-10.15</v>
      </c>
      <c r="K30" s="481">
        <v>-9.6999999999999993</v>
      </c>
      <c r="L30" s="481">
        <v>-9.8000000000000007</v>
      </c>
      <c r="M30" s="481">
        <v>-9.9</v>
      </c>
      <c r="N30" s="546">
        <v>-10</v>
      </c>
      <c r="P30" s="326">
        <f t="shared" si="1"/>
        <v>47177</v>
      </c>
      <c r="Q30" s="84">
        <f>BBG!E32</f>
        <v>69.099999999999994</v>
      </c>
      <c r="R30">
        <f>BBG!F32</f>
        <v>69.55</v>
      </c>
      <c r="S30" s="326">
        <f t="shared" si="2"/>
        <v>47208</v>
      </c>
      <c r="T30" s="279">
        <f>BBG!K32</f>
        <v>74.040000000000006</v>
      </c>
      <c r="U30" s="279">
        <f>BBG!L32</f>
        <v>74.350000000000009</v>
      </c>
      <c r="V30" s="327">
        <f t="shared" ca="1" si="3"/>
        <v>47149</v>
      </c>
      <c r="W30" s="271">
        <f>BBG!E90</f>
        <v>68.86</v>
      </c>
      <c r="X30" s="271">
        <f>BBG!K90</f>
        <v>74</v>
      </c>
      <c r="Y30" s="271">
        <f t="shared" si="0"/>
        <v>-5.1400000000000006</v>
      </c>
      <c r="Z30" s="271"/>
      <c r="AA30" s="271"/>
      <c r="AB30" s="307" t="e">
        <f ca="1">VLOOKUP(USG!D4,$P$3:$Q$41,2,FALSE)-VLOOKUP(USG!D4,$V$3:$W$41,2,FALSE)</f>
        <v>#N/A</v>
      </c>
    </row>
    <row r="31" spans="2:28" ht="15.65" customHeight="1" x14ac:dyDescent="0.35">
      <c r="B31" s="541" t="s">
        <v>30</v>
      </c>
      <c r="C31" s="481">
        <v>-15.25</v>
      </c>
      <c r="D31" s="481">
        <v>-13.1</v>
      </c>
      <c r="E31" s="481">
        <v>-12.55</v>
      </c>
      <c r="F31" s="481">
        <v>-11.85</v>
      </c>
      <c r="G31" s="481">
        <v>-11.45</v>
      </c>
      <c r="H31" s="481">
        <v>-11.05</v>
      </c>
      <c r="I31" s="481">
        <v>-10.6</v>
      </c>
      <c r="J31" s="481">
        <v>-10.15</v>
      </c>
      <c r="K31" s="481">
        <v>-9.6999999999999993</v>
      </c>
      <c r="L31" s="481">
        <v>-9.8000000000000007</v>
      </c>
      <c r="M31" s="481">
        <v>-9.9</v>
      </c>
      <c r="N31" s="546">
        <v>-10</v>
      </c>
      <c r="P31" s="326">
        <f t="shared" si="1"/>
        <v>47208</v>
      </c>
      <c r="Q31" s="84">
        <f>BBG!E33</f>
        <v>68.739999999999995</v>
      </c>
      <c r="R31">
        <f>BBG!F33</f>
        <v>69.22</v>
      </c>
      <c r="S31" s="326">
        <f t="shared" si="2"/>
        <v>47238</v>
      </c>
      <c r="T31" s="279">
        <f>BBG!K33</f>
        <v>73.760000000000005</v>
      </c>
      <c r="U31" s="279">
        <f>BBG!L33</f>
        <v>74.09</v>
      </c>
      <c r="V31" s="327">
        <f t="shared" ca="1" si="3"/>
        <v>47177</v>
      </c>
      <c r="W31" s="271">
        <f>BBG!E91</f>
        <v>68.52</v>
      </c>
      <c r="X31" s="271">
        <f>BBG!K91</f>
        <v>73.72</v>
      </c>
      <c r="Y31" s="271">
        <f t="shared" si="0"/>
        <v>-5.2000000000000028</v>
      </c>
      <c r="Z31" s="271"/>
      <c r="AA31" s="271"/>
      <c r="AB31" s="307" t="e">
        <f ca="1">VLOOKUP(USG!D3,$P$3:$Q$41,2,FALSE)-VLOOKUP(USG!D3,$V$3:$W$41,2,FALSE)</f>
        <v>#N/A</v>
      </c>
    </row>
    <row r="32" spans="2:28" ht="15.65" customHeight="1" x14ac:dyDescent="0.35">
      <c r="B32" s="541" t="s">
        <v>31</v>
      </c>
      <c r="C32" s="481">
        <v>-15.5</v>
      </c>
      <c r="D32" s="481">
        <v>-13.35</v>
      </c>
      <c r="E32" s="481">
        <v>-12.8</v>
      </c>
      <c r="F32" s="481">
        <v>-12.1</v>
      </c>
      <c r="G32" s="481">
        <v>-11.7</v>
      </c>
      <c r="H32" s="481">
        <v>-11.3</v>
      </c>
      <c r="I32" s="481">
        <v>-10.85</v>
      </c>
      <c r="J32" s="481">
        <v>-10.4</v>
      </c>
      <c r="K32" s="481">
        <v>-9.9499999999999993</v>
      </c>
      <c r="L32" s="481">
        <v>-10.050000000000001</v>
      </c>
      <c r="M32" s="481">
        <v>-10.15</v>
      </c>
      <c r="N32" s="546">
        <v>-10.25</v>
      </c>
      <c r="P32" s="326">
        <f t="shared" si="1"/>
        <v>47238</v>
      </c>
      <c r="Q32" s="84">
        <f>BBG!E34</f>
        <v>68.400000000000006</v>
      </c>
      <c r="R32">
        <f>BBG!F34</f>
        <v>68.900000000000006</v>
      </c>
      <c r="S32" s="326">
        <f t="shared" si="2"/>
        <v>47269</v>
      </c>
      <c r="T32" s="279">
        <f>BBG!K34</f>
        <v>73.47</v>
      </c>
      <c r="U32" s="279">
        <f>BBG!L34</f>
        <v>73.820000000000007</v>
      </c>
      <c r="V32" s="327">
        <f t="shared" ca="1" si="3"/>
        <v>47208</v>
      </c>
      <c r="W32" s="271">
        <f>BBG!E92</f>
        <v>68.19</v>
      </c>
      <c r="X32" s="271">
        <f>BBG!K92</f>
        <v>73.430000000000007</v>
      </c>
      <c r="Y32" s="271">
        <f t="shared" si="0"/>
        <v>-5.2400000000000091</v>
      </c>
      <c r="Z32" s="271"/>
      <c r="AA32" s="271"/>
      <c r="AB32" s="307" t="e">
        <f ca="1">VLOOKUP(USG!D5,$P$3:$Q$41,2,FALSE)-VLOOKUP(USG!D5,$V$3:$W$41,2,FALSE)</f>
        <v>#N/A</v>
      </c>
    </row>
    <row r="33" spans="1:28" ht="15.65" customHeight="1" x14ac:dyDescent="0.35">
      <c r="B33" s="541" t="s">
        <v>32</v>
      </c>
      <c r="C33" s="481">
        <v>-14.25</v>
      </c>
      <c r="D33" s="481">
        <v>-12</v>
      </c>
      <c r="E33" s="481">
        <v>-11.45</v>
      </c>
      <c r="F33" s="481">
        <v>-11.05</v>
      </c>
      <c r="G33" s="481">
        <v>-10.65</v>
      </c>
      <c r="H33" s="481">
        <v>-10.25</v>
      </c>
      <c r="I33" s="481">
        <v>-9.8000000000000007</v>
      </c>
      <c r="J33" s="481">
        <v>-9.35</v>
      </c>
      <c r="K33" s="481">
        <v>-8.9</v>
      </c>
      <c r="L33" s="481">
        <v>-9</v>
      </c>
      <c r="M33" s="481">
        <v>-9.1</v>
      </c>
      <c r="N33" s="546">
        <v>-9.1999999999999993</v>
      </c>
      <c r="P33" s="326">
        <f t="shared" si="1"/>
        <v>47269</v>
      </c>
      <c r="Q33" s="84">
        <f>BBG!E35</f>
        <v>68.099999999999994</v>
      </c>
      <c r="R33">
        <f>BBG!F35</f>
        <v>68.600000000000009</v>
      </c>
      <c r="S33" s="326">
        <f t="shared" si="2"/>
        <v>47299</v>
      </c>
      <c r="T33" s="279">
        <f>BBG!K35</f>
        <v>73.17</v>
      </c>
      <c r="U33" s="279">
        <f>BBG!L35</f>
        <v>73.540000000000006</v>
      </c>
      <c r="V33" s="327">
        <f t="shared" ca="1" si="3"/>
        <v>47238</v>
      </c>
      <c r="W33" s="271">
        <f>BBG!E93</f>
        <v>67.88</v>
      </c>
      <c r="X33" s="271">
        <f>BBG!K93</f>
        <v>73.150000000000006</v>
      </c>
      <c r="Y33" s="271">
        <f t="shared" si="0"/>
        <v>-5.2700000000000102</v>
      </c>
      <c r="Z33" s="271"/>
      <c r="AA33" s="271"/>
      <c r="AB33" s="307" t="e">
        <f ca="1">VLOOKUP(USG!D6,$P$3:$Q$41,2,FALSE)-VLOOKUP(USG!D6,$V$3:$W$41,2,FALSE)</f>
        <v>#N/A</v>
      </c>
    </row>
    <row r="34" spans="1:28" ht="15.65" customHeight="1" x14ac:dyDescent="0.35">
      <c r="A34" s="67"/>
      <c r="B34" s="541" t="s">
        <v>33</v>
      </c>
      <c r="C34" s="481">
        <v>-14.25</v>
      </c>
      <c r="D34" s="481">
        <v>-12</v>
      </c>
      <c r="E34" s="481">
        <v>-11.45</v>
      </c>
      <c r="F34" s="481">
        <v>-11.05</v>
      </c>
      <c r="G34" s="481">
        <v>-10.65</v>
      </c>
      <c r="H34" s="481">
        <v>-10.25</v>
      </c>
      <c r="I34" s="481">
        <v>-9.8000000000000007</v>
      </c>
      <c r="J34" s="481">
        <v>-9.35</v>
      </c>
      <c r="K34" s="481">
        <v>-8.9</v>
      </c>
      <c r="L34" s="481">
        <v>-9</v>
      </c>
      <c r="M34" s="481">
        <v>-9.1</v>
      </c>
      <c r="N34" s="546">
        <v>-9.1999999999999993</v>
      </c>
      <c r="P34" s="326">
        <f t="shared" si="1"/>
        <v>47299</v>
      </c>
      <c r="Q34" s="84">
        <f>BBG!E36</f>
        <v>67.650000000000006</v>
      </c>
      <c r="R34">
        <f>BBG!F36</f>
        <v>68.27</v>
      </c>
      <c r="S34" s="326">
        <f t="shared" si="2"/>
        <v>47330</v>
      </c>
      <c r="T34" s="279">
        <f>BBG!K36</f>
        <v>72.849999999999994</v>
      </c>
      <c r="U34" s="279">
        <f>BBG!L36</f>
        <v>73.239999999999995</v>
      </c>
      <c r="V34" s="327">
        <f t="shared" ca="1" si="3"/>
        <v>47269</v>
      </c>
      <c r="W34" s="271">
        <f>BBG!E94</f>
        <v>67.55</v>
      </c>
      <c r="X34" s="271">
        <f>BBG!K94</f>
        <v>72.84</v>
      </c>
      <c r="Y34" s="271">
        <f t="shared" si="0"/>
        <v>-5.2900000000000063</v>
      </c>
      <c r="Z34" s="271"/>
      <c r="AA34" s="271"/>
      <c r="AB34" s="307" t="e">
        <f ca="1">VLOOKUP(USG!D7,$P$3:$Q$41,2,FALSE)-VLOOKUP(USG!D7,$V$3:$W$41,2,FALSE)</f>
        <v>#N/A</v>
      </c>
    </row>
    <row r="35" spans="1:28" ht="15.65" customHeight="1" x14ac:dyDescent="0.35">
      <c r="A35" s="68"/>
      <c r="B35" s="541" t="s">
        <v>34</v>
      </c>
      <c r="C35" s="481">
        <v>-15.45</v>
      </c>
      <c r="D35" s="481">
        <v>-13.2</v>
      </c>
      <c r="E35" s="481">
        <v>-12.65</v>
      </c>
      <c r="F35" s="481">
        <v>-12.25</v>
      </c>
      <c r="G35" s="481">
        <v>-11.85</v>
      </c>
      <c r="H35" s="481">
        <v>-11.45</v>
      </c>
      <c r="I35" s="481">
        <v>-11</v>
      </c>
      <c r="J35" s="481">
        <v>-10.55</v>
      </c>
      <c r="K35" s="481">
        <v>-10.1</v>
      </c>
      <c r="L35" s="481">
        <v>-10.199999999999999</v>
      </c>
      <c r="M35" s="481">
        <v>-10.3</v>
      </c>
      <c r="N35" s="546">
        <v>-10.4</v>
      </c>
      <c r="P35" s="326">
        <f t="shared" si="1"/>
        <v>47330</v>
      </c>
      <c r="Q35" s="84">
        <f>BBG!E37</f>
        <v>67.41</v>
      </c>
      <c r="R35">
        <f>BBG!F37</f>
        <v>67.91</v>
      </c>
      <c r="S35" s="326">
        <f t="shared" si="2"/>
        <v>47361</v>
      </c>
      <c r="T35" s="279">
        <f>BBG!K37</f>
        <v>72.569999999999993</v>
      </c>
      <c r="U35" s="279">
        <f>BBG!L37</f>
        <v>72.97</v>
      </c>
      <c r="V35" s="327">
        <f t="shared" ca="1" si="3"/>
        <v>47299</v>
      </c>
      <c r="W35" s="271">
        <f>BBG!E95</f>
        <v>67.180000000000007</v>
      </c>
      <c r="X35" s="271">
        <f>BBG!K95</f>
        <v>72.56</v>
      </c>
      <c r="Y35" s="271">
        <f t="shared" si="0"/>
        <v>-5.3799999999999955</v>
      </c>
      <c r="Z35" s="271"/>
      <c r="AA35" s="271"/>
      <c r="AB35" s="307" t="e">
        <f ca="1">VLOOKUP(USG!D8,$P$3:$Q$41,2,FALSE)-VLOOKUP(USG!D8,$V$3:$W$41,2,FALSE)</f>
        <v>#N/A</v>
      </c>
    </row>
    <row r="36" spans="1:28" ht="15.65" customHeight="1" x14ac:dyDescent="0.35">
      <c r="A36" s="101"/>
      <c r="B36" s="541" t="s">
        <v>35</v>
      </c>
      <c r="C36" s="481">
        <v>-16.25</v>
      </c>
      <c r="D36" s="481">
        <v>-14.1</v>
      </c>
      <c r="E36" s="481">
        <v>-13.55</v>
      </c>
      <c r="F36" s="481">
        <v>-12.85</v>
      </c>
      <c r="G36" s="481">
        <v>-12.45</v>
      </c>
      <c r="H36" s="481">
        <v>-12.05</v>
      </c>
      <c r="I36" s="481">
        <v>-11.6</v>
      </c>
      <c r="J36" s="481">
        <v>-11.15</v>
      </c>
      <c r="K36" s="481">
        <v>-10.7</v>
      </c>
      <c r="L36" s="481">
        <v>-10.8</v>
      </c>
      <c r="M36" s="481">
        <v>-10.9</v>
      </c>
      <c r="N36" s="546">
        <v>-11</v>
      </c>
      <c r="P36" s="326">
        <f t="shared" si="1"/>
        <v>47361</v>
      </c>
      <c r="Q36" s="84">
        <f>BBG!E38</f>
        <v>67.099999999999994</v>
      </c>
      <c r="R36">
        <f>BBG!F38</f>
        <v>67.61</v>
      </c>
      <c r="S36" s="326">
        <f t="shared" si="2"/>
        <v>47391</v>
      </c>
      <c r="T36" s="279">
        <f>BBG!K38</f>
        <v>72.28</v>
      </c>
      <c r="U36" s="279">
        <f>BBG!L38</f>
        <v>72.69</v>
      </c>
      <c r="V36" s="327">
        <f t="shared" ca="1" si="3"/>
        <v>47330</v>
      </c>
      <c r="W36" s="271">
        <f>BBG!E96</f>
        <v>66.88</v>
      </c>
      <c r="X36" s="271">
        <f>BBG!K96</f>
        <v>72.27</v>
      </c>
      <c r="Y36" s="271">
        <f t="shared" si="0"/>
        <v>-5.3900000000000006</v>
      </c>
      <c r="Z36" s="271"/>
      <c r="AA36" s="271"/>
      <c r="AB36" s="307" t="e">
        <f ca="1">VLOOKUP(USG!D10,$P$3:$Q$41,2,FALSE)-VLOOKUP(USG!D10,$V$3:$W$41,2,FALSE)</f>
        <v>#N/A</v>
      </c>
    </row>
    <row r="37" spans="1:28" ht="15.65" customHeight="1" x14ac:dyDescent="0.35">
      <c r="A37" s="101"/>
      <c r="B37" s="559" t="s">
        <v>36</v>
      </c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1"/>
      <c r="P37" s="326">
        <f t="shared" si="1"/>
        <v>47391</v>
      </c>
      <c r="Q37" s="84">
        <f>BBG!E39</f>
        <v>66.78</v>
      </c>
      <c r="R37">
        <f>BBG!F39</f>
        <v>67.3</v>
      </c>
      <c r="S37" s="326">
        <f t="shared" si="2"/>
        <v>47422</v>
      </c>
      <c r="T37" s="279">
        <f>BBG!K39</f>
        <v>72</v>
      </c>
      <c r="U37" s="279">
        <f>BBG!L39</f>
        <v>72.42</v>
      </c>
      <c r="V37" s="327">
        <f t="shared" ca="1" si="3"/>
        <v>47361</v>
      </c>
      <c r="W37" s="271">
        <f>BBG!E97</f>
        <v>66.56</v>
      </c>
      <c r="X37" s="271">
        <f>BBG!K97</f>
        <v>71.989999999999995</v>
      </c>
      <c r="Y37" s="271">
        <f t="shared" si="0"/>
        <v>-5.4299999999999926</v>
      </c>
      <c r="Z37" s="271"/>
      <c r="AA37" s="271"/>
      <c r="AB37" s="307" t="e">
        <f ca="1">VLOOKUP(USG!D9,$P$3:$Q$41,2,FALSE)-VLOOKUP(USG!D9,$V$3:$W$41,2,FALSE)</f>
        <v>#N/A</v>
      </c>
    </row>
    <row r="38" spans="1:28" ht="15.65" customHeight="1" x14ac:dyDescent="0.35">
      <c r="A38" s="101"/>
      <c r="B38" s="559" t="s">
        <v>7</v>
      </c>
      <c r="C38" s="542" t="s">
        <v>38</v>
      </c>
      <c r="D38" s="542" t="s">
        <v>39</v>
      </c>
      <c r="E38" s="542" t="s">
        <v>40</v>
      </c>
      <c r="F38" s="542" t="s">
        <v>41</v>
      </c>
      <c r="G38" s="542" t="s">
        <v>425</v>
      </c>
      <c r="H38" s="542" t="s">
        <v>434</v>
      </c>
      <c r="I38" s="542" t="s">
        <v>42</v>
      </c>
      <c r="J38" s="542" t="s">
        <v>43</v>
      </c>
      <c r="K38" s="542" t="s">
        <v>463</v>
      </c>
      <c r="L38" s="542" t="s">
        <v>44</v>
      </c>
      <c r="M38" s="542" t="s">
        <v>45</v>
      </c>
      <c r="N38" s="547" t="s">
        <v>46</v>
      </c>
      <c r="P38" s="326">
        <f t="shared" si="1"/>
        <v>47422</v>
      </c>
      <c r="Q38" s="84">
        <f>BBG!E40</f>
        <v>66.47</v>
      </c>
      <c r="R38">
        <f>BBG!F40</f>
        <v>67</v>
      </c>
      <c r="S38" s="326">
        <f t="shared" si="2"/>
        <v>47452</v>
      </c>
      <c r="T38" s="279">
        <f>BBG!K40</f>
        <v>71.69</v>
      </c>
      <c r="U38" s="279">
        <f>BBG!L40</f>
        <v>72.12</v>
      </c>
      <c r="V38" s="327">
        <f t="shared" ca="1" si="3"/>
        <v>47391</v>
      </c>
      <c r="W38" s="271">
        <f>BBG!E98</f>
        <v>66.27</v>
      </c>
      <c r="X38" s="271">
        <f>BBG!K98</f>
        <v>71.680000000000007</v>
      </c>
      <c r="Y38" s="271">
        <f t="shared" si="0"/>
        <v>-5.4100000000000108</v>
      </c>
      <c r="Z38" s="271"/>
      <c r="AA38" s="271"/>
      <c r="AB38" s="307" t="e">
        <f ca="1">VLOOKUP(USG!D11,$P$3:$Q$41,2,FALSE)-VLOOKUP(USG!D11,$V$3:$W$41,2,FALSE)</f>
        <v>#N/A</v>
      </c>
    </row>
    <row r="39" spans="1:28" ht="15.65" customHeight="1" x14ac:dyDescent="0.35">
      <c r="A39" s="101"/>
      <c r="B39" s="559" t="s">
        <v>11</v>
      </c>
      <c r="C39" s="481">
        <v>-0.48299999999999998</v>
      </c>
      <c r="D39" s="481">
        <v>0.83299999999999996</v>
      </c>
      <c r="E39" s="481">
        <v>1.2</v>
      </c>
      <c r="F39" s="481">
        <v>1.25</v>
      </c>
      <c r="G39" s="481">
        <v>1.25</v>
      </c>
      <c r="H39" s="481">
        <v>1.28</v>
      </c>
      <c r="I39" s="481">
        <v>1.0169999999999999</v>
      </c>
      <c r="J39" s="481">
        <v>1.25</v>
      </c>
      <c r="K39" s="481">
        <v>1.28</v>
      </c>
      <c r="L39" s="481">
        <v>1.133</v>
      </c>
      <c r="M39" s="481">
        <v>1.3</v>
      </c>
      <c r="N39" s="546">
        <v>1.33</v>
      </c>
      <c r="P39" s="326">
        <f t="shared" si="1"/>
        <v>47452</v>
      </c>
      <c r="Q39" s="84">
        <f>BBG!E41</f>
        <v>66.180000000000007</v>
      </c>
      <c r="R39">
        <f>BBG!F41</f>
        <v>66.72</v>
      </c>
      <c r="S39" s="326">
        <f t="shared" si="2"/>
        <v>47483</v>
      </c>
      <c r="T39" s="279">
        <f>BBG!K41</f>
        <v>71.41</v>
      </c>
      <c r="U39" s="279">
        <f>BBG!L41</f>
        <v>71.84</v>
      </c>
      <c r="V39" s="327">
        <f t="shared" ca="1" si="3"/>
        <v>47422</v>
      </c>
      <c r="W39" s="271">
        <f>BBG!E99</f>
        <v>65.97</v>
      </c>
      <c r="X39" s="271">
        <f>BBG!K99</f>
        <v>71.400000000000006</v>
      </c>
      <c r="Y39" s="271">
        <f t="shared" si="0"/>
        <v>-5.4300000000000068</v>
      </c>
      <c r="Z39" s="271"/>
      <c r="AA39" s="271"/>
      <c r="AB39" s="307" t="e">
        <f ca="1">VLOOKUP(USG!D12,$P$3:$Q$41,2,FALSE)-VLOOKUP(USG!D12,$V$3:$W$41,2,FALSE)</f>
        <v>#N/A</v>
      </c>
    </row>
    <row r="40" spans="1:28" ht="15.65" customHeight="1" x14ac:dyDescent="0.35">
      <c r="A40" s="101"/>
      <c r="B40" s="559" t="s">
        <v>10</v>
      </c>
      <c r="C40" s="481">
        <v>1.0329999999999999</v>
      </c>
      <c r="D40" s="481">
        <v>1.383</v>
      </c>
      <c r="E40" s="481">
        <v>1.8</v>
      </c>
      <c r="F40" s="481">
        <v>1.85</v>
      </c>
      <c r="G40" s="481">
        <v>1.9</v>
      </c>
      <c r="H40" s="481">
        <v>1.95</v>
      </c>
      <c r="I40" s="481">
        <v>1.5920000000000001</v>
      </c>
      <c r="J40" s="481">
        <v>1.875</v>
      </c>
      <c r="K40" s="481">
        <v>1.95</v>
      </c>
      <c r="L40" s="481">
        <v>1.7330000000000001</v>
      </c>
      <c r="M40" s="481">
        <v>1.98</v>
      </c>
      <c r="N40" s="546">
        <v>2.0299999999999998</v>
      </c>
      <c r="P40" s="326">
        <f t="shared" si="1"/>
        <v>47483</v>
      </c>
      <c r="Q40" s="84">
        <f>BBG!E42</f>
        <v>65.75</v>
      </c>
      <c r="R40">
        <f>BBG!F42</f>
        <v>66.42</v>
      </c>
      <c r="S40" s="326">
        <f t="shared" si="2"/>
        <v>47514</v>
      </c>
      <c r="T40" s="279">
        <f>BBG!K42</f>
        <v>71.099999999999994</v>
      </c>
      <c r="U40" s="279">
        <f>BBG!L42</f>
        <v>71.540000000000006</v>
      </c>
      <c r="V40" s="327">
        <f t="shared" ca="1" si="3"/>
        <v>47452</v>
      </c>
      <c r="W40" s="271">
        <f>BBG!E100</f>
        <v>65.62</v>
      </c>
      <c r="X40" s="271">
        <f>BBG!K100</f>
        <v>71.09</v>
      </c>
      <c r="Y40" s="271">
        <f t="shared" si="0"/>
        <v>-5.4699999999999989</v>
      </c>
      <c r="Z40" s="271"/>
      <c r="AA40" s="271"/>
      <c r="AB40" s="307" t="e">
        <f ca="1">VLOOKUP(USG!D13,$P$3:$Q$41,2,FALSE)-VLOOKUP(USG!D13,$V$3:$W$41,2,FALSE)</f>
        <v>#N/A</v>
      </c>
    </row>
    <row r="41" spans="1:28" ht="15.65" customHeight="1" x14ac:dyDescent="0.35">
      <c r="A41" s="68"/>
      <c r="B41" s="559" t="s">
        <v>13</v>
      </c>
      <c r="C41" s="481">
        <v>-5.8330000000000002</v>
      </c>
      <c r="D41" s="481">
        <v>-6.1</v>
      </c>
      <c r="E41" s="481">
        <v>-6.1</v>
      </c>
      <c r="F41" s="481">
        <v>-6.1</v>
      </c>
      <c r="G41" s="481">
        <v>-6.1</v>
      </c>
      <c r="H41" s="481">
        <v>-6.1</v>
      </c>
      <c r="I41" s="481">
        <v>-6.1</v>
      </c>
      <c r="J41" s="481">
        <v>-6.1</v>
      </c>
      <c r="K41" s="481">
        <v>-6.1</v>
      </c>
      <c r="L41" s="481">
        <v>-6.1</v>
      </c>
      <c r="M41" s="481">
        <v>-0.5</v>
      </c>
      <c r="N41" s="546">
        <v>-0.5</v>
      </c>
      <c r="P41" s="326">
        <f t="shared" si="1"/>
        <v>47514</v>
      </c>
      <c r="Q41" s="84">
        <f>BBG!E43</f>
        <v>65.510000000000005</v>
      </c>
      <c r="R41">
        <f>BBG!F43</f>
        <v>66.09</v>
      </c>
      <c r="S41" s="326">
        <f t="shared" si="2"/>
        <v>47542</v>
      </c>
      <c r="T41" s="279">
        <f>BBG!K43</f>
        <v>70.930000000000007</v>
      </c>
      <c r="U41" s="279">
        <f>BBG!L43</f>
        <v>71.39</v>
      </c>
      <c r="V41" s="327">
        <f t="shared" ca="1" si="3"/>
        <v>47483</v>
      </c>
      <c r="W41" s="271">
        <f>BBG!E101</f>
        <v>65.31</v>
      </c>
      <c r="X41" s="271">
        <f>BBG!K101</f>
        <v>70.92</v>
      </c>
      <c r="Y41" s="271">
        <f t="shared" si="0"/>
        <v>-5.6099999999999994</v>
      </c>
      <c r="Z41" s="271"/>
      <c r="AA41" s="271"/>
      <c r="AB41" s="307" t="e">
        <f ca="1">VLOOKUP(USG!D15,$P$3:$Q$41,2,FALSE)-VLOOKUP(USG!D15,$V$3:$W$41,2,FALSE)</f>
        <v>#N/A</v>
      </c>
    </row>
    <row r="42" spans="1:28" ht="15.65" customHeight="1" x14ac:dyDescent="0.35">
      <c r="B42" s="559" t="s">
        <v>15</v>
      </c>
      <c r="C42" s="481">
        <v>2.4830000000000001</v>
      </c>
      <c r="D42" s="481">
        <v>1.85</v>
      </c>
      <c r="E42" s="481">
        <v>2.25</v>
      </c>
      <c r="F42" s="481">
        <v>2.2999999999999998</v>
      </c>
      <c r="G42" s="481">
        <v>2.4</v>
      </c>
      <c r="H42" s="481">
        <v>2.4</v>
      </c>
      <c r="I42" s="481">
        <v>2.0499999999999998</v>
      </c>
      <c r="J42" s="481">
        <v>2.35</v>
      </c>
      <c r="K42" s="481">
        <v>2.4</v>
      </c>
      <c r="L42" s="481">
        <v>2.2000000000000002</v>
      </c>
      <c r="M42" s="481">
        <v>2.25</v>
      </c>
      <c r="N42" s="546">
        <v>2.5</v>
      </c>
    </row>
    <row r="43" spans="1:28" ht="15.65" customHeight="1" x14ac:dyDescent="0.35">
      <c r="B43" s="559" t="s">
        <v>17</v>
      </c>
      <c r="C43" s="481">
        <v>-2.3330000000000002</v>
      </c>
      <c r="D43" s="481">
        <v>-1.25</v>
      </c>
      <c r="E43" s="481">
        <v>-1</v>
      </c>
      <c r="F43" s="481">
        <v>-1</v>
      </c>
      <c r="G43" s="481">
        <v>-1</v>
      </c>
      <c r="H43" s="481">
        <v>-1</v>
      </c>
      <c r="I43" s="481">
        <v>-1.125</v>
      </c>
      <c r="J43" s="481">
        <v>-1</v>
      </c>
      <c r="K43" s="481">
        <v>-1</v>
      </c>
      <c r="L43" s="481">
        <v>-1.0629999999999999</v>
      </c>
      <c r="M43" s="481">
        <v>-1.25</v>
      </c>
      <c r="N43" s="546">
        <v>-1</v>
      </c>
    </row>
    <row r="44" spans="1:28" ht="15.65" customHeight="1" x14ac:dyDescent="0.35">
      <c r="B44" s="559" t="s">
        <v>29</v>
      </c>
      <c r="C44" s="481">
        <v>-13.632999999999999</v>
      </c>
      <c r="D44" s="481">
        <v>-11.45</v>
      </c>
      <c r="E44" s="481">
        <v>-10.15</v>
      </c>
      <c r="F44" s="481">
        <v>-9.9</v>
      </c>
      <c r="G44" s="481">
        <v>-10.3</v>
      </c>
      <c r="H44" s="481">
        <v>-10.45</v>
      </c>
      <c r="I44" s="481">
        <v>-10.8</v>
      </c>
      <c r="J44" s="481">
        <v>-10.1</v>
      </c>
      <c r="K44" s="481">
        <v>-10.45</v>
      </c>
      <c r="L44" s="481">
        <v>-10.45</v>
      </c>
      <c r="M44" s="481">
        <v>-10.45</v>
      </c>
      <c r="N44" s="546">
        <v>-10.45</v>
      </c>
    </row>
    <row r="45" spans="1:28" ht="15.65" customHeight="1" x14ac:dyDescent="0.35">
      <c r="B45" s="559" t="s">
        <v>30</v>
      </c>
      <c r="C45" s="481">
        <v>-13.632999999999999</v>
      </c>
      <c r="D45" s="481">
        <v>-11.45</v>
      </c>
      <c r="E45" s="481">
        <v>-10.15</v>
      </c>
      <c r="F45" s="481">
        <v>-9.9</v>
      </c>
      <c r="G45" s="481">
        <v>-10.3</v>
      </c>
      <c r="H45" s="481">
        <v>-10.45</v>
      </c>
      <c r="I45" s="481">
        <v>-10.8</v>
      </c>
      <c r="J45" s="481">
        <v>-10.1</v>
      </c>
      <c r="K45" s="481">
        <v>-10.45</v>
      </c>
      <c r="L45" s="481">
        <v>-10.45</v>
      </c>
      <c r="M45" s="481">
        <v>-10.45</v>
      </c>
      <c r="N45" s="546">
        <v>-10.45</v>
      </c>
    </row>
    <row r="46" spans="1:28" ht="15.65" customHeight="1" x14ac:dyDescent="0.35">
      <c r="B46" s="559" t="s">
        <v>31</v>
      </c>
      <c r="C46" s="481">
        <v>-13.882999999999999</v>
      </c>
      <c r="D46" s="481">
        <v>-11.7</v>
      </c>
      <c r="E46" s="481">
        <v>-10.4</v>
      </c>
      <c r="F46" s="481">
        <v>-10.15</v>
      </c>
      <c r="G46" s="481">
        <v>-10.55</v>
      </c>
      <c r="H46" s="481">
        <v>-10.7</v>
      </c>
      <c r="I46" s="481">
        <v>-11.05</v>
      </c>
      <c r="J46" s="481">
        <v>-10.35</v>
      </c>
      <c r="K46" s="481">
        <v>-10.7</v>
      </c>
      <c r="L46" s="481">
        <v>-10.7</v>
      </c>
      <c r="M46" s="481">
        <v>-10.7</v>
      </c>
      <c r="N46" s="546">
        <v>-10.7</v>
      </c>
    </row>
    <row r="47" spans="1:28" ht="15.65" customHeight="1" x14ac:dyDescent="0.35">
      <c r="B47" s="559" t="s">
        <v>32</v>
      </c>
      <c r="C47" s="481">
        <v>-12.567</v>
      </c>
      <c r="D47" s="481">
        <v>-10.65</v>
      </c>
      <c r="E47" s="481">
        <v>-9.35</v>
      </c>
      <c r="F47" s="481">
        <v>-9.1</v>
      </c>
      <c r="G47" s="481">
        <v>-9.5</v>
      </c>
      <c r="H47" s="481">
        <v>-9.65</v>
      </c>
      <c r="I47" s="481">
        <v>-10</v>
      </c>
      <c r="J47" s="481">
        <v>-9.3000000000000007</v>
      </c>
      <c r="K47" s="481">
        <v>-9.65</v>
      </c>
      <c r="L47" s="481">
        <v>-9.65</v>
      </c>
      <c r="M47" s="481">
        <v>-9.65</v>
      </c>
      <c r="N47" s="546">
        <v>-9.65</v>
      </c>
    </row>
    <row r="48" spans="1:28" ht="15.65" customHeight="1" x14ac:dyDescent="0.35">
      <c r="B48" s="559" t="s">
        <v>33</v>
      </c>
      <c r="C48" s="481">
        <v>-12.567</v>
      </c>
      <c r="D48" s="481">
        <v>-10.65</v>
      </c>
      <c r="E48" s="481">
        <v>-9.35</v>
      </c>
      <c r="F48" s="481">
        <v>-9.1</v>
      </c>
      <c r="G48" s="481">
        <v>-9.5</v>
      </c>
      <c r="H48" s="481">
        <v>-9.65</v>
      </c>
      <c r="I48" s="481">
        <v>-10</v>
      </c>
      <c r="J48" s="481">
        <v>-9.3000000000000007</v>
      </c>
      <c r="K48" s="481">
        <v>-9.65</v>
      </c>
      <c r="L48" s="481">
        <v>-9.65</v>
      </c>
      <c r="M48" s="481">
        <v>-9.65</v>
      </c>
      <c r="N48" s="546">
        <v>-9.65</v>
      </c>
    </row>
    <row r="49" spans="2:19" ht="15.65" customHeight="1" thickBot="1" x14ac:dyDescent="0.4">
      <c r="B49" s="582" t="s">
        <v>34</v>
      </c>
      <c r="C49" s="544">
        <v>-13.766999999999999</v>
      </c>
      <c r="D49" s="544">
        <v>-11.85</v>
      </c>
      <c r="E49" s="544">
        <v>-10.55</v>
      </c>
      <c r="F49" s="544">
        <v>-10.3</v>
      </c>
      <c r="G49" s="544">
        <v>-10.7</v>
      </c>
      <c r="H49" s="544">
        <v>-10.85</v>
      </c>
      <c r="I49" s="544">
        <v>-11.2</v>
      </c>
      <c r="J49" s="544">
        <v>-10.5</v>
      </c>
      <c r="K49" s="544">
        <v>-10.85</v>
      </c>
      <c r="L49" s="544">
        <v>-10.85</v>
      </c>
      <c r="M49" s="544">
        <v>-10.85</v>
      </c>
      <c r="N49" s="548">
        <v>-10.85</v>
      </c>
    </row>
    <row r="50" spans="2:19" ht="15.65" customHeight="1" thickTop="1" x14ac:dyDescent="0.35"/>
    <row r="52" spans="2:19" ht="15.65" customHeight="1" x14ac:dyDescent="0.35">
      <c r="D52" s="88">
        <f>D40-D39</f>
        <v>0.55000000000000004</v>
      </c>
      <c r="E52" s="88">
        <f t="shared" ref="E52:H52" si="4">E40-E39</f>
        <v>0.60000000000000009</v>
      </c>
      <c r="F52" s="88">
        <f t="shared" si="4"/>
        <v>0.60000000000000009</v>
      </c>
      <c r="G52" s="88">
        <f t="shared" si="4"/>
        <v>0.64999999999999991</v>
      </c>
      <c r="H52" s="88">
        <f t="shared" si="4"/>
        <v>0.66999999999999993</v>
      </c>
    </row>
    <row r="53" spans="2:19" ht="15.65" customHeight="1" x14ac:dyDescent="0.35">
      <c r="F53" s="71"/>
      <c r="G53" s="71"/>
      <c r="H53" s="88">
        <f>AVERAGE(D52:H52)</f>
        <v>0.6140000000000001</v>
      </c>
    </row>
    <row r="54" spans="2:19" ht="15.65" customHeight="1" x14ac:dyDescent="0.35">
      <c r="R54">
        <v>10</v>
      </c>
      <c r="S54">
        <v>0.4</v>
      </c>
    </row>
    <row r="55" spans="2:19" ht="15.65" customHeight="1" x14ac:dyDescent="0.35">
      <c r="H55" s="88">
        <f>1.28-H53</f>
        <v>0.66599999999999993</v>
      </c>
      <c r="R55">
        <v>20</v>
      </c>
      <c r="S55">
        <v>0.55000000000000004</v>
      </c>
    </row>
    <row r="56" spans="2:19" ht="15.65" customHeight="1" x14ac:dyDescent="0.35">
      <c r="H56" s="88">
        <f>1.98-H53</f>
        <v>1.3659999999999999</v>
      </c>
      <c r="J56">
        <f>140000*30</f>
        <v>4200000</v>
      </c>
      <c r="R56">
        <f>R57-R54-R55</f>
        <v>45</v>
      </c>
      <c r="S56">
        <v>0.66</v>
      </c>
    </row>
    <row r="57" spans="2:19" ht="15.65" customHeight="1" x14ac:dyDescent="0.35">
      <c r="J57">
        <v>65</v>
      </c>
      <c r="R57">
        <v>75</v>
      </c>
      <c r="S57">
        <f t="array" ref="S57">SUMPRODUCT(S54:S56,R54:R56/SUM(R54:R56))+0.05</f>
        <v>0.64600000000000013</v>
      </c>
    </row>
    <row r="58" spans="2:19" ht="15.65" customHeight="1" x14ac:dyDescent="0.35">
      <c r="H58" s="88">
        <f>AVERAGE(H55:H56)</f>
        <v>1.016</v>
      </c>
      <c r="J58" s="486">
        <v>2E-3</v>
      </c>
    </row>
    <row r="59" spans="2:19" ht="15.65" customHeight="1" x14ac:dyDescent="0.35">
      <c r="K59" s="201"/>
      <c r="L59">
        <f>J61/J56</f>
        <v>0.13</v>
      </c>
    </row>
    <row r="60" spans="2:19" ht="15.65" customHeight="1" x14ac:dyDescent="0.35">
      <c r="K60" s="201"/>
    </row>
    <row r="61" spans="2:19" ht="15.65" customHeight="1" x14ac:dyDescent="0.35">
      <c r="J61">
        <f>J56*J57*J58</f>
        <v>546000</v>
      </c>
    </row>
    <row r="62" spans="2:19" ht="15.65" customHeight="1" thickBot="1" x14ac:dyDescent="0.4">
      <c r="K62" s="204"/>
      <c r="L62" s="573" t="s">
        <v>47</v>
      </c>
      <c r="M62" s="573"/>
      <c r="N62" s="573"/>
    </row>
    <row r="63" spans="2:19" ht="15.65" customHeight="1" thickBot="1" x14ac:dyDescent="0.4">
      <c r="E63" s="190" t="s">
        <v>48</v>
      </c>
      <c r="F63" s="190" t="s">
        <v>49</v>
      </c>
      <c r="G63" s="203" t="s">
        <v>50</v>
      </c>
      <c r="H63" s="190" t="s">
        <v>51</v>
      </c>
      <c r="I63" s="190" t="s">
        <v>52</v>
      </c>
      <c r="J63" s="200" t="s">
        <v>53</v>
      </c>
      <c r="K63" s="200" t="s">
        <v>54</v>
      </c>
      <c r="L63" s="200" t="s">
        <v>55</v>
      </c>
      <c r="M63" s="200" t="s">
        <v>56</v>
      </c>
      <c r="N63" s="200" t="s">
        <v>57</v>
      </c>
    </row>
    <row r="64" spans="2:19" ht="15.65" customHeight="1" x14ac:dyDescent="0.35">
      <c r="E64" s="194">
        <v>0.9</v>
      </c>
      <c r="F64" s="194" t="s">
        <v>58</v>
      </c>
      <c r="G64" s="194">
        <f>VLOOKUP(Sheet1!I64,Freight!$A$3:$E$14,5,FALSE)</f>
        <v>16.102499999999999</v>
      </c>
      <c r="H64" s="191" t="e">
        <f>#REF!+E64</f>
        <v>#REF!</v>
      </c>
      <c r="I64" s="195">
        <f>FWD!M5</f>
        <v>46356</v>
      </c>
      <c r="J64" s="188">
        <v>0</v>
      </c>
      <c r="K64" s="188">
        <f>FWD!$O$5</f>
        <v>3.33</v>
      </c>
      <c r="L64" s="188" t="e">
        <f>H64+FWD!N5+Sheet1!J64-Sheet1!K64</f>
        <v>#REF!</v>
      </c>
      <c r="M64" s="188" t="e">
        <f>L64+$K$60</f>
        <v>#REF!</v>
      </c>
      <c r="N64" s="188" t="e">
        <f>L64+$K$59</f>
        <v>#REF!</v>
      </c>
    </row>
    <row r="65" spans="5:14" ht="15.65" customHeight="1" x14ac:dyDescent="0.35">
      <c r="E65" s="196">
        <v>0.5</v>
      </c>
      <c r="F65" s="196" t="s">
        <v>59</v>
      </c>
      <c r="G65" s="196">
        <f>$G$64</f>
        <v>16.102499999999999</v>
      </c>
      <c r="H65" s="192" t="e">
        <f>#REF!+E65</f>
        <v>#REF!</v>
      </c>
      <c r="I65" s="197">
        <f>FWD!M6</f>
        <v>46387</v>
      </c>
      <c r="J65" s="188">
        <f>FWD!Y5</f>
        <v>2.2399999999999949</v>
      </c>
      <c r="K65" s="188">
        <f>FWD!$O$6</f>
        <v>2.61</v>
      </c>
      <c r="L65" s="188" t="e">
        <f>H65+FWD!N5+Sheet1!J65-Sheet1!K65</f>
        <v>#REF!</v>
      </c>
      <c r="M65" s="188" t="e">
        <f>L65+$K$60</f>
        <v>#REF!</v>
      </c>
      <c r="N65" s="188" t="e">
        <f>L65+$K$59</f>
        <v>#REF!</v>
      </c>
    </row>
    <row r="66" spans="5:14" ht="15.65" customHeight="1" thickBot="1" x14ac:dyDescent="0.4">
      <c r="E66" s="198">
        <v>0.25</v>
      </c>
      <c r="F66" s="198" t="s">
        <v>60</v>
      </c>
      <c r="G66" s="198">
        <f>$G$64</f>
        <v>16.102499999999999</v>
      </c>
      <c r="H66" s="193" t="e">
        <f>#REF!+E66</f>
        <v>#REF!</v>
      </c>
      <c r="I66" s="199">
        <f>I65</f>
        <v>46387</v>
      </c>
      <c r="J66" s="189">
        <f>J65</f>
        <v>2.2399999999999949</v>
      </c>
      <c r="K66" s="189">
        <f>FWD!$O$6</f>
        <v>2.61</v>
      </c>
      <c r="L66" s="189" t="e">
        <f>H66+FWD!N5+Sheet1!J66-Sheet1!K66</f>
        <v>#REF!</v>
      </c>
      <c r="M66" s="189" t="e">
        <f>L66+$K$60</f>
        <v>#REF!</v>
      </c>
      <c r="N66" s="189" t="e">
        <f>L66+$K$59</f>
        <v>#REF!</v>
      </c>
    </row>
    <row r="68" spans="5:14" ht="15.65" customHeight="1" thickBot="1" x14ac:dyDescent="0.4">
      <c r="K68" t="s">
        <v>61</v>
      </c>
    </row>
    <row r="69" spans="5:14" ht="15.65" customHeight="1" thickBot="1" x14ac:dyDescent="0.4">
      <c r="E69" s="190" t="s">
        <v>48</v>
      </c>
      <c r="F69" s="190" t="s">
        <v>49</v>
      </c>
      <c r="G69" s="203" t="s">
        <v>62</v>
      </c>
      <c r="H69" s="190" t="s">
        <v>51</v>
      </c>
      <c r="I69" s="190" t="s">
        <v>52</v>
      </c>
      <c r="J69" s="200" t="s">
        <v>53</v>
      </c>
      <c r="K69" s="200" t="s">
        <v>54</v>
      </c>
      <c r="L69" s="200" t="s">
        <v>55</v>
      </c>
    </row>
    <row r="70" spans="5:14" ht="15.65" customHeight="1" x14ac:dyDescent="0.35">
      <c r="E70" s="194">
        <f>E64</f>
        <v>0.9</v>
      </c>
      <c r="F70" s="194" t="s">
        <v>58</v>
      </c>
      <c r="G70" s="205">
        <f>[1]WTI!$AD$58/1000000</f>
        <v>7.9500000000000003E-4</v>
      </c>
      <c r="H70" s="191" t="e">
        <f>#REF!+E70</f>
        <v>#REF!</v>
      </c>
      <c r="I70" s="195">
        <f>I65</f>
        <v>46387</v>
      </c>
      <c r="J70" s="188">
        <f>J65</f>
        <v>2.2399999999999949</v>
      </c>
      <c r="K70" s="188">
        <f>K65</f>
        <v>2.61</v>
      </c>
      <c r="L70" s="188" t="e">
        <f>H70+#REF!+Sheet1!J70-Sheet1!K70</f>
        <v>#REF!</v>
      </c>
    </row>
    <row r="71" spans="5:14" ht="15.65" customHeight="1" x14ac:dyDescent="0.35">
      <c r="E71" s="196">
        <f>E65</f>
        <v>0.5</v>
      </c>
      <c r="F71" s="196" t="s">
        <v>59</v>
      </c>
      <c r="G71" s="206">
        <f>$G$70</f>
        <v>7.9500000000000003E-4</v>
      </c>
      <c r="H71" s="192" t="e">
        <f>#REF!+E71</f>
        <v>#REF!</v>
      </c>
      <c r="I71" s="197">
        <f>I65</f>
        <v>46387</v>
      </c>
      <c r="J71" s="188">
        <f>$J$65</f>
        <v>2.2399999999999949</v>
      </c>
      <c r="K71" s="188">
        <f>K65</f>
        <v>2.61</v>
      </c>
      <c r="L71" s="188" t="e">
        <f>H71+#REF!+Sheet1!J71-Sheet1!K71</f>
        <v>#REF!</v>
      </c>
    </row>
    <row r="72" spans="5:14" ht="15.65" customHeight="1" thickBot="1" x14ac:dyDescent="0.4">
      <c r="E72" s="198">
        <f>E66</f>
        <v>0.25</v>
      </c>
      <c r="F72" s="198" t="s">
        <v>60</v>
      </c>
      <c r="G72" s="207">
        <f>$G$70</f>
        <v>7.9500000000000003E-4</v>
      </c>
      <c r="H72" s="193" t="e">
        <f>#REF!+E72</f>
        <v>#REF!</v>
      </c>
      <c r="I72" s="199">
        <f>EOMONTH(I71,1)</f>
        <v>46418</v>
      </c>
      <c r="J72" s="189">
        <f>FWD!Y6</f>
        <v>1.7000000000000028</v>
      </c>
      <c r="K72" s="189">
        <f>FWD!O7</f>
        <v>2.0299999999999998</v>
      </c>
      <c r="L72" s="189" t="e">
        <f>H72+#REF!+Sheet1!J72-Sheet1!K72</f>
        <v>#REF!</v>
      </c>
    </row>
    <row r="73" spans="5:14" ht="15.65" customHeight="1" thickBot="1" x14ac:dyDescent="0.4"/>
    <row r="74" spans="5:14" ht="15.65" customHeight="1" thickBot="1" x14ac:dyDescent="0.4">
      <c r="E74" s="190" t="s">
        <v>48</v>
      </c>
      <c r="F74" s="190" t="s">
        <v>49</v>
      </c>
      <c r="G74" s="203" t="s">
        <v>62</v>
      </c>
      <c r="H74" s="190" t="s">
        <v>51</v>
      </c>
      <c r="I74" s="190" t="s">
        <v>52</v>
      </c>
      <c r="J74" s="200" t="s">
        <v>53</v>
      </c>
      <c r="K74" s="200" t="s">
        <v>54</v>
      </c>
      <c r="L74" s="200" t="s">
        <v>55</v>
      </c>
    </row>
    <row r="75" spans="5:14" ht="15.65" customHeight="1" x14ac:dyDescent="0.35">
      <c r="E75" s="194">
        <v>0.45</v>
      </c>
      <c r="F75" s="194" t="s">
        <v>58</v>
      </c>
      <c r="G75" s="205">
        <f>G72</f>
        <v>7.9500000000000003E-4</v>
      </c>
      <c r="H75" s="191" t="e">
        <f>#REF!+E75</f>
        <v>#REF!</v>
      </c>
      <c r="I75" s="195">
        <f>I70</f>
        <v>46387</v>
      </c>
      <c r="J75" s="188">
        <f>J70</f>
        <v>2.2399999999999949</v>
      </c>
      <c r="K75" s="188">
        <f>K70</f>
        <v>2.61</v>
      </c>
      <c r="L75" s="188" t="e">
        <f>H75+#REF!+Sheet1!J75-Sheet1!K75</f>
        <v>#REF!</v>
      </c>
    </row>
    <row r="76" spans="5:14" ht="15.65" customHeight="1" x14ac:dyDescent="0.35">
      <c r="E76" s="196">
        <v>0.3</v>
      </c>
      <c r="F76" s="196" t="s">
        <v>59</v>
      </c>
      <c r="G76" s="206">
        <f>$G$70</f>
        <v>7.9500000000000003E-4</v>
      </c>
      <c r="H76" s="192" t="e">
        <f>#REF!+E76</f>
        <v>#REF!</v>
      </c>
      <c r="I76" s="197">
        <f>I70</f>
        <v>46387</v>
      </c>
      <c r="J76" s="188">
        <f>$J$65</f>
        <v>2.2399999999999949</v>
      </c>
      <c r="K76" s="188">
        <f>K70</f>
        <v>2.61</v>
      </c>
      <c r="L76" s="188" t="e">
        <f>H76+#REF!+Sheet1!J76-Sheet1!K76</f>
        <v>#REF!</v>
      </c>
    </row>
    <row r="77" spans="5:14" ht="15.65" customHeight="1" thickBot="1" x14ac:dyDescent="0.4">
      <c r="E77" s="198">
        <v>0.25</v>
      </c>
      <c r="F77" s="198" t="s">
        <v>60</v>
      </c>
      <c r="G77" s="207">
        <f>$G$70</f>
        <v>7.9500000000000003E-4</v>
      </c>
      <c r="H77" s="193" t="e">
        <f>#REF!+E77</f>
        <v>#REF!</v>
      </c>
      <c r="I77" s="199">
        <f>EOMONTH(I76,1)</f>
        <v>46418</v>
      </c>
      <c r="J77" s="189">
        <f>FWD!Y11</f>
        <v>1.019999999999996</v>
      </c>
      <c r="K77" s="189">
        <f>FWD!O12</f>
        <v>1.32</v>
      </c>
      <c r="L77" s="189" t="e">
        <f>H77+#REF!+Sheet1!J77-Sheet1!K77</f>
        <v>#REF!</v>
      </c>
    </row>
    <row r="85" spans="5:9" ht="15.65" customHeight="1" thickBot="1" x14ac:dyDescent="0.4"/>
    <row r="86" spans="5:9" ht="15.65" customHeight="1" thickBot="1" x14ac:dyDescent="0.4">
      <c r="E86" s="190" t="s">
        <v>63</v>
      </c>
      <c r="F86" s="178" t="s">
        <v>64</v>
      </c>
      <c r="G86" s="178" t="s">
        <v>65</v>
      </c>
      <c r="H86" s="179" t="s">
        <v>66</v>
      </c>
      <c r="I86" s="179" t="s">
        <v>67</v>
      </c>
    </row>
    <row r="87" spans="5:9" ht="15.65" customHeight="1" x14ac:dyDescent="0.35">
      <c r="E87" s="180" t="s">
        <v>68</v>
      </c>
      <c r="F87" s="181" t="s">
        <v>10</v>
      </c>
      <c r="G87" s="182">
        <f>FWD!A2</f>
        <v>0</v>
      </c>
      <c r="H87" s="188">
        <f>FWD!J5</f>
        <v>-3.3200000000000021</v>
      </c>
      <c r="I87" s="188">
        <f>FWD!J6</f>
        <v>-3.4300000000000068</v>
      </c>
    </row>
    <row r="88" spans="5:9" ht="15.65" customHeight="1" x14ac:dyDescent="0.35">
      <c r="E88" s="183" t="s">
        <v>69</v>
      </c>
      <c r="F88" s="184" t="s">
        <v>10</v>
      </c>
      <c r="G88" s="182">
        <f>G87-0.4</f>
        <v>-0.4</v>
      </c>
      <c r="H88" s="188">
        <f>H87-(G87-G88)</f>
        <v>-3.720000000000002</v>
      </c>
      <c r="I88" s="188">
        <f>I87-(G87-G88)</f>
        <v>-3.8300000000000067</v>
      </c>
    </row>
    <row r="89" spans="5:9" ht="15.65" customHeight="1" x14ac:dyDescent="0.35">
      <c r="E89" s="180" t="s">
        <v>70</v>
      </c>
      <c r="F89" s="181" t="s">
        <v>71</v>
      </c>
      <c r="G89" s="182">
        <v>2.5</v>
      </c>
      <c r="H89" s="188">
        <f>H87-(Sheet1!C20-Sheet1!C26)-G87+G89</f>
        <v>-46296.52</v>
      </c>
      <c r="I89" s="188">
        <f>I87-(Sheet1!D20-Sheet1!D26)-G87+G89</f>
        <v>-46327.63</v>
      </c>
    </row>
    <row r="90" spans="5:9" ht="15.65" customHeight="1" x14ac:dyDescent="0.35">
      <c r="E90" s="180" t="s">
        <v>72</v>
      </c>
      <c r="F90" s="181" t="s">
        <v>10</v>
      </c>
      <c r="G90" s="182">
        <f>G87-0.3</f>
        <v>-0.3</v>
      </c>
      <c r="H90" s="188">
        <f>H87-(G87-G90)</f>
        <v>-3.6200000000000019</v>
      </c>
      <c r="I90" s="188">
        <f>I87-(G87-G90)</f>
        <v>-3.7300000000000066</v>
      </c>
    </row>
    <row r="91" spans="5:9" ht="15.65" customHeight="1" x14ac:dyDescent="0.35">
      <c r="E91" s="183" t="s">
        <v>73</v>
      </c>
      <c r="F91" s="184" t="s">
        <v>8</v>
      </c>
      <c r="G91" s="182" t="e">
        <f>#REF!</f>
        <v>#REF!</v>
      </c>
      <c r="H91" s="188" t="e">
        <f>#REF!</f>
        <v>#REF!</v>
      </c>
      <c r="I91" s="188" t="e">
        <f>#REF!</f>
        <v>#REF!</v>
      </c>
    </row>
    <row r="92" spans="5:9" ht="15.65" customHeight="1" thickBot="1" x14ac:dyDescent="0.4">
      <c r="E92" s="185" t="s">
        <v>74</v>
      </c>
      <c r="F92" s="186" t="s">
        <v>8</v>
      </c>
      <c r="G92" s="187" t="e">
        <f>#REF!</f>
        <v>#REF!</v>
      </c>
      <c r="H92" s="189" t="e">
        <f>H91-0.75</f>
        <v>#REF!</v>
      </c>
      <c r="I92" s="189" t="e">
        <f>I91-0.75</f>
        <v>#REF!</v>
      </c>
    </row>
    <row r="98" spans="5:24" ht="15.65" customHeight="1" x14ac:dyDescent="0.35">
      <c r="E98" s="91" t="s">
        <v>75</v>
      </c>
      <c r="J98" s="84"/>
    </row>
    <row r="99" spans="5:24" ht="15.65" customHeight="1" x14ac:dyDescent="0.35">
      <c r="J99" s="84"/>
      <c r="N99" s="574" t="s">
        <v>76</v>
      </c>
      <c r="O99" s="575"/>
      <c r="P99" s="576"/>
      <c r="Q99" s="432"/>
      <c r="R99" s="432"/>
      <c r="S99" s="432"/>
      <c r="T99" s="432"/>
      <c r="U99" s="432"/>
      <c r="V99" s="432"/>
      <c r="W99" s="432"/>
      <c r="X99" s="433"/>
    </row>
    <row r="100" spans="5:24" ht="15.65" customHeight="1" x14ac:dyDescent="0.35">
      <c r="E100" s="389" t="s">
        <v>77</v>
      </c>
      <c r="F100" s="242" t="s">
        <v>78</v>
      </c>
      <c r="H100" s="389" t="s">
        <v>79</v>
      </c>
      <c r="I100" s="242" t="s">
        <v>78</v>
      </c>
      <c r="N100" s="426"/>
      <c r="O100" s="426"/>
      <c r="R100" s="426"/>
      <c r="S100" s="426"/>
      <c r="T100" s="426"/>
    </row>
    <row r="101" spans="5:24" ht="15.65" customHeight="1" x14ac:dyDescent="0.35">
      <c r="E101" s="390" t="str">
        <f>IF(FWD!V4="Expired","Balmo "&amp;TEXT(FWD!E4,"Mmm-yy"),FWD!E4)</f>
        <v>Balmo Oct-26</v>
      </c>
      <c r="F101" s="355" t="str">
        <f>FWD!AD4</f>
        <v>Expired</v>
      </c>
      <c r="H101" s="108">
        <v>45869</v>
      </c>
      <c r="I101" s="237" t="str">
        <f>IFERROR((FWD!V5*1/3)+(FWD!AD4*2/3),"Expired")</f>
        <v>Expired</v>
      </c>
      <c r="N101" s="580" t="s">
        <v>80</v>
      </c>
      <c r="O101" s="581"/>
      <c r="P101" s="431" t="s">
        <v>81</v>
      </c>
      <c r="R101" s="577" t="s">
        <v>82</v>
      </c>
      <c r="S101" s="578"/>
      <c r="T101" s="579"/>
      <c r="V101" s="570" t="s">
        <v>83</v>
      </c>
      <c r="W101" s="571"/>
      <c r="X101" s="572"/>
    </row>
    <row r="102" spans="5:24" ht="15.65" customHeight="1" x14ac:dyDescent="0.35">
      <c r="E102" s="390" t="str">
        <f>IF(FWD!V5="Expired","Balmo "&amp;TEXT(FWD!E5,"Mmm-yy"),FWD!E5)</f>
        <v>Balmo Nov-26</v>
      </c>
      <c r="F102" s="417">
        <f>FWD!AD5</f>
        <v>-7.238607142857143</v>
      </c>
      <c r="H102" s="108">
        <f>EOMONTH(H101,1)</f>
        <v>45900</v>
      </c>
      <c r="I102" s="265">
        <f>IFERROR((FWD!V6*1/3)+(FWD!AD5*2/3),"Expired")</f>
        <v>-5.8827404761904756</v>
      </c>
      <c r="M102" t="s">
        <v>84</v>
      </c>
      <c r="N102" s="429">
        <v>45789</v>
      </c>
      <c r="O102" s="442">
        <f>+N102+1</f>
        <v>45790</v>
      </c>
      <c r="P102" s="443">
        <v>700</v>
      </c>
      <c r="Q102" s="91"/>
      <c r="R102" s="429">
        <f>O102+17</f>
        <v>45807</v>
      </c>
      <c r="S102" s="430">
        <f>R102+4</f>
        <v>45811</v>
      </c>
      <c r="T102" s="425">
        <f>FWD!$AB$5</f>
        <v>12.532499999999994</v>
      </c>
      <c r="V102" s="424"/>
      <c r="W102" s="423"/>
      <c r="X102" s="422"/>
    </row>
    <row r="103" spans="5:24" ht="15.65" customHeight="1" x14ac:dyDescent="0.35">
      <c r="E103" s="108">
        <f>FWD!E6</f>
        <v>46387</v>
      </c>
      <c r="F103" s="355">
        <f>IFERROR((FWD!V6*1/3)+(FWD!AD6*2/3),"Expired")</f>
        <v>-4.5113042471677707</v>
      </c>
      <c r="H103" s="108">
        <f t="shared" ref="H103:H118" si="5">EOMONTH(H102,1)</f>
        <v>45930</v>
      </c>
      <c r="I103" s="237">
        <f>IFERROR((FWD!V7*1/3)+(FWD!AD6*2/3),"Expired")</f>
        <v>-3.9446110334972873</v>
      </c>
      <c r="L103" t="s">
        <v>85</v>
      </c>
      <c r="M103" s="447" t="s">
        <v>86</v>
      </c>
      <c r="N103" s="435">
        <v>45792</v>
      </c>
      <c r="O103" s="436">
        <f>+N103+1</f>
        <v>45793</v>
      </c>
      <c r="P103" s="437">
        <v>700</v>
      </c>
      <c r="Q103" s="447"/>
      <c r="R103" s="435">
        <f>O103+17</f>
        <v>45810</v>
      </c>
      <c r="S103" s="459">
        <f t="shared" ref="S103:S107" si="6">R103+4</f>
        <v>45814</v>
      </c>
      <c r="T103" s="460">
        <f>FWD!$AB$5</f>
        <v>12.532499999999994</v>
      </c>
      <c r="V103" s="420"/>
      <c r="W103" s="98"/>
      <c r="X103" s="419"/>
    </row>
    <row r="104" spans="5:24" ht="15.65" customHeight="1" x14ac:dyDescent="0.35">
      <c r="E104" s="108">
        <f>FWD!E7</f>
        <v>46418</v>
      </c>
      <c r="F104" s="355">
        <f>IFERROR((FWD!V7*1/3)+(FWD!AD7*2/3),"Expired")</f>
        <v>-1.5134586554759062</v>
      </c>
      <c r="H104" s="108">
        <f t="shared" si="5"/>
        <v>45961</v>
      </c>
      <c r="I104" s="237">
        <f>IFERROR((FWD!V8*1/3)+(FWD!AD7*2/3),"Expired")</f>
        <v>-1.010296182156156</v>
      </c>
      <c r="L104" t="s">
        <v>87</v>
      </c>
      <c r="M104" t="s">
        <v>88</v>
      </c>
      <c r="N104" s="427">
        <v>45794</v>
      </c>
      <c r="O104" s="440">
        <f>+N104+1</f>
        <v>45795</v>
      </c>
      <c r="P104" s="441">
        <v>700</v>
      </c>
      <c r="Q104" s="91"/>
      <c r="R104" s="427">
        <f>O104+17</f>
        <v>45812</v>
      </c>
      <c r="S104" s="428">
        <f t="shared" si="6"/>
        <v>45816</v>
      </c>
      <c r="T104" s="421">
        <f>FWD!$AB$5</f>
        <v>12.532499999999994</v>
      </c>
      <c r="V104" s="420"/>
      <c r="W104" s="98"/>
      <c r="X104" s="419"/>
    </row>
    <row r="105" spans="5:24" ht="15.65" customHeight="1" x14ac:dyDescent="0.35">
      <c r="E105" s="108">
        <f>FWD!E8</f>
        <v>46446</v>
      </c>
      <c r="F105" s="355">
        <f>IFERROR((FWD!V8*1/3)+(FWD!AD8*2/3),"Expired")</f>
        <v>-1.0221320002318781</v>
      </c>
      <c r="H105" s="108">
        <f t="shared" si="5"/>
        <v>45991</v>
      </c>
      <c r="I105" s="237">
        <f>IFERROR((FWD!V9*1/3)+(FWD!AD8*2/3),"Expired")</f>
        <v>-1.0847165759364095</v>
      </c>
    </row>
    <row r="106" spans="5:24" ht="15.65" customHeight="1" x14ac:dyDescent="0.35">
      <c r="E106" s="108">
        <f>FWD!E9</f>
        <v>46477</v>
      </c>
      <c r="F106" s="355">
        <f>IFERROR((FWD!V9*1/3)+(FWD!AD9*2/3),"Expired")</f>
        <v>-1.2405071723696799</v>
      </c>
      <c r="H106" s="108">
        <f t="shared" si="5"/>
        <v>46022</v>
      </c>
      <c r="I106" s="237">
        <f>IFERROR((FWD!V10*1/3)+(FWD!AD9*2/3),"Expired")</f>
        <v>-1.2880621564501848</v>
      </c>
      <c r="M106" t="s">
        <v>88</v>
      </c>
      <c r="N106" s="429">
        <v>45800</v>
      </c>
      <c r="O106" s="442">
        <f>+N106+1</f>
        <v>45801</v>
      </c>
      <c r="P106" s="461">
        <v>700</v>
      </c>
      <c r="Q106" s="91"/>
      <c r="R106" s="429">
        <f>O106+17</f>
        <v>45818</v>
      </c>
      <c r="S106" s="442">
        <f t="shared" si="6"/>
        <v>45822</v>
      </c>
      <c r="T106" s="464">
        <f>T102</f>
        <v>12.532499999999994</v>
      </c>
      <c r="V106" s="424"/>
      <c r="W106" s="423"/>
      <c r="X106" s="422"/>
    </row>
    <row r="107" spans="5:24" ht="15.65" customHeight="1" x14ac:dyDescent="0.35">
      <c r="E107" s="108">
        <f>FWD!E10</f>
        <v>46507</v>
      </c>
      <c r="F107" s="355">
        <f>IFERROR((FWD!V10*1/3)+(FWD!AD10*2/3),"Expired")</f>
        <v>-0.83565536603290913</v>
      </c>
      <c r="H107" s="108">
        <f t="shared" si="5"/>
        <v>46053</v>
      </c>
      <c r="I107" s="237">
        <f>IFERROR((FWD!V11*1/3)+(FWD!AD10*2/3),"Expired")</f>
        <v>-0.67203090149221523</v>
      </c>
      <c r="N107" s="427">
        <v>45806</v>
      </c>
      <c r="O107" s="440">
        <f>+N107+1</f>
        <v>45807</v>
      </c>
      <c r="P107" s="462">
        <v>700</v>
      </c>
      <c r="Q107" s="91"/>
      <c r="R107" s="427">
        <f>O107+17</f>
        <v>45824</v>
      </c>
      <c r="S107" s="440">
        <f t="shared" si="6"/>
        <v>45828</v>
      </c>
      <c r="T107" s="465"/>
    </row>
    <row r="108" spans="5:24" ht="15.65" customHeight="1" x14ac:dyDescent="0.35">
      <c r="E108" s="108">
        <f>FWD!E11</f>
        <v>46538</v>
      </c>
      <c r="F108" s="355">
        <f>IFERROR((FWD!V11*1/3)+(FWD!AD11*2/3),"Expired")</f>
        <v>-0.58098536761946928</v>
      </c>
      <c r="H108" s="108">
        <f t="shared" si="5"/>
        <v>46081</v>
      </c>
      <c r="I108" s="237">
        <f>IFERROR((FWD!V12*1/3)+(FWD!AD11*2/3),"Expired")</f>
        <v>-0.66765203428613396</v>
      </c>
      <c r="L108" t="s">
        <v>89</v>
      </c>
      <c r="M108" t="s">
        <v>90</v>
      </c>
      <c r="N108" s="444">
        <v>45803</v>
      </c>
      <c r="O108" s="445">
        <f>+N108+1</f>
        <v>45804</v>
      </c>
      <c r="P108" s="463">
        <v>700</v>
      </c>
      <c r="Q108" s="91"/>
      <c r="R108" s="444">
        <f>O108+17</f>
        <v>45821</v>
      </c>
      <c r="S108" s="445">
        <f>R108+4</f>
        <v>45825</v>
      </c>
      <c r="T108" s="466">
        <f>T103</f>
        <v>12.532499999999994</v>
      </c>
      <c r="V108" s="420"/>
      <c r="W108" s="98"/>
      <c r="X108" s="419"/>
    </row>
    <row r="109" spans="5:24" ht="15.65" customHeight="1" x14ac:dyDescent="0.35">
      <c r="E109" s="108">
        <f>FWD!E12</f>
        <v>46568</v>
      </c>
      <c r="F109" s="355">
        <f>IFERROR((FWD!V12*1/3)+(FWD!AD12*2/3),"Expired")</f>
        <v>-0.84674807151643317</v>
      </c>
      <c r="H109" s="108">
        <f t="shared" si="5"/>
        <v>46112</v>
      </c>
      <c r="I109" s="237">
        <f>IFERROR((FWD!V13*1/3)+(FWD!AD12*2/3),"Expired")</f>
        <v>-0.58863307252092023</v>
      </c>
    </row>
    <row r="110" spans="5:24" ht="15.65" customHeight="1" x14ac:dyDescent="0.35">
      <c r="E110" s="108">
        <f>FWD!E13</f>
        <v>46599</v>
      </c>
      <c r="F110" s="355">
        <f>IFERROR((FWD!V13*1/3)+(FWD!AD13*2/3),"Expired")</f>
        <v>4.6692962700419116E-2</v>
      </c>
      <c r="H110" s="108">
        <f t="shared" si="5"/>
        <v>46142</v>
      </c>
      <c r="I110" s="237">
        <f>IFERROR((FWD!V14*1/3)+(FWD!AD13*2/3),"Expired")</f>
        <v>-1.6640370632913543E-2</v>
      </c>
    </row>
    <row r="111" spans="5:24" ht="15.65" customHeight="1" x14ac:dyDescent="0.35">
      <c r="E111" s="108">
        <f>FWD!E14</f>
        <v>46630</v>
      </c>
      <c r="F111" s="355">
        <f>IFERROR((FWD!V14*1/3)+(FWD!AD14*2/3),"Expired")</f>
        <v>-0.12330703729958742</v>
      </c>
      <c r="H111" s="108">
        <f t="shared" si="5"/>
        <v>46173</v>
      </c>
      <c r="I111" s="237">
        <f>IFERROR((FWD!V15*1/3)+(FWD!AD14*2/3),"Expired")</f>
        <v>-0.17997370396624984</v>
      </c>
      <c r="M111" t="s">
        <v>86</v>
      </c>
      <c r="N111" s="429">
        <v>45814</v>
      </c>
      <c r="O111" s="442">
        <f>+N111+1</f>
        <v>45815</v>
      </c>
      <c r="P111" s="443">
        <v>700</v>
      </c>
      <c r="Q111" s="91"/>
      <c r="R111" s="429">
        <f>O111+17</f>
        <v>45832</v>
      </c>
      <c r="S111" s="430">
        <f>R111+4</f>
        <v>45836</v>
      </c>
    </row>
    <row r="112" spans="5:24" ht="15.65" customHeight="1" x14ac:dyDescent="0.35">
      <c r="E112" s="108">
        <f>FWD!E15</f>
        <v>46660</v>
      </c>
      <c r="F112" s="355">
        <f>IFERROR((FWD!V15*1/3)+(FWD!AD15*2/3),"Expired")</f>
        <v>-0.12178162950565921</v>
      </c>
      <c r="H112" s="108">
        <f t="shared" si="5"/>
        <v>46203</v>
      </c>
      <c r="I112" s="237">
        <f>IFERROR((FWD!V16*1/3)+(FWD!AD15*2/3),"Expired")</f>
        <v>-0.16711364241022744</v>
      </c>
      <c r="L112" t="s">
        <v>91</v>
      </c>
      <c r="M112" s="447" t="s">
        <v>88</v>
      </c>
      <c r="N112" s="444">
        <v>45816</v>
      </c>
      <c r="O112" s="445">
        <f>N112+1</f>
        <v>45817</v>
      </c>
      <c r="P112" s="446">
        <v>700</v>
      </c>
      <c r="Q112" s="91"/>
      <c r="R112" s="453">
        <f>O112+17</f>
        <v>45834</v>
      </c>
      <c r="S112" s="454">
        <f>R112+4</f>
        <v>45838</v>
      </c>
    </row>
    <row r="113" spans="5:19" ht="15.65" customHeight="1" x14ac:dyDescent="0.35">
      <c r="E113" s="108">
        <f>FWD!E16</f>
        <v>46691</v>
      </c>
      <c r="F113" s="355">
        <f>IFERROR((FWD!V16*1/3)+(FWD!AD16*2/3),"Expired")</f>
        <v>-0.30263640934661407</v>
      </c>
      <c r="H113" s="108">
        <f t="shared" si="5"/>
        <v>46234</v>
      </c>
      <c r="I113" s="237">
        <f>IFERROR((FWD!V17*1/3)+(FWD!AD16*2/3),"Expired")</f>
        <v>-0.33596974267994906</v>
      </c>
    </row>
    <row r="114" spans="5:19" ht="15.65" customHeight="1" x14ac:dyDescent="0.35">
      <c r="E114" s="108">
        <f>FWD!E17</f>
        <v>46721</v>
      </c>
      <c r="F114" s="355">
        <f>IFERROR((FWD!V17*1/3)+(FWD!AD17*2/3),"Expired")</f>
        <v>-0.34263640934662654</v>
      </c>
      <c r="H114" s="108">
        <f t="shared" si="5"/>
        <v>46265</v>
      </c>
      <c r="I114" s="237">
        <f>IFERROR((FWD!V18*1/3)+(FWD!AD17*2/3),"Expired")</f>
        <v>-0.3826364093466233</v>
      </c>
      <c r="N114" s="91"/>
      <c r="O114" s="91"/>
      <c r="P114" s="91"/>
      <c r="Q114" s="91"/>
      <c r="R114" s="91"/>
      <c r="S114" s="91"/>
    </row>
    <row r="115" spans="5:19" ht="15.65" customHeight="1" x14ac:dyDescent="0.35">
      <c r="E115" s="108">
        <f>FWD!E18</f>
        <v>46752</v>
      </c>
      <c r="F115" s="355">
        <f>IFERROR((FWD!V18*1/3)+(FWD!AD18*2/3),"Expired")</f>
        <v>0.1092526142939209</v>
      </c>
      <c r="H115" s="108">
        <f t="shared" si="5"/>
        <v>46295</v>
      </c>
      <c r="I115" s="237">
        <f>IFERROR((FWD!V19*1/3)+(FWD!AD18*2/3),"Expired")</f>
        <v>0.32519712611418139</v>
      </c>
      <c r="M115" t="s">
        <v>84</v>
      </c>
      <c r="N115" s="429">
        <v>45820</v>
      </c>
      <c r="O115" s="442">
        <f>+N115+1</f>
        <v>45821</v>
      </c>
      <c r="P115" s="443">
        <v>700</v>
      </c>
      <c r="Q115" s="91"/>
      <c r="R115" s="429">
        <f>O115+17</f>
        <v>45838</v>
      </c>
      <c r="S115" s="430">
        <f>R115+4</f>
        <v>45842</v>
      </c>
    </row>
    <row r="116" spans="5:19" ht="15.65" customHeight="1" x14ac:dyDescent="0.35">
      <c r="E116" s="108">
        <f>FWD!E19</f>
        <v>46783</v>
      </c>
      <c r="F116" s="355">
        <f>IFERROR((FWD!V19*1/3)+(FWD!AD19*2/3),"Expired")</f>
        <v>0.2251971261141755</v>
      </c>
      <c r="H116" s="108">
        <f t="shared" si="5"/>
        <v>46326</v>
      </c>
      <c r="I116" s="237">
        <f>IFERROR((FWD!V20*1/3)+(FWD!AD19*2/3),"Expired")</f>
        <v>0.18519712611417871</v>
      </c>
      <c r="M116" t="s">
        <v>88</v>
      </c>
      <c r="N116" s="427">
        <v>45824</v>
      </c>
      <c r="O116" s="440">
        <f>+N116+1</f>
        <v>45825</v>
      </c>
      <c r="P116" s="441">
        <v>700</v>
      </c>
      <c r="Q116" s="91"/>
      <c r="R116" s="427">
        <f>O116+17</f>
        <v>45842</v>
      </c>
      <c r="S116" s="428">
        <f>R116+4</f>
        <v>45846</v>
      </c>
    </row>
    <row r="117" spans="5:19" ht="15.65" customHeight="1" x14ac:dyDescent="0.35">
      <c r="E117" s="108">
        <f>FWD!E20</f>
        <v>46812</v>
      </c>
      <c r="F117" s="355">
        <f>IFERROR((FWD!V20*1/3)+(FWD!AD20*2/3),"Expired")</f>
        <v>0.14519712611417721</v>
      </c>
      <c r="H117" s="108">
        <f t="shared" si="5"/>
        <v>46356</v>
      </c>
      <c r="I117" s="237">
        <f>IFERROR((FWD!V21*1/3)+(FWD!AD20*2/3),"Expired")</f>
        <v>0.11519712611417131</v>
      </c>
      <c r="M117" t="s">
        <v>84</v>
      </c>
      <c r="N117" s="427">
        <v>45825</v>
      </c>
      <c r="O117" s="440">
        <f>+N117+1</f>
        <v>45826</v>
      </c>
      <c r="P117" s="441">
        <v>700</v>
      </c>
      <c r="Q117" s="91"/>
      <c r="R117" s="427">
        <f>O117+17</f>
        <v>45843</v>
      </c>
      <c r="S117" s="428">
        <f>R117+4</f>
        <v>45847</v>
      </c>
    </row>
    <row r="118" spans="5:19" ht="15.65" customHeight="1" x14ac:dyDescent="0.35">
      <c r="E118" s="172">
        <f>FWD!E21</f>
        <v>46843</v>
      </c>
      <c r="F118" s="356">
        <f>IFERROR((FWD!V21*1/3)+(FWD!AD21*2/3),"Expired")</f>
        <v>9.992429645764167E-2</v>
      </c>
      <c r="H118" s="172">
        <f t="shared" si="5"/>
        <v>46387</v>
      </c>
      <c r="I118" s="238">
        <f>IFERROR((FWD!V22*1/3)+(FWD!AD21*2/3),"Expired")</f>
        <v>7.2287881629379935E-2</v>
      </c>
      <c r="M118" t="s">
        <v>88</v>
      </c>
      <c r="N118" s="455">
        <v>45827</v>
      </c>
      <c r="O118" s="456">
        <f>+N118+1</f>
        <v>45828</v>
      </c>
      <c r="P118" s="457">
        <v>2000</v>
      </c>
      <c r="Q118" s="91"/>
      <c r="R118" s="455">
        <f>O118+17</f>
        <v>45845</v>
      </c>
      <c r="S118" s="458">
        <f>R118+4</f>
        <v>45849</v>
      </c>
    </row>
    <row r="119" spans="5:19" ht="15.65" customHeight="1" x14ac:dyDescent="0.35">
      <c r="N119" s="91"/>
      <c r="O119" s="91"/>
      <c r="P119" s="91"/>
      <c r="Q119" s="91"/>
      <c r="R119" s="91"/>
      <c r="S119" s="91"/>
    </row>
    <row r="120" spans="5:19" ht="15.65" customHeight="1" x14ac:dyDescent="0.35">
      <c r="M120" t="s">
        <v>88</v>
      </c>
      <c r="N120" s="435">
        <v>45831</v>
      </c>
      <c r="O120" s="436">
        <f>+N120+1</f>
        <v>45832</v>
      </c>
      <c r="P120" s="437">
        <v>700</v>
      </c>
      <c r="Q120" s="435"/>
      <c r="R120" s="467">
        <f>O120+17</f>
        <v>45849</v>
      </c>
      <c r="S120" s="468">
        <f>R120+4</f>
        <v>45853</v>
      </c>
    </row>
    <row r="121" spans="5:19" ht="15.65" customHeight="1" x14ac:dyDescent="0.35">
      <c r="L121" t="s">
        <v>92</v>
      </c>
      <c r="M121" s="447" t="s">
        <v>90</v>
      </c>
      <c r="N121" s="435">
        <v>45834</v>
      </c>
      <c r="O121" s="436">
        <f>+N121+1</f>
        <v>45835</v>
      </c>
      <c r="P121" s="437">
        <v>700</v>
      </c>
      <c r="Q121" s="435"/>
      <c r="R121" s="435">
        <f>O121+17</f>
        <v>45852</v>
      </c>
      <c r="S121" s="437">
        <f>R121+4</f>
        <v>45856</v>
      </c>
    </row>
    <row r="122" spans="5:19" ht="15.65" customHeight="1" x14ac:dyDescent="0.35">
      <c r="M122" t="s">
        <v>90</v>
      </c>
      <c r="N122" s="435">
        <v>45835</v>
      </c>
      <c r="O122" s="436">
        <f>+N122+1</f>
        <v>45836</v>
      </c>
      <c r="P122" s="437">
        <v>700</v>
      </c>
      <c r="Q122" s="435"/>
      <c r="R122" s="435">
        <f>O122+17</f>
        <v>45853</v>
      </c>
      <c r="S122" s="437">
        <f>R122+4</f>
        <v>45857</v>
      </c>
    </row>
    <row r="123" spans="5:19" ht="15.65" customHeight="1" x14ac:dyDescent="0.35">
      <c r="M123" t="s">
        <v>88</v>
      </c>
      <c r="N123" s="455">
        <v>45837</v>
      </c>
      <c r="O123" s="456">
        <f>+N123+1</f>
        <v>45838</v>
      </c>
      <c r="P123" s="457">
        <v>2000</v>
      </c>
      <c r="Q123" s="91"/>
      <c r="R123" s="455">
        <f>O123+17</f>
        <v>45855</v>
      </c>
      <c r="S123" s="458">
        <f>R123+4</f>
        <v>45859</v>
      </c>
    </row>
    <row r="125" spans="5:19" ht="15.65" customHeight="1" x14ac:dyDescent="0.35">
      <c r="M125" t="s">
        <v>93</v>
      </c>
      <c r="P125" s="434">
        <f>SUM(P102,P104,P106,P107,P111,P115,P116,P117,P118,P123)</f>
        <v>9600</v>
      </c>
    </row>
  </sheetData>
  <mergeCells count="23">
    <mergeCell ref="B47"/>
    <mergeCell ref="B48"/>
    <mergeCell ref="B49"/>
    <mergeCell ref="B42"/>
    <mergeCell ref="B43"/>
    <mergeCell ref="B44"/>
    <mergeCell ref="B45"/>
    <mergeCell ref="B46"/>
    <mergeCell ref="V101:X101"/>
    <mergeCell ref="L62:N62"/>
    <mergeCell ref="N99:P99"/>
    <mergeCell ref="R101:T101"/>
    <mergeCell ref="N101:O101"/>
    <mergeCell ref="J2:N2"/>
    <mergeCell ref="B3:N3"/>
    <mergeCell ref="B4:N4"/>
    <mergeCell ref="B19:N19"/>
    <mergeCell ref="B28:N28"/>
    <mergeCell ref="B37:N37"/>
    <mergeCell ref="B38"/>
    <mergeCell ref="B39"/>
    <mergeCell ref="B40"/>
    <mergeCell ref="B41"/>
  </mergeCell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  <customProperties>
    <customPr name="GvHasTableInfo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T132"/>
  <sheetViews>
    <sheetView showGridLines="0" tabSelected="1" zoomScale="80" zoomScaleNormal="80" workbookViewId="0">
      <selection activeCell="N26" sqref="N26"/>
    </sheetView>
  </sheetViews>
  <sheetFormatPr defaultColWidth="9" defaultRowHeight="15.5" x14ac:dyDescent="0.35"/>
  <cols>
    <col min="1" max="1" width="7.7265625" style="271" bestFit="1" customWidth="1"/>
    <col min="2" max="2" width="7.54296875" style="319" customWidth="1"/>
    <col min="3" max="3" width="15.6328125" style="271" bestFit="1" customWidth="1"/>
    <col min="4" max="4" width="13.08984375" style="271" bestFit="1" customWidth="1"/>
    <col min="5" max="7" width="8.1796875" style="271" bestFit="1" customWidth="1"/>
    <col min="8" max="8" width="7.36328125" style="271" bestFit="1" customWidth="1"/>
    <col min="9" max="9" width="10.54296875" style="271" bestFit="1" customWidth="1"/>
    <col min="10" max="10" width="9.08984375" style="271" bestFit="1" customWidth="1"/>
    <col min="11" max="11" width="15" style="271" bestFit="1" customWidth="1"/>
    <col min="12" max="12" width="9.1796875" style="271" customWidth="1"/>
    <col min="13" max="13" width="7.453125" style="271" customWidth="1"/>
    <col min="14" max="14" width="15.54296875" style="315" customWidth="1"/>
    <col min="15" max="15" width="11.453125" style="271" bestFit="1" customWidth="1"/>
    <col min="16" max="16" width="14.453125" style="271" bestFit="1" customWidth="1"/>
    <col min="17" max="17" width="17.90625" style="271" bestFit="1" customWidth="1"/>
    <col min="18" max="18" width="16.7265625" style="271" bestFit="1" customWidth="1"/>
    <col min="19" max="19" width="8.81640625" style="271" bestFit="1" customWidth="1"/>
    <col min="20" max="20" width="2.54296875" style="271" customWidth="1"/>
    <col min="21" max="22" width="11.54296875" style="271" customWidth="1"/>
    <col min="23" max="23" width="2" style="271" customWidth="1"/>
    <col min="24" max="24" width="15.7265625" style="271" bestFit="1" customWidth="1"/>
    <col min="25" max="25" width="12.7265625" style="271" bestFit="1" customWidth="1"/>
    <col min="26" max="26" width="15.7265625" style="271" bestFit="1" customWidth="1"/>
    <col min="27" max="27" width="11.7265625" style="271" bestFit="1" customWidth="1"/>
    <col min="28" max="28" width="15.7265625" style="271" bestFit="1" customWidth="1"/>
    <col min="29" max="29" width="6.54296875" style="271" customWidth="1"/>
    <col min="30" max="30" width="15.54296875" style="271" bestFit="1" customWidth="1"/>
    <col min="31" max="32" width="11.54296875" style="271" bestFit="1" customWidth="1"/>
    <col min="33" max="33" width="10.81640625" style="271" bestFit="1" customWidth="1"/>
    <col min="34" max="34" width="20.453125" style="271" customWidth="1"/>
    <col min="35" max="35" width="13.54296875" style="271" bestFit="1" customWidth="1"/>
    <col min="36" max="36" width="5.54296875" style="271" customWidth="1"/>
    <col min="37" max="37" width="12.54296875" style="271" bestFit="1" customWidth="1"/>
    <col min="38" max="38" width="13" style="271" bestFit="1" customWidth="1"/>
    <col min="39" max="39" width="12.54296875" style="271" bestFit="1" customWidth="1"/>
    <col min="40" max="40" width="4.54296875" style="271" customWidth="1"/>
    <col min="41" max="42" width="12.453125" style="271" bestFit="1" customWidth="1"/>
    <col min="43" max="43" width="11" style="271" bestFit="1" customWidth="1"/>
    <col min="44" max="44" width="9" style="271"/>
    <col min="45" max="50" width="12.453125" style="271" bestFit="1" customWidth="1"/>
    <col min="51" max="64" width="9" style="271"/>
    <col min="65" max="66" width="9.453125" style="271" bestFit="1" customWidth="1"/>
    <col min="67" max="68" width="9" style="271"/>
    <col min="69" max="69" width="9.453125" style="271" bestFit="1" customWidth="1"/>
    <col min="70" max="70" width="11" style="271" bestFit="1" customWidth="1"/>
    <col min="71" max="72" width="10" style="271" bestFit="1" customWidth="1"/>
    <col min="73" max="73" width="11" style="271" bestFit="1" customWidth="1"/>
    <col min="74" max="16384" width="9" style="271"/>
  </cols>
  <sheetData>
    <row r="1" spans="1:51" ht="16" thickBot="1" x14ac:dyDescent="0.4">
      <c r="A1" s="322">
        <v>46293</v>
      </c>
      <c r="C1" s="555" t="s">
        <v>94</v>
      </c>
      <c r="D1" s="556"/>
      <c r="E1" s="348">
        <f>Sheet1!S3</f>
        <v>46387</v>
      </c>
      <c r="F1" s="349">
        <f>EOMONTH(E1,1)</f>
        <v>46418</v>
      </c>
      <c r="G1" s="349">
        <f>EOMONTH(F1,1)</f>
        <v>46446</v>
      </c>
      <c r="H1" s="349">
        <f>EOMONTH(G1,1)</f>
        <v>46477</v>
      </c>
      <c r="I1" s="350" t="s">
        <v>95</v>
      </c>
      <c r="J1" s="350" t="s">
        <v>96</v>
      </c>
      <c r="K1" s="350" t="s">
        <v>97</v>
      </c>
      <c r="L1" s="351" t="s">
        <v>98</v>
      </c>
      <c r="M1" s="315"/>
      <c r="N1" s="91" t="s">
        <v>99</v>
      </c>
      <c r="O1"/>
    </row>
    <row r="2" spans="1:51" ht="16" thickBot="1" x14ac:dyDescent="0.4">
      <c r="A2" s="93">
        <f t="shared" ref="A2:A17" si="0">A1+7</f>
        <v>46300</v>
      </c>
      <c r="C2" s="330"/>
      <c r="D2" s="331" t="s">
        <v>100</v>
      </c>
      <c r="E2" s="334"/>
      <c r="F2" s="352">
        <f>-(Sheet1!T4-Sheet1!T3)</f>
        <v>3.8699999999999903</v>
      </c>
      <c r="G2" s="352">
        <f>Sheet1!T4-Sheet1!T5</f>
        <v>3.0799999999999983</v>
      </c>
      <c r="H2" s="352">
        <f>Sheet1!U4-Sheet1!U5</f>
        <v>2.2399999999999949</v>
      </c>
      <c r="J2" s="332"/>
      <c r="K2" s="332"/>
      <c r="L2" s="333"/>
      <c r="N2" s="270" t="str">
        <f>Q3</f>
        <v>CFD Week</v>
      </c>
      <c r="O2" s="258" t="str">
        <f>AB3</f>
        <v>Curve Value</v>
      </c>
      <c r="P2"/>
      <c r="Q2" s="246">
        <v>1</v>
      </c>
      <c r="R2" t="str">
        <f>TEXT(A1,"mmmdd")&amp;"-"&amp;TEXT(WORKDAY(A1,4),"mmmdd")</f>
        <v>Sep28-Oct02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N2"/>
      <c r="AO2"/>
      <c r="AP2"/>
      <c r="AQ2"/>
      <c r="AR2"/>
      <c r="AS2"/>
      <c r="AT2"/>
      <c r="AU2"/>
      <c r="AV2"/>
      <c r="AW2"/>
      <c r="AX2"/>
    </row>
    <row r="3" spans="1:51" s="315" customFormat="1" ht="16" thickBot="1" x14ac:dyDescent="0.4">
      <c r="A3" s="93">
        <f t="shared" si="0"/>
        <v>46307</v>
      </c>
      <c r="B3" s="319"/>
      <c r="C3" s="345"/>
      <c r="D3" s="346" t="s">
        <v>101</v>
      </c>
      <c r="E3" s="371"/>
      <c r="F3" s="371"/>
      <c r="G3" s="371"/>
      <c r="H3" s="372"/>
      <c r="I3" s="346"/>
      <c r="J3" s="346"/>
      <c r="K3" s="346"/>
      <c r="L3" s="347"/>
      <c r="M3" s="271"/>
      <c r="N3" s="353"/>
      <c r="O3" s="354"/>
      <c r="P3"/>
      <c r="Q3" s="254" t="s">
        <v>102</v>
      </c>
      <c r="R3" s="253" t="s">
        <v>103</v>
      </c>
      <c r="S3" s="252" t="s">
        <v>104</v>
      </c>
      <c r="T3"/>
      <c r="U3" s="387" t="s">
        <v>105</v>
      </c>
      <c r="V3" s="388"/>
      <c r="W3"/>
      <c r="X3" s="254" t="s">
        <v>106</v>
      </c>
      <c r="Y3" s="259" t="s">
        <v>107</v>
      </c>
      <c r="Z3" s="259" t="s">
        <v>108</v>
      </c>
      <c r="AA3" s="259" t="s">
        <v>109</v>
      </c>
      <c r="AB3" s="258" t="s">
        <v>110</v>
      </c>
      <c r="AC3"/>
      <c r="AD3"/>
      <c r="AE3"/>
      <c r="AF3"/>
      <c r="AG3"/>
      <c r="AH3" s="385" t="s">
        <v>111</v>
      </c>
      <c r="AI3" s="386"/>
      <c r="AJ3"/>
      <c r="AK3" s="279"/>
      <c r="AL3" s="279"/>
      <c r="AM3" s="279"/>
      <c r="AN3"/>
      <c r="AO3"/>
      <c r="AP3" t="s">
        <v>112</v>
      </c>
      <c r="AQ3" t="s">
        <v>113</v>
      </c>
      <c r="AR3"/>
      <c r="AS3"/>
      <c r="AT3"/>
      <c r="AU3"/>
      <c r="AV3"/>
      <c r="AW3"/>
      <c r="AX3"/>
      <c r="AY3" s="279"/>
    </row>
    <row r="4" spans="1:51" ht="16" thickBot="1" x14ac:dyDescent="0.4">
      <c r="A4" s="93">
        <f t="shared" si="0"/>
        <v>46314</v>
      </c>
      <c r="C4" s="340">
        <v>2670</v>
      </c>
      <c r="D4" s="449" t="str">
        <f>TEXT(A1,"mmmdd")&amp;"-"&amp;TEXT(WORKDAY(A1,4),"mmmdd")</f>
        <v>Sep28-Oct02</v>
      </c>
      <c r="E4" s="335">
        <f>C4/100</f>
        <v>26.7</v>
      </c>
      <c r="F4" s="341">
        <f t="shared" ref="F4:H7" si="1">(E4)+F$2</f>
        <v>30.56999999999999</v>
      </c>
      <c r="G4" s="341">
        <f t="shared" si="1"/>
        <v>33.649999999999991</v>
      </c>
      <c r="H4" s="342">
        <f t="shared" si="1"/>
        <v>35.889999999999986</v>
      </c>
      <c r="I4" s="338"/>
      <c r="J4" s="338">
        <f>C4-C5</f>
        <v>500</v>
      </c>
      <c r="K4" s="338">
        <f>C4-C6</f>
        <v>1210</v>
      </c>
      <c r="L4" s="339">
        <f>J4+J3+J5</f>
        <v>1210</v>
      </c>
      <c r="N4" s="329" t="str">
        <f t="shared" ref="N4:N7" si="2">D4</f>
        <v>Sep28-Oct02</v>
      </c>
      <c r="O4" s="263" t="e">
        <f>AB4</f>
        <v>#N/A</v>
      </c>
      <c r="P4">
        <f>VLOOKUP(Q4,USG!$D$1:$H$19,MATCH(USG!R4,USG!$D$1:$H$1,0),FALSE)</f>
        <v>26.7</v>
      </c>
      <c r="Q4" s="285" t="str">
        <f>TEXT(A1,"mmmdd")&amp;"-"&amp;TEXT(WORKDAY(A1,4),"mmmdd")</f>
        <v>Sep28-Oct02</v>
      </c>
      <c r="R4" s="286">
        <f t="shared" ref="R4:R16" si="3">EOMONTH(V4,2)</f>
        <v>46387</v>
      </c>
      <c r="S4" s="287">
        <f>P4</f>
        <v>26.7</v>
      </c>
      <c r="T4"/>
      <c r="U4" s="288">
        <f>A1</f>
        <v>46293</v>
      </c>
      <c r="V4" s="289">
        <f t="shared" ref="V4:V16" si="4">WORKDAY(U4,4)</f>
        <v>46297</v>
      </c>
      <c r="W4"/>
      <c r="X4" s="363" t="e">
        <f>VLOOKUP(AP$4,Sheet1!$P$3:$Q$41,2,FALSE)-VLOOKUP($AQ4,Sheet1!$S$3:$T$41,2,FALSE)+HLOOKUP(AP4,$D$25:$H$26,2,FALSE)</f>
        <v>#N/A</v>
      </c>
      <c r="Y4" s="255">
        <v>0</v>
      </c>
      <c r="Z4" s="255">
        <f>IF(EOMONTH(AI4,0)&lt;AP4,USG!$D$29,0)</f>
        <v>3</v>
      </c>
      <c r="AA4" s="255" t="e">
        <f ca="1">IFERROR(VLOOKUP(AG4,Freight!$A$3:$F$22,MATCH("TD25",Freight!$A$3:$F$3,0),FALSE),VLOOKUP(EOMONTH(AG4,1),Freight!$A$3:$F$22,MATCH("TD25",Freight!$A$3:$F$3,0),FALSE))+$AB$28</f>
        <v>#VALUE!</v>
      </c>
      <c r="AB4" s="264" t="e">
        <f t="shared" ref="AB4:AB16" si="5">SUM(X4:AA4)-S4</f>
        <v>#N/A</v>
      </c>
      <c r="AC4"/>
      <c r="AD4"/>
      <c r="AE4"/>
      <c r="AF4"/>
      <c r="AG4" s="87" t="str">
        <f ca="1">IF(AH4&lt;TODAY()+10,"Balmo",EOMONTH(AH4,0))</f>
        <v>Balmo</v>
      </c>
      <c r="AH4" s="288">
        <f t="shared" ref="AH4:AH17" si="6">U4-17</f>
        <v>46276</v>
      </c>
      <c r="AI4" s="289">
        <f t="shared" ref="AI4:AI17" si="7">V4-17</f>
        <v>46280</v>
      </c>
      <c r="AJ4" s="291"/>
      <c r="AK4" s="281"/>
      <c r="AL4" s="281"/>
      <c r="AM4" s="281"/>
      <c r="AN4"/>
      <c r="AO4" s="286">
        <f t="shared" ref="AO4:AO7" si="8">EOMONTH(AH4,0)</f>
        <v>46295</v>
      </c>
      <c r="AP4" s="87">
        <f>IF(AI4&gt;USG!$E$25,EOMONTH(AI4,0),USG!$E$25)</f>
        <v>46356</v>
      </c>
      <c r="AQ4" s="87">
        <f>EOMONTH(U4,2)</f>
        <v>46356</v>
      </c>
      <c r="AR4"/>
      <c r="AS4"/>
      <c r="AT4"/>
      <c r="AU4"/>
      <c r="AV4"/>
      <c r="AW4"/>
      <c r="AX4"/>
      <c r="AY4" s="281"/>
    </row>
    <row r="5" spans="1:51" ht="15.75" customHeight="1" x14ac:dyDescent="0.35">
      <c r="A5" s="93">
        <f t="shared" si="0"/>
        <v>46321</v>
      </c>
      <c r="C5" s="340">
        <v>2170</v>
      </c>
      <c r="D5" s="450" t="str">
        <f>TEXT(A2,"mmmdd")&amp;"-"&amp;TEXT(WORKDAY(A2,4),"mmmdd")</f>
        <v>Oct05-Oct09</v>
      </c>
      <c r="E5" s="336">
        <f t="shared" ref="E5:E7" si="9">C5/100</f>
        <v>21.7</v>
      </c>
      <c r="F5" s="337">
        <f t="shared" si="1"/>
        <v>25.56999999999999</v>
      </c>
      <c r="G5" s="337">
        <f t="shared" si="1"/>
        <v>28.649999999999988</v>
      </c>
      <c r="H5" s="343">
        <f t="shared" si="1"/>
        <v>30.889999999999983</v>
      </c>
      <c r="I5" s="338"/>
      <c r="J5" s="338">
        <f t="shared" ref="J5:J6" si="10">C5-C6</f>
        <v>710</v>
      </c>
      <c r="K5" s="338">
        <f>J5+J6</f>
        <v>1310</v>
      </c>
      <c r="L5" s="339">
        <f>J5+J6+J7</f>
        <v>1585</v>
      </c>
      <c r="N5" s="320" t="str">
        <f t="shared" si="2"/>
        <v>Oct05-Oct09</v>
      </c>
      <c r="O5" s="263" t="e">
        <f ca="1">AB5</f>
        <v>#VALUE!</v>
      </c>
      <c r="P5">
        <f>VLOOKUP(Q5,USG!$D$1:$H$19,MATCH(USG!R5,USG!$D$1:$H$1,0),FALSE)</f>
        <v>21.7</v>
      </c>
      <c r="Q5" s="285" t="str">
        <f>TEXT(A2,"mmmdd")&amp;"-"&amp;TEXT(WORKDAY(A2,4),"mmmdd")</f>
        <v>Oct05-Oct09</v>
      </c>
      <c r="R5" s="292">
        <f t="shared" si="3"/>
        <v>46387</v>
      </c>
      <c r="S5" s="293">
        <f t="shared" ref="S5:S16" si="11">P5</f>
        <v>21.7</v>
      </c>
      <c r="T5"/>
      <c r="U5" s="294">
        <f t="shared" ref="U5:U16" si="12">WORKDAY(V4,1)</f>
        <v>46300</v>
      </c>
      <c r="V5" s="295">
        <f t="shared" si="4"/>
        <v>46304</v>
      </c>
      <c r="W5"/>
      <c r="X5" s="296">
        <f>VLOOKUP(AP$4,Sheet1!$P$3:$Q$41,2,FALSE)-VLOOKUP($AQ5,Sheet1!$S$3:$T$41,2,FALSE)+HLOOKUP(AP5,$D$25:$H$26,2,FALSE)</f>
        <v>-8.0999999999999943</v>
      </c>
      <c r="Y5" s="262">
        <v>0</v>
      </c>
      <c r="Z5" s="262">
        <f>IF(EOMONTH(AI5,0)&lt;AP5,USG!$D$29,0)</f>
        <v>3</v>
      </c>
      <c r="AA5" s="367" t="e">
        <f ca="1">IFERROR(VLOOKUP(AG5,Freight!$A$3:$F$22,MATCH("TD25",Freight!$A$3:$F$3,0),FALSE),VLOOKUP(EOMONTH(AG5,1),Freight!$A$3:$F$22,MATCH("TD25",Freight!$A$3:$F$3,0),FALSE))+$AB$28</f>
        <v>#VALUE!</v>
      </c>
      <c r="AB5" s="360" t="e">
        <f t="shared" ca="1" si="5"/>
        <v>#VALUE!</v>
      </c>
      <c r="AC5"/>
      <c r="AD5"/>
      <c r="AE5"/>
      <c r="AF5"/>
      <c r="AG5" s="87" t="str">
        <f t="shared" ref="AG5:AG17" ca="1" si="13">IF(AH5&lt;TODAY()+10,"Balmo",EOMONTH(AH5,0))</f>
        <v>Balmo</v>
      </c>
      <c r="AH5" s="294">
        <f t="shared" si="6"/>
        <v>46283</v>
      </c>
      <c r="AI5" s="295">
        <f t="shared" si="7"/>
        <v>46287</v>
      </c>
      <c r="AJ5"/>
      <c r="AK5" s="281"/>
      <c r="AL5" s="281"/>
      <c r="AM5" s="281"/>
      <c r="AN5"/>
      <c r="AO5" s="286">
        <f t="shared" si="8"/>
        <v>46295</v>
      </c>
      <c r="AP5" s="87">
        <f>IF(AI5&gt;USG!$E$25,EOMONTH(AI5,0),USG!$E$25)</f>
        <v>46356</v>
      </c>
      <c r="AQ5" s="87">
        <f t="shared" ref="AQ5:AQ24" si="14">EOMONTH(U5,2)</f>
        <v>46387</v>
      </c>
      <c r="AR5"/>
      <c r="AS5"/>
      <c r="AT5"/>
      <c r="AU5"/>
      <c r="AV5"/>
      <c r="AW5"/>
      <c r="AX5"/>
      <c r="AY5" s="281"/>
    </row>
    <row r="6" spans="1:51" x14ac:dyDescent="0.35">
      <c r="A6" s="93">
        <f t="shared" si="0"/>
        <v>46328</v>
      </c>
      <c r="C6" s="344">
        <v>1460</v>
      </c>
      <c r="D6" s="450" t="str">
        <f>TEXT(A3,"mmmdd")&amp;"-"&amp;TEXT(WORKDAY(A3,4),"mmmdd")</f>
        <v>Oct12-Oct16</v>
      </c>
      <c r="E6" s="336">
        <f t="shared" si="9"/>
        <v>14.6</v>
      </c>
      <c r="F6" s="337">
        <f t="shared" si="1"/>
        <v>18.469999999999992</v>
      </c>
      <c r="G6" s="337">
        <f t="shared" si="1"/>
        <v>21.54999999999999</v>
      </c>
      <c r="H6" s="343">
        <f t="shared" si="1"/>
        <v>23.789999999999985</v>
      </c>
      <c r="I6" s="338"/>
      <c r="J6" s="338">
        <f t="shared" si="10"/>
        <v>600</v>
      </c>
      <c r="K6" s="338">
        <f t="shared" ref="K6" si="15">J6+J7</f>
        <v>875</v>
      </c>
      <c r="L6" s="339">
        <f>J6+J7+J8</f>
        <v>1040</v>
      </c>
      <c r="N6" s="320" t="str">
        <f t="shared" si="2"/>
        <v>Oct12-Oct16</v>
      </c>
      <c r="O6" s="263" t="e">
        <f ca="1">AB6</f>
        <v>#VALUE!</v>
      </c>
      <c r="P6">
        <f>VLOOKUP(Q6,USG!$D$1:$H$19,MATCH(USG!R6,USG!$D$1:$H$1,0),FALSE)</f>
        <v>14.6</v>
      </c>
      <c r="Q6" s="298" t="str">
        <f>TEXT(A3,"mmmdd")&amp;"-"&amp;TEXT(WORKDAY(A3,4),"mmmdd")</f>
        <v>Oct12-Oct16</v>
      </c>
      <c r="R6" s="292">
        <f t="shared" si="3"/>
        <v>46387</v>
      </c>
      <c r="S6" s="293">
        <f t="shared" si="11"/>
        <v>14.6</v>
      </c>
      <c r="T6"/>
      <c r="U6" s="294">
        <f t="shared" si="12"/>
        <v>46307</v>
      </c>
      <c r="V6" s="295">
        <f t="shared" si="4"/>
        <v>46311</v>
      </c>
      <c r="W6"/>
      <c r="X6" s="296">
        <f>VLOOKUP(AP$4,Sheet1!$P$3:$Q$41,2,FALSE)-VLOOKUP($AQ6,Sheet1!$S$3:$T$41,2,FALSE)+HLOOKUP(AP6,$D$25:$H$26,2,FALSE)</f>
        <v>-8.0999999999999943</v>
      </c>
      <c r="Y6" s="262">
        <v>0</v>
      </c>
      <c r="Z6" s="262">
        <f>IF(EOMONTH(AI6,0)&lt;AP6,USG!$D$29,0)</f>
        <v>3</v>
      </c>
      <c r="AA6" s="367" t="e">
        <f ca="1">IFERROR(VLOOKUP(AG6,Freight!$A$3:$F$22,MATCH("TD25",Freight!$A$3:$F$3,0),FALSE),VLOOKUP(EOMONTH(AG6,1),Freight!$A$3:$F$22,MATCH("TD25",Freight!$A$3:$F$3,0),FALSE))+$AB$28</f>
        <v>#VALUE!</v>
      </c>
      <c r="AB6" s="360" t="e">
        <f t="shared" ca="1" si="5"/>
        <v>#VALUE!</v>
      </c>
      <c r="AC6"/>
      <c r="AD6"/>
      <c r="AE6"/>
      <c r="AF6"/>
      <c r="AG6" s="87" t="str">
        <f t="shared" ca="1" si="13"/>
        <v>Balmo</v>
      </c>
      <c r="AH6" s="294">
        <f t="shared" si="6"/>
        <v>46290</v>
      </c>
      <c r="AI6" s="295">
        <f t="shared" si="7"/>
        <v>46294</v>
      </c>
      <c r="AJ6"/>
      <c r="AK6" s="281"/>
      <c r="AL6" s="281"/>
      <c r="AM6" s="281"/>
      <c r="AN6"/>
      <c r="AO6" s="286">
        <f t="shared" si="8"/>
        <v>46295</v>
      </c>
      <c r="AP6" s="87">
        <f>IF(AI6&gt;USG!$E$25,EOMONTH(AI6,0),USG!$E$25)</f>
        <v>46356</v>
      </c>
      <c r="AQ6" s="87">
        <f t="shared" si="14"/>
        <v>46387</v>
      </c>
      <c r="AR6"/>
      <c r="AS6"/>
      <c r="AT6"/>
      <c r="AU6"/>
      <c r="AV6"/>
      <c r="AW6"/>
      <c r="AX6"/>
      <c r="AY6" s="281"/>
    </row>
    <row r="7" spans="1:51" ht="15.75" customHeight="1" x14ac:dyDescent="0.35">
      <c r="C7" s="448">
        <v>860</v>
      </c>
      <c r="D7" s="450" t="str">
        <f>TEXT(A4,"mmmdd")&amp;"-"&amp;TEXT(WORKDAY(A4,4),"mmmdd")</f>
        <v>Oct19-Oct23</v>
      </c>
      <c r="E7" s="336">
        <f t="shared" si="9"/>
        <v>8.6</v>
      </c>
      <c r="F7" s="337">
        <f t="shared" si="1"/>
        <v>12.46999999999999</v>
      </c>
      <c r="G7" s="337">
        <f t="shared" si="1"/>
        <v>15.549999999999988</v>
      </c>
      <c r="H7" s="343">
        <f t="shared" si="1"/>
        <v>17.789999999999985</v>
      </c>
      <c r="I7" s="338"/>
      <c r="J7" s="338">
        <f>C7-C8</f>
        <v>275</v>
      </c>
      <c r="K7" s="338">
        <f>J7+J8</f>
        <v>440</v>
      </c>
      <c r="L7" s="339">
        <f>J7+J8+J10</f>
        <v>630</v>
      </c>
      <c r="N7" s="320" t="str">
        <f t="shared" si="2"/>
        <v>Oct19-Oct23</v>
      </c>
      <c r="O7" s="263" t="e">
        <f ca="1">AB7</f>
        <v>#VALUE!</v>
      </c>
      <c r="P7">
        <f>VLOOKUP(Q7,USG!$D$1:$H$19,MATCH(USG!R7,USG!$D$1:$H$1,0),FALSE)</f>
        <v>8.6</v>
      </c>
      <c r="Q7" s="301" t="str">
        <f>TEXT(A4,"mmmdd")&amp;"-"&amp;TEXT(WORKDAY(A4,4),"mmmdd")</f>
        <v>Oct19-Oct23</v>
      </c>
      <c r="R7" s="302">
        <f t="shared" si="3"/>
        <v>46387</v>
      </c>
      <c r="S7" s="303">
        <f t="shared" si="11"/>
        <v>8.6</v>
      </c>
      <c r="T7"/>
      <c r="U7" s="304">
        <f t="shared" si="12"/>
        <v>46314</v>
      </c>
      <c r="V7" s="305">
        <f t="shared" si="4"/>
        <v>46318</v>
      </c>
      <c r="W7"/>
      <c r="X7" s="306">
        <f>VLOOKUP(AP$4,Sheet1!$P$3:$Q$41,2,FALSE)-VLOOKUP($AQ7,Sheet1!$S$3:$T$41,2,FALSE)+HLOOKUP(AP7,$D$25:$H$26,2,FALSE)</f>
        <v>-8.0999999999999943</v>
      </c>
      <c r="Y7" s="262">
        <v>0</v>
      </c>
      <c r="Z7" s="261">
        <f>IF(EOMONTH(AI7,0)&lt;AP7,USG!$D$29,0)</f>
        <v>3</v>
      </c>
      <c r="AA7" s="367" t="e">
        <f ca="1">IFERROR(VLOOKUP(AG7,Freight!$A$3:$F$22,MATCH("TD25",Freight!$A$3:$F$3,0),FALSE),VLOOKUP(EOMONTH(AG7,1),Freight!$A$3:$F$22,MATCH("TD25",Freight!$A$3:$F$3,0),FALSE))+$AB$28</f>
        <v>#VALUE!</v>
      </c>
      <c r="AB7" s="364" t="e">
        <f t="shared" ca="1" si="5"/>
        <v>#VALUE!</v>
      </c>
      <c r="AC7"/>
      <c r="AD7"/>
      <c r="AE7"/>
      <c r="AF7"/>
      <c r="AG7" s="87" t="str">
        <f t="shared" ca="1" si="13"/>
        <v>Balmo</v>
      </c>
      <c r="AH7" s="304">
        <f t="shared" si="6"/>
        <v>46297</v>
      </c>
      <c r="AI7" s="305">
        <f t="shared" si="7"/>
        <v>46301</v>
      </c>
      <c r="AJ7"/>
      <c r="AN7"/>
      <c r="AO7" s="286">
        <f t="shared" si="8"/>
        <v>46326</v>
      </c>
      <c r="AP7" s="87">
        <f>IF(AI7&gt;USG!$E$25,EOMONTH(AI7,0),USG!$E$25)</f>
        <v>46356</v>
      </c>
      <c r="AQ7" s="87">
        <f t="shared" si="14"/>
        <v>46387</v>
      </c>
      <c r="AR7"/>
      <c r="AS7"/>
      <c r="AT7"/>
      <c r="AU7"/>
      <c r="AV7"/>
      <c r="AW7"/>
      <c r="AX7"/>
    </row>
    <row r="8" spans="1:51" x14ac:dyDescent="0.35">
      <c r="A8" s="93">
        <f>A9+7</f>
        <v>46342</v>
      </c>
      <c r="C8" s="340">
        <v>585</v>
      </c>
      <c r="D8" s="451" t="str">
        <f>TEXT(A5,"mmmdd")&amp;"-"&amp;TEXT(WORKDAY(A5,4),"mmmdd")</f>
        <v>Oct26-Oct30</v>
      </c>
      <c r="E8" s="336">
        <f t="shared" ref="E8" si="16">C8/100</f>
        <v>5.85</v>
      </c>
      <c r="F8" s="337">
        <f>(E8)+F$2</f>
        <v>9.71999999999999</v>
      </c>
      <c r="G8" s="337">
        <f>(F8)+G$2</f>
        <v>12.799999999999988</v>
      </c>
      <c r="H8" s="343">
        <f>(G8)+H$2</f>
        <v>15.039999999999983</v>
      </c>
      <c r="I8" s="338"/>
      <c r="J8" s="338">
        <f>C8-C10</f>
        <v>165</v>
      </c>
      <c r="K8" s="338">
        <f>C8-C11</f>
        <v>355</v>
      </c>
      <c r="L8" s="339">
        <f>J8+J7+J10</f>
        <v>630</v>
      </c>
      <c r="N8" s="320" t="str">
        <f>D8</f>
        <v>Oct26-Oct30</v>
      </c>
      <c r="O8" s="263" t="e">
        <f ca="1">AB8</f>
        <v>#VALUE!</v>
      </c>
      <c r="P8">
        <f>VLOOKUP(Q8,USG!$D$1:$H$19,MATCH(USG!R8,USG!$D$1:$H$1,0),FALSE)</f>
        <v>5.85</v>
      </c>
      <c r="Q8" s="298" t="str">
        <f>TEXT(A5,"mmmdd")&amp;"-"&amp;TEXT(WORKDAY(A5,4),"mmmdd")</f>
        <v>Oct26-Oct30</v>
      </c>
      <c r="R8" s="292">
        <f>EOMONTH(V8,2)</f>
        <v>46387</v>
      </c>
      <c r="S8" s="303">
        <f>P8</f>
        <v>5.85</v>
      </c>
      <c r="T8"/>
      <c r="U8" s="294">
        <f>WORKDAY(V7,1)</f>
        <v>46321</v>
      </c>
      <c r="V8" s="295">
        <f>WORKDAY(U8,4)</f>
        <v>46325</v>
      </c>
      <c r="W8"/>
      <c r="X8" s="296">
        <f>VLOOKUP(AP$4,Sheet1!$P$3:$Q$41,2,FALSE)-VLOOKUP($AQ8,Sheet1!$S$3:$T$41,2,FALSE)+HLOOKUP(AP8,$D$25:$H$26,2,FALSE)</f>
        <v>-8.0999999999999943</v>
      </c>
      <c r="Y8" s="262">
        <v>0</v>
      </c>
      <c r="Z8" s="262">
        <f>IF(EOMONTH(AI8,0)&lt;AP8,USG!$D$29,0)</f>
        <v>3</v>
      </c>
      <c r="AA8" s="367" t="e">
        <f ca="1">IFERROR(VLOOKUP(AG8,Freight!$A$3:$F$22,MATCH("TD25",Freight!$A$3:$F$3,0),FALSE),VLOOKUP(EOMONTH(AG8,1),Freight!$A$3:$F$22,MATCH("TD25",Freight!$A$3:$F$3,0),FALSE))+$AB$28</f>
        <v>#VALUE!</v>
      </c>
      <c r="AB8" s="360" t="e">
        <f ca="1">SUM(X8:AA8)-S8</f>
        <v>#VALUE!</v>
      </c>
      <c r="AC8"/>
      <c r="AD8"/>
      <c r="AE8"/>
      <c r="AF8"/>
      <c r="AG8" s="87" t="str">
        <f ca="1">IF(AH8&lt;TODAY()+10,"Balmo",EOMONTH(AH8,0))</f>
        <v>Balmo</v>
      </c>
      <c r="AH8" s="294">
        <f>U8-17</f>
        <v>46304</v>
      </c>
      <c r="AI8" s="295">
        <f>V8-17</f>
        <v>46308</v>
      </c>
      <c r="AJ8"/>
      <c r="AN8"/>
      <c r="AO8" s="286">
        <f>EOMONTH(AH8,0)</f>
        <v>46326</v>
      </c>
      <c r="AP8" s="87">
        <f>IF(AI8&gt;USG!$E$25,EOMONTH(AI8,0),USG!$E$25)</f>
        <v>46356</v>
      </c>
      <c r="AQ8" s="87">
        <f>EOMONTH(U8,2)</f>
        <v>46387</v>
      </c>
      <c r="AR8"/>
      <c r="AS8"/>
      <c r="AT8"/>
      <c r="AU8"/>
      <c r="AV8"/>
      <c r="AW8"/>
      <c r="AX8"/>
    </row>
    <row r="9" spans="1:51" x14ac:dyDescent="0.35">
      <c r="A9" s="93">
        <f>A6+7</f>
        <v>46335</v>
      </c>
      <c r="C9" s="345"/>
      <c r="D9" s="358" t="s">
        <v>114</v>
      </c>
      <c r="E9" s="376">
        <f>AVERAGE(E4:E8)</f>
        <v>15.489999999999998</v>
      </c>
      <c r="F9" s="377">
        <f t="shared" ref="F9:H9" si="17">AVERAGE(F4:F8)</f>
        <v>19.359999999999989</v>
      </c>
      <c r="G9" s="377">
        <f t="shared" si="17"/>
        <v>22.439999999999987</v>
      </c>
      <c r="H9" s="377">
        <f t="shared" si="17"/>
        <v>24.679999999999986</v>
      </c>
      <c r="I9" s="346"/>
      <c r="J9" s="346"/>
      <c r="K9" s="346"/>
      <c r="L9" s="347"/>
      <c r="M9" s="309"/>
      <c r="N9" s="353" t="str">
        <f>D9</f>
        <v>Full Month</v>
      </c>
      <c r="O9" s="354" t="e">
        <f>AVERAGE(O4:O7)</f>
        <v>#N/A</v>
      </c>
      <c r="P9"/>
      <c r="Q9" s="353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/>
      <c r="AD9"/>
      <c r="AE9"/>
      <c r="AF9"/>
      <c r="AG9" s="87"/>
      <c r="AH9" s="294"/>
      <c r="AI9" s="295"/>
      <c r="AJ9"/>
      <c r="AN9"/>
      <c r="AO9" s="286"/>
      <c r="AP9" s="87"/>
      <c r="AQ9" s="87"/>
      <c r="AR9"/>
      <c r="AS9"/>
      <c r="AT9"/>
      <c r="AU9"/>
      <c r="AV9"/>
      <c r="AW9"/>
      <c r="AX9"/>
    </row>
    <row r="10" spans="1:51" x14ac:dyDescent="0.35">
      <c r="A10" s="93">
        <f>A8+7</f>
        <v>46349</v>
      </c>
      <c r="C10" s="340">
        <v>420</v>
      </c>
      <c r="D10" s="450" t="str">
        <f>TEXT(A6,"mmmdd")&amp;"-"&amp;TEXT(WORKDAY(A6,4),"mmmdd")</f>
        <v>Nov02-Nov06</v>
      </c>
      <c r="E10" s="337">
        <f>C10/100</f>
        <v>4.2</v>
      </c>
      <c r="F10" s="336">
        <f t="shared" ref="F10:H12" si="18">(E10)+F$2</f>
        <v>8.0699999999999896</v>
      </c>
      <c r="G10" s="337">
        <f t="shared" si="18"/>
        <v>11.149999999999988</v>
      </c>
      <c r="H10" s="343">
        <f t="shared" si="18"/>
        <v>13.389999999999983</v>
      </c>
      <c r="I10" s="338"/>
      <c r="J10" s="338">
        <f>C10-C11</f>
        <v>190</v>
      </c>
      <c r="K10" s="338">
        <f>C10-C12</f>
        <v>375</v>
      </c>
      <c r="L10" s="339">
        <f>J10+J9+J11</f>
        <v>375</v>
      </c>
      <c r="N10" s="320" t="str">
        <f t="shared" ref="N10:N12" si="19">D10</f>
        <v>Nov02-Nov06</v>
      </c>
      <c r="O10" s="263">
        <f ca="1">AB10</f>
        <v>7.9486500000000078</v>
      </c>
      <c r="P10">
        <f>VLOOKUP(Q10,USG!$D$1:$H$19,MATCH(USG!R10,USG!$D$1:$H$1,0),FALSE)</f>
        <v>8.0699999999999896</v>
      </c>
      <c r="Q10" s="298" t="str">
        <f>TEXT(A6,"mmmdd")&amp;"-"&amp;TEXT(WORKDAY(A6,4),"mmmdd")</f>
        <v>Nov02-Nov06</v>
      </c>
      <c r="R10" s="292">
        <f>EOMONTH(V10,2)</f>
        <v>46418</v>
      </c>
      <c r="S10" s="293">
        <f>P10</f>
        <v>8.0699999999999896</v>
      </c>
      <c r="T10"/>
      <c r="U10" s="294">
        <f>WORKDAY(V8,1)</f>
        <v>46328</v>
      </c>
      <c r="V10" s="295">
        <f>WORKDAY(U10,4)</f>
        <v>46332</v>
      </c>
      <c r="W10"/>
      <c r="X10" s="296">
        <f>VLOOKUP(AP$4,Sheet1!$P$3:$Q$41,2,FALSE)-VLOOKUP($AQ10,Sheet1!$S$3:$T$41,2,FALSE)+HLOOKUP(AP10,$D$25:$H$26,2,FALSE)</f>
        <v>-4.230000000000004</v>
      </c>
      <c r="Y10" s="262"/>
      <c r="Z10" s="262">
        <f>IF(EOMONTH(AI10,0)&lt;AP10,USG!$D$29,0)</f>
        <v>3</v>
      </c>
      <c r="AA10" s="367">
        <f ca="1">IFERROR(VLOOKUP(AG10,Freight!$A$3:$F$22,MATCH("TD25",Freight!$A$3:$F$3,0),FALSE),VLOOKUP(EOMONTH(AG10,1),Freight!$A$3:$F$22,MATCH("TD25",Freight!$A$3:$F$3,0),FALSE))+$AB$28</f>
        <v>17.248650000000001</v>
      </c>
      <c r="AB10" s="360">
        <f ca="1">SUM(X10:AA10)-S10</f>
        <v>7.9486500000000078</v>
      </c>
      <c r="AC10"/>
      <c r="AD10"/>
      <c r="AE10"/>
      <c r="AF10"/>
      <c r="AG10" s="87">
        <f ca="1">IF(AH10&lt;TODAY()+10,"Balmo",EOMONTH(AH10,0))</f>
        <v>46326</v>
      </c>
      <c r="AH10" s="294">
        <f>U10-17</f>
        <v>46311</v>
      </c>
      <c r="AI10" s="295">
        <f>V10-17</f>
        <v>46315</v>
      </c>
      <c r="AJ10"/>
      <c r="AN10"/>
      <c r="AO10" s="286">
        <f>EOMONTH(AH10,0)</f>
        <v>46326</v>
      </c>
      <c r="AP10" s="87">
        <f>IF(AI10&gt;USG!$E$25,EOMONTH(AI10,0),USG!$E$25)</f>
        <v>46356</v>
      </c>
      <c r="AQ10" s="87">
        <f t="shared" si="14"/>
        <v>46418</v>
      </c>
      <c r="AR10"/>
      <c r="AS10"/>
      <c r="AT10"/>
      <c r="AU10"/>
      <c r="AV10"/>
      <c r="AW10"/>
      <c r="AX10"/>
    </row>
    <row r="11" spans="1:51" x14ac:dyDescent="0.35">
      <c r="A11" s="93">
        <f t="shared" si="0"/>
        <v>46356</v>
      </c>
      <c r="C11" s="340">
        <v>230</v>
      </c>
      <c r="D11" s="450" t="str">
        <f>TEXT(A9,"mmmdd")&amp;"-"&amp;TEXT(WORKDAY(A9,4),"mmmdd")</f>
        <v>Nov09-Nov13</v>
      </c>
      <c r="E11" s="337">
        <f>C11/100</f>
        <v>2.2999999999999998</v>
      </c>
      <c r="F11" s="336">
        <f t="shared" si="18"/>
        <v>6.1699999999999902</v>
      </c>
      <c r="G11" s="337">
        <f t="shared" si="18"/>
        <v>9.2499999999999893</v>
      </c>
      <c r="H11" s="343">
        <f t="shared" si="18"/>
        <v>11.489999999999984</v>
      </c>
      <c r="I11" s="338"/>
      <c r="J11" s="338">
        <f>C11-C12</f>
        <v>185</v>
      </c>
      <c r="K11" s="338">
        <f>C11-C13</f>
        <v>285</v>
      </c>
      <c r="L11" s="339">
        <f>J11+J8+J12</f>
        <v>450</v>
      </c>
      <c r="N11" s="320" t="str">
        <f t="shared" si="19"/>
        <v>Nov09-Nov13</v>
      </c>
      <c r="O11" s="263">
        <f ca="1">AB11</f>
        <v>9.8486500000000063</v>
      </c>
      <c r="P11">
        <f>VLOOKUP(Q11,USG!$D$1:$H$19,MATCH(USG!R11,USG!$D$1:$H$1,0),FALSE)</f>
        <v>6.1699999999999902</v>
      </c>
      <c r="Q11" s="298" t="str">
        <f>TEXT(A9,"mmmdd")&amp;"-"&amp;TEXT(WORKDAY(A9,4),"mmmdd")</f>
        <v>Nov09-Nov13</v>
      </c>
      <c r="R11" s="292">
        <f t="shared" si="3"/>
        <v>46418</v>
      </c>
      <c r="S11" s="293">
        <f t="shared" si="11"/>
        <v>6.1699999999999902</v>
      </c>
      <c r="T11"/>
      <c r="U11" s="294">
        <f>WORKDAY(V10,1)</f>
        <v>46335</v>
      </c>
      <c r="V11" s="295">
        <f t="shared" si="4"/>
        <v>46339</v>
      </c>
      <c r="W11"/>
      <c r="X11" s="296">
        <f>VLOOKUP(AP$4,Sheet1!$P$3:$Q$41,2,FALSE)-VLOOKUP($AQ11,Sheet1!$S$3:$T$41,2,FALSE)+HLOOKUP(AP11,$D$25:$H$26,2,FALSE)</f>
        <v>-4.230000000000004</v>
      </c>
      <c r="Y11" s="262"/>
      <c r="Z11" s="262">
        <f>IF(EOMONTH(AI11,0)&lt;AP11,USG!$D$29,0)</f>
        <v>3</v>
      </c>
      <c r="AA11" s="367">
        <f ca="1">IFERROR(VLOOKUP(AG11,Freight!$A$3:$F$22,MATCH("TD25",Freight!$A$3:$F$3,0),FALSE),VLOOKUP(EOMONTH(AG11,1),Freight!$A$3:$F$22,MATCH("TD25",Freight!$A$3:$F$3,0),FALSE))+$AB$28</f>
        <v>17.248650000000001</v>
      </c>
      <c r="AB11" s="360">
        <f t="shared" ca="1" si="5"/>
        <v>9.8486500000000063</v>
      </c>
      <c r="AC11"/>
      <c r="AD11"/>
      <c r="AE11"/>
      <c r="AF11"/>
      <c r="AG11" s="87">
        <f t="shared" ca="1" si="13"/>
        <v>46326</v>
      </c>
      <c r="AH11" s="294">
        <f t="shared" si="6"/>
        <v>46318</v>
      </c>
      <c r="AI11" s="295">
        <f t="shared" si="7"/>
        <v>46322</v>
      </c>
      <c r="AJ11"/>
      <c r="AN11"/>
      <c r="AO11" s="286">
        <f>EOMONTH(AH11,0)</f>
        <v>46326</v>
      </c>
      <c r="AP11" s="87">
        <f>IF(AI11&gt;USG!$E$25,EOMONTH(AI11,0),USG!$E$25)</f>
        <v>46356</v>
      </c>
      <c r="AQ11" s="87">
        <f t="shared" si="14"/>
        <v>46418</v>
      </c>
      <c r="AR11"/>
      <c r="AS11"/>
      <c r="AT11"/>
      <c r="AU11"/>
      <c r="AV11"/>
      <c r="AW11"/>
      <c r="AX11"/>
    </row>
    <row r="12" spans="1:51" ht="16" thickBot="1" x14ac:dyDescent="0.4">
      <c r="A12" s="93">
        <f>A11+7</f>
        <v>46363</v>
      </c>
      <c r="C12" s="340">
        <v>45</v>
      </c>
      <c r="D12" s="450" t="str">
        <f>TEXT(A8,"mmmdd")&amp;"-"&amp;TEXT(WORKDAY(A8,4),"mmmdd")</f>
        <v>Nov16-Nov20</v>
      </c>
      <c r="E12" s="337">
        <f>C12/100</f>
        <v>0.45</v>
      </c>
      <c r="F12" s="336">
        <f t="shared" si="18"/>
        <v>4.3199999999999905</v>
      </c>
      <c r="G12" s="337">
        <f t="shared" si="18"/>
        <v>7.3999999999999888</v>
      </c>
      <c r="H12" s="343">
        <f t="shared" si="18"/>
        <v>9.6399999999999828</v>
      </c>
      <c r="I12" s="338"/>
      <c r="J12" s="338">
        <f>C12-C13</f>
        <v>100</v>
      </c>
      <c r="K12" s="338">
        <f>C12-C15</f>
        <v>185</v>
      </c>
      <c r="L12" s="339">
        <f>J12+J10+J13</f>
        <v>375</v>
      </c>
      <c r="N12" s="320" t="str">
        <f t="shared" si="19"/>
        <v>Nov16-Nov20</v>
      </c>
      <c r="O12" s="263">
        <f ca="1">AB12</f>
        <v>8.6986500000000078</v>
      </c>
      <c r="P12">
        <f>VLOOKUP(Q12,USG!$D$1:$H$19,MATCH(USG!R12,USG!$D$1:$H$1,0),FALSE)</f>
        <v>4.3199999999999905</v>
      </c>
      <c r="Q12" s="298" t="str">
        <f>TEXT(A8,"mmmdd")&amp;"-"&amp;TEXT(WORKDAY(A8,4),"mmmdd")</f>
        <v>Nov16-Nov20</v>
      </c>
      <c r="R12" s="292">
        <f t="shared" si="3"/>
        <v>46418</v>
      </c>
      <c r="S12" s="293">
        <f t="shared" si="11"/>
        <v>4.3199999999999905</v>
      </c>
      <c r="T12"/>
      <c r="U12" s="294">
        <f>WORKDAY(V11,1)</f>
        <v>46342</v>
      </c>
      <c r="V12" s="295">
        <f t="shared" si="4"/>
        <v>46346</v>
      </c>
      <c r="W12"/>
      <c r="X12" s="296">
        <f>VLOOKUP(AP$4,Sheet1!$P$3:$Q$41,2,FALSE)-VLOOKUP($AQ12,Sheet1!$S$3:$T$41,2,FALSE)+HLOOKUP(AP12,$D$25:$H$26,2,FALSE)</f>
        <v>-4.230000000000004</v>
      </c>
      <c r="Y12" s="262"/>
      <c r="Z12" s="262">
        <f>IF(EOMONTH(AI12,0)&lt;AP12,USG!$D$29,0)</f>
        <v>0</v>
      </c>
      <c r="AA12" s="367">
        <f ca="1">IFERROR(VLOOKUP(AG12,Freight!$A$3:$F$22,MATCH("TD25",Freight!$A$3:$F$3,0),FALSE),VLOOKUP(EOMONTH(AG12,1),Freight!$A$3:$F$22,MATCH("TD25",Freight!$A$3:$F$3,0),FALSE))+$AB$28</f>
        <v>17.248650000000001</v>
      </c>
      <c r="AB12" s="360">
        <f t="shared" ca="1" si="5"/>
        <v>8.6986500000000078</v>
      </c>
      <c r="AC12"/>
      <c r="AD12"/>
      <c r="AE12"/>
      <c r="AF12"/>
      <c r="AG12" s="87">
        <f t="shared" ca="1" si="13"/>
        <v>46326</v>
      </c>
      <c r="AH12" s="294">
        <f t="shared" si="6"/>
        <v>46325</v>
      </c>
      <c r="AI12" s="295">
        <f t="shared" si="7"/>
        <v>46329</v>
      </c>
      <c r="AJ12"/>
      <c r="AN12"/>
      <c r="AO12" s="286">
        <f>EOMONTH(AH12,0)</f>
        <v>46326</v>
      </c>
      <c r="AP12" s="87">
        <f>IF(AI12&gt;USG!$E$25,EOMONTH(AI12,0),USG!$E$25)</f>
        <v>46356</v>
      </c>
      <c r="AQ12" s="87">
        <f t="shared" si="14"/>
        <v>46418</v>
      </c>
      <c r="AR12"/>
      <c r="AS12"/>
      <c r="AT12"/>
      <c r="AU12"/>
      <c r="AV12"/>
      <c r="AW12"/>
      <c r="AX12"/>
    </row>
    <row r="13" spans="1:51" x14ac:dyDescent="0.35">
      <c r="A13" s="93">
        <f>A14+7</f>
        <v>46377</v>
      </c>
      <c r="C13" s="381">
        <v>-55</v>
      </c>
      <c r="D13" s="498" t="str">
        <f>TEXT(A10,"mmmdd")&amp;"-"&amp;TEXT(WORKDAY(A10,4),"mmmdd")</f>
        <v>Nov23-Nov27</v>
      </c>
      <c r="E13" s="382">
        <f>C13/100</f>
        <v>-0.55000000000000004</v>
      </c>
      <c r="F13" s="383">
        <f>(E13)+F$2</f>
        <v>3.3199999999999905</v>
      </c>
      <c r="G13" s="382">
        <f>(F13)+G$2</f>
        <v>6.3999999999999888</v>
      </c>
      <c r="H13" s="452">
        <f>(G13)+H$2</f>
        <v>8.6399999999999828</v>
      </c>
      <c r="I13" s="373"/>
      <c r="J13" s="373">
        <f>C13-C15</f>
        <v>85</v>
      </c>
      <c r="K13" s="373">
        <f>C13-C16</f>
        <v>170</v>
      </c>
      <c r="L13" s="374">
        <f>J13+J11+J14</f>
        <v>270</v>
      </c>
      <c r="N13" s="361" t="str">
        <f>D14</f>
        <v>Full Month</v>
      </c>
      <c r="O13" s="362"/>
      <c r="P13"/>
      <c r="Q13" s="353"/>
      <c r="R13" s="353"/>
      <c r="S13" s="353"/>
      <c r="T13" s="353"/>
      <c r="U13" s="353"/>
      <c r="V13" s="353"/>
      <c r="W13" s="353"/>
      <c r="X13" s="353"/>
      <c r="Y13" s="353"/>
      <c r="Z13" s="353"/>
      <c r="AA13" s="353"/>
      <c r="AB13" s="353"/>
      <c r="AC13"/>
      <c r="AD13"/>
      <c r="AE13"/>
      <c r="AF13"/>
      <c r="AG13" s="87"/>
      <c r="AH13" s="294"/>
      <c r="AI13" s="295"/>
      <c r="AJ13"/>
      <c r="AN13"/>
      <c r="AO13" s="286"/>
      <c r="AP13" s="87"/>
      <c r="AQ13" s="87"/>
      <c r="AR13"/>
      <c r="AS13"/>
      <c r="AT13"/>
      <c r="AU13"/>
      <c r="AV13"/>
      <c r="AW13"/>
      <c r="AX13"/>
    </row>
    <row r="14" spans="1:51" ht="16" thickBot="1" x14ac:dyDescent="0.4">
      <c r="A14" s="93">
        <f>A12+7</f>
        <v>46370</v>
      </c>
      <c r="C14" s="357"/>
      <c r="D14" s="497" t="s">
        <v>114</v>
      </c>
      <c r="E14" s="377">
        <f>AVERAGE(E10:E13)</f>
        <v>1.6</v>
      </c>
      <c r="F14" s="376">
        <f t="shared" ref="F14:H14" si="20">AVERAGE(F10:F13)</f>
        <v>5.46999999999999</v>
      </c>
      <c r="G14" s="377">
        <f t="shared" si="20"/>
        <v>8.5499999999999883</v>
      </c>
      <c r="H14" s="377">
        <f t="shared" si="20"/>
        <v>10.789999999999985</v>
      </c>
      <c r="I14" s="358"/>
      <c r="J14" s="358"/>
      <c r="K14" s="358"/>
      <c r="L14" s="359"/>
      <c r="M14" s="315"/>
      <c r="N14" s="320" t="str">
        <f>D13</f>
        <v>Nov23-Nov27</v>
      </c>
      <c r="O14" s="263">
        <f ca="1">AB14</f>
        <v>8.7325000000000053</v>
      </c>
      <c r="P14">
        <f>VLOOKUP(Q14,USG!$D$1:$H$19,MATCH(USG!R14,USG!$D$1:$H$1,0),FALSE)</f>
        <v>3.3199999999999905</v>
      </c>
      <c r="Q14" s="285" t="str">
        <f>TEXT(A10,"mmmdd")&amp;"-"&amp;TEXT(WORKDAY(A10,4),"mmmdd")</f>
        <v>Nov23-Nov27</v>
      </c>
      <c r="R14" s="286">
        <f t="shared" si="3"/>
        <v>46418</v>
      </c>
      <c r="S14" s="287">
        <f t="shared" si="11"/>
        <v>3.3199999999999905</v>
      </c>
      <c r="T14"/>
      <c r="U14" s="288">
        <f>WORKDAY(V12,1)</f>
        <v>46349</v>
      </c>
      <c r="V14" s="289">
        <f t="shared" si="4"/>
        <v>46353</v>
      </c>
      <c r="W14"/>
      <c r="X14" s="290">
        <f>VLOOKUP(AP$4,Sheet1!$P$3:$Q$41,2,FALSE)-VLOOKUP($AQ14,Sheet1!$S$3:$T$41,2,FALSE)+HLOOKUP(AP14,$D$25:$H$26,2,FALSE)</f>
        <v>-4.230000000000004</v>
      </c>
      <c r="Y14" s="255"/>
      <c r="Z14" s="255">
        <f>IF(EOMONTH(AI14,0)&lt;AP14,USG!$D$29,0)</f>
        <v>0</v>
      </c>
      <c r="AA14" s="367">
        <f ca="1">IFERROR(VLOOKUP(AG14,Freight!$A$3:$F$22,MATCH("TD25",Freight!$A$3:$F$3,0),FALSE),VLOOKUP(EOMONTH(AG14,1),Freight!$A$3:$F$22,MATCH("TD25",Freight!$A$3:$F$3,0),FALSE))+$AB$28</f>
        <v>16.282499999999999</v>
      </c>
      <c r="AB14" s="365">
        <f t="shared" ca="1" si="5"/>
        <v>8.7325000000000053</v>
      </c>
      <c r="AC14"/>
      <c r="AD14"/>
      <c r="AE14"/>
      <c r="AF14"/>
      <c r="AG14" s="87">
        <f t="shared" ca="1" si="13"/>
        <v>46356</v>
      </c>
      <c r="AH14" s="288">
        <f t="shared" si="6"/>
        <v>46332</v>
      </c>
      <c r="AI14" s="289">
        <f t="shared" si="7"/>
        <v>46336</v>
      </c>
      <c r="AJ14"/>
      <c r="AN14"/>
      <c r="AO14" s="286">
        <f>EOMONTH(AH14,0)</f>
        <v>46356</v>
      </c>
      <c r="AP14" s="87">
        <f>IF(AI14&gt;USG!$E$25,EOMONTH(AI14,0),USG!$E$25)</f>
        <v>46356</v>
      </c>
      <c r="AQ14" s="87">
        <f t="shared" si="14"/>
        <v>46418</v>
      </c>
      <c r="AR14"/>
      <c r="AS14"/>
      <c r="AT14"/>
      <c r="AU14"/>
      <c r="AV14"/>
      <c r="AW14"/>
      <c r="AX14"/>
    </row>
    <row r="15" spans="1:51" x14ac:dyDescent="0.35">
      <c r="A15" s="93">
        <f>A13+7</f>
        <v>46384</v>
      </c>
      <c r="C15" s="340">
        <v>-140</v>
      </c>
      <c r="D15" s="450" t="str">
        <f>TEXT(A11,"mmmdd")&amp;"-"&amp;TEXT(WORKDAY(A11,4),"mmmdd")</f>
        <v>Nov30-Dec04</v>
      </c>
      <c r="E15" s="337">
        <f>C15/100</f>
        <v>-1.4</v>
      </c>
      <c r="F15" s="337">
        <f t="shared" ref="F15:H17" si="21">(E15)+F$2</f>
        <v>2.4699999999999904</v>
      </c>
      <c r="G15" s="336">
        <f t="shared" si="21"/>
        <v>5.5499999999999883</v>
      </c>
      <c r="H15" s="343">
        <f t="shared" si="21"/>
        <v>7.7899999999999832</v>
      </c>
      <c r="I15" s="338"/>
      <c r="J15" s="338">
        <f>C15-C16</f>
        <v>85</v>
      </c>
      <c r="K15" s="338">
        <f>C15-C17</f>
        <v>165</v>
      </c>
      <c r="L15" s="339">
        <f>J15+J14+J16</f>
        <v>165</v>
      </c>
      <c r="N15" s="329" t="str">
        <f>D15</f>
        <v>Nov30-Dec04</v>
      </c>
      <c r="O15" s="263">
        <f ca="1">AB15</f>
        <v>6.5025000000000066</v>
      </c>
      <c r="P15">
        <f>VLOOKUP(Q15,USG!$D$1:$H$19,MATCH(USG!R15,USG!$D$1:$H$1,0),FALSE)</f>
        <v>5.5499999999999883</v>
      </c>
      <c r="Q15" s="298" t="str">
        <f>TEXT(A11,"mmmdd")&amp;"-"&amp;TEXT(WORKDAY(A11,4),"mmmdd")</f>
        <v>Nov30-Dec04</v>
      </c>
      <c r="R15" s="292">
        <f t="shared" si="3"/>
        <v>46446</v>
      </c>
      <c r="S15" s="293">
        <f t="shared" si="11"/>
        <v>5.5499999999999883</v>
      </c>
      <c r="T15"/>
      <c r="U15" s="294">
        <f>WORKDAY(V14,1)</f>
        <v>46356</v>
      </c>
      <c r="V15" s="295">
        <f t="shared" si="4"/>
        <v>46360</v>
      </c>
      <c r="W15"/>
      <c r="X15" s="296">
        <f>VLOOKUP(AP$4,Sheet1!$P$3:$Q$41,2,FALSE)-VLOOKUP($AQ15,Sheet1!$S$3:$T$41,2,FALSE)+HLOOKUP(AP15,$D$25:$H$26,2,FALSE)</f>
        <v>-4.230000000000004</v>
      </c>
      <c r="Y15" s="262">
        <v>0</v>
      </c>
      <c r="Z15" s="262">
        <f>IF(EOMONTH(AI15,0)&lt;AP15,USG!$D$29,0)</f>
        <v>0</v>
      </c>
      <c r="AA15" s="367">
        <f ca="1">IFERROR(VLOOKUP(AG15,Freight!$A$3:$F$22,MATCH("TD25",Freight!$A$3:$F$3,0),FALSE),VLOOKUP(EOMONTH(AG15,1),Freight!$A$3:$F$22,MATCH("TD25",Freight!$A$3:$F$3,0),FALSE))+$AB$28</f>
        <v>16.282499999999999</v>
      </c>
      <c r="AB15" s="360">
        <f t="shared" ca="1" si="5"/>
        <v>6.5025000000000066</v>
      </c>
      <c r="AC15"/>
      <c r="AD15"/>
      <c r="AE15"/>
      <c r="AF15"/>
      <c r="AG15" s="87">
        <f t="shared" ca="1" si="13"/>
        <v>46356</v>
      </c>
      <c r="AH15" s="294">
        <f t="shared" si="6"/>
        <v>46339</v>
      </c>
      <c r="AI15" s="295">
        <f t="shared" si="7"/>
        <v>46343</v>
      </c>
      <c r="AJ15"/>
      <c r="AN15"/>
      <c r="AO15" s="286">
        <f>EOMONTH(AH15,0)</f>
        <v>46356</v>
      </c>
      <c r="AP15" s="87">
        <f>IF(AI15&gt;USG!$E$25,EOMONTH(AI15,0),USG!$E$25)</f>
        <v>46356</v>
      </c>
      <c r="AQ15" s="87">
        <f t="shared" si="14"/>
        <v>46418</v>
      </c>
      <c r="AR15"/>
      <c r="AS15"/>
      <c r="AT15"/>
      <c r="AU15"/>
      <c r="AV15"/>
      <c r="AW15"/>
      <c r="AX15"/>
    </row>
    <row r="16" spans="1:51" x14ac:dyDescent="0.35">
      <c r="A16" s="93">
        <f t="shared" si="0"/>
        <v>46391</v>
      </c>
      <c r="C16" s="340">
        <v>-225</v>
      </c>
      <c r="D16" s="450" t="str">
        <f>TEXT(A12,"mmmdd")&amp;"-"&amp;TEXT(WORKDAY(A12,4),"mmmdd")</f>
        <v>Dec07-Dec11</v>
      </c>
      <c r="E16" s="337">
        <f>C16/100</f>
        <v>-2.25</v>
      </c>
      <c r="F16" s="337">
        <f t="shared" si="21"/>
        <v>1.6199999999999903</v>
      </c>
      <c r="G16" s="336">
        <f t="shared" si="21"/>
        <v>4.6999999999999886</v>
      </c>
      <c r="H16" s="343">
        <f t="shared" si="21"/>
        <v>6.9399999999999835</v>
      </c>
      <c r="I16" s="338"/>
      <c r="J16" s="338">
        <f t="shared" ref="J16:J17" si="22">C16-C17</f>
        <v>80</v>
      </c>
      <c r="K16" s="338">
        <f>J16+J17</f>
        <v>150</v>
      </c>
      <c r="L16" s="339">
        <f>J16+J17+J18</f>
        <v>-225</v>
      </c>
      <c r="N16" s="320" t="str">
        <f>D16</f>
        <v>Dec07-Dec11</v>
      </c>
      <c r="O16" s="263">
        <f ca="1">AB16</f>
        <v>10.432500000000005</v>
      </c>
      <c r="P16">
        <f>VLOOKUP(Q16,USG!$D$1:$H$19,MATCH(USG!R16,USG!$D$1:$H$1,0),FALSE)</f>
        <v>4.6999999999999886</v>
      </c>
      <c r="Q16" s="298" t="str">
        <f>TEXT(A12,"mmmdd")&amp;"-"&amp;TEXT(WORKDAY(A12,4),"mmmdd")</f>
        <v>Dec07-Dec11</v>
      </c>
      <c r="R16" s="292">
        <f t="shared" si="3"/>
        <v>46446</v>
      </c>
      <c r="S16" s="293">
        <f t="shared" si="11"/>
        <v>4.6999999999999886</v>
      </c>
      <c r="T16"/>
      <c r="U16" s="294">
        <f t="shared" si="12"/>
        <v>46363</v>
      </c>
      <c r="V16" s="295">
        <f t="shared" si="4"/>
        <v>46367</v>
      </c>
      <c r="W16"/>
      <c r="X16" s="296">
        <f>VLOOKUP(AP$4,Sheet1!$P$3:$Q$41,2,FALSE)-VLOOKUP($AQ16,Sheet1!$S$3:$T$41,2,FALSE)+HLOOKUP(AP16,$D$25:$H$26,2,FALSE)</f>
        <v>-1.1500000000000057</v>
      </c>
      <c r="Y16" s="262">
        <v>0</v>
      </c>
      <c r="Z16" s="262">
        <f>IF(EOMONTH(AI16,0)&lt;AP16,USG!$D$29,0)</f>
        <v>0</v>
      </c>
      <c r="AA16" s="367">
        <f ca="1">IFERROR(VLOOKUP(AG16,Freight!$A$3:$F$22,MATCH("TD25",Freight!$A$3:$F$3,0),FALSE),VLOOKUP(EOMONTH(AG16,1),Freight!$A$3:$F$22,MATCH("TD25",Freight!$A$3:$F$3,0),FALSE))+$AB$28</f>
        <v>16.282499999999999</v>
      </c>
      <c r="AB16" s="360">
        <f t="shared" ca="1" si="5"/>
        <v>10.432500000000005</v>
      </c>
      <c r="AC16"/>
      <c r="AD16"/>
      <c r="AE16"/>
      <c r="AF16"/>
      <c r="AG16" s="87">
        <f t="shared" ca="1" si="13"/>
        <v>46356</v>
      </c>
      <c r="AH16" s="294">
        <f t="shared" si="6"/>
        <v>46346</v>
      </c>
      <c r="AI16" s="295">
        <f t="shared" si="7"/>
        <v>46350</v>
      </c>
      <c r="AJ16"/>
      <c r="AN16"/>
      <c r="AO16" s="286">
        <f>EOMONTH(AH16,0)</f>
        <v>46356</v>
      </c>
      <c r="AP16" s="87">
        <f>IF(AI16&gt;USG!$E$25,EOMONTH(AI16,0),USG!$E$25)</f>
        <v>46356</v>
      </c>
      <c r="AQ16" s="87">
        <f t="shared" si="14"/>
        <v>46446</v>
      </c>
      <c r="AR16"/>
      <c r="AS16"/>
      <c r="AT16"/>
      <c r="AU16"/>
      <c r="AV16"/>
      <c r="AW16"/>
      <c r="AX16"/>
    </row>
    <row r="17" spans="1:71" x14ac:dyDescent="0.35">
      <c r="A17" s="93">
        <f t="shared" si="0"/>
        <v>46398</v>
      </c>
      <c r="C17" s="340">
        <v>-305</v>
      </c>
      <c r="D17" s="450" t="str">
        <f>TEXT(A14,"mmmdd")&amp;"-"&amp;TEXT(WORKDAY(A14,4),"mmmdd")</f>
        <v>Dec14-Dec18</v>
      </c>
      <c r="E17" s="337">
        <f>C17/100</f>
        <v>-3.05</v>
      </c>
      <c r="F17" s="337">
        <f t="shared" si="21"/>
        <v>0.81999999999999051</v>
      </c>
      <c r="G17" s="336">
        <f t="shared" si="21"/>
        <v>3.8999999999999888</v>
      </c>
      <c r="H17" s="343">
        <f t="shared" si="21"/>
        <v>6.1399999999999837</v>
      </c>
      <c r="I17" s="338"/>
      <c r="J17" s="338">
        <f t="shared" si="22"/>
        <v>70</v>
      </c>
      <c r="K17" s="338">
        <f t="shared" ref="K17" si="23">J17+J18</f>
        <v>-305</v>
      </c>
      <c r="L17" s="339">
        <f>J17+J18+J20</f>
        <v>-305</v>
      </c>
      <c r="N17" s="320" t="str">
        <f>D17</f>
        <v>Dec14-Dec18</v>
      </c>
      <c r="O17" s="263">
        <f ca="1">AB17</f>
        <v>10.882500000000004</v>
      </c>
      <c r="P17">
        <f>VLOOKUP(Q17,USG!$D$1:$H$19,MATCH(USG!R17,USG!$D$1:$H$1,0),FALSE)</f>
        <v>3.8999999999999888</v>
      </c>
      <c r="Q17" s="298" t="str">
        <f>TEXT(A14,"mmmdd")&amp;"-"&amp;TEXT(WORKDAY(A14,4),"mmmdd")</f>
        <v>Dec14-Dec18</v>
      </c>
      <c r="R17" s="292">
        <f t="shared" ref="R17:R18" si="24">EOMONTH(V17,2)</f>
        <v>46446</v>
      </c>
      <c r="S17" s="293">
        <f t="shared" ref="S17:S18" si="25">P17</f>
        <v>3.8999999999999888</v>
      </c>
      <c r="T17"/>
      <c r="U17" s="294">
        <f t="shared" ref="U17:U18" si="26">WORKDAY(V16,1)</f>
        <v>46370</v>
      </c>
      <c r="V17" s="295">
        <f t="shared" ref="V17:V18" si="27">WORKDAY(U17,4)</f>
        <v>46374</v>
      </c>
      <c r="W17"/>
      <c r="X17" s="296">
        <f>VLOOKUP(AP$4,Sheet1!$P$3:$Q$41,2,FALSE)-VLOOKUP($AQ17,Sheet1!$S$3:$T$41,2,FALSE)+HLOOKUP(AP17,$D$25:$H$26,2,FALSE)</f>
        <v>-1.5000000000000058</v>
      </c>
      <c r="Y17" s="262">
        <v>0</v>
      </c>
      <c r="Z17" s="262">
        <f>IF(EOMONTH(AI17,0)&lt;AP17,USG!$D$29,0)</f>
        <v>0</v>
      </c>
      <c r="AA17" s="367">
        <f ca="1">IFERROR(VLOOKUP(AG17,Freight!$A$3:$F$22,MATCH("TD25",Freight!$A$3:$F$3,0),FALSE),VLOOKUP(EOMONTH(AG17,1),Freight!$A$3:$F$22,MATCH("TD25",Freight!$A$3:$F$3,0),FALSE))+$AB$28</f>
        <v>16.282499999999999</v>
      </c>
      <c r="AB17" s="360">
        <f t="shared" ref="AB17:AB18" ca="1" si="28">SUM(X17:AA17)-S17</f>
        <v>10.882500000000004</v>
      </c>
      <c r="AC17"/>
      <c r="AD17"/>
      <c r="AE17"/>
      <c r="AF17"/>
      <c r="AG17" s="87">
        <f t="shared" ca="1" si="13"/>
        <v>46356</v>
      </c>
      <c r="AH17" s="304">
        <f t="shared" si="6"/>
        <v>46353</v>
      </c>
      <c r="AI17" s="305">
        <f t="shared" si="7"/>
        <v>46357</v>
      </c>
      <c r="AJ17"/>
      <c r="AN17"/>
      <c r="AO17" s="286">
        <f>EOMONTH(AH17,0)</f>
        <v>46356</v>
      </c>
      <c r="AP17" s="87">
        <f>IF(AI17&gt;USG!$E$25,EOMONTH(AI17,0),USG!$E$25)</f>
        <v>46387</v>
      </c>
      <c r="AQ17" s="87">
        <f t="shared" si="14"/>
        <v>46446</v>
      </c>
      <c r="AR17"/>
    </row>
    <row r="18" spans="1:71" ht="16" thickBot="1" x14ac:dyDescent="0.4">
      <c r="C18" s="499">
        <v>-375</v>
      </c>
      <c r="D18" s="500" t="str">
        <f>TEXT(A13,"mmmdd")&amp;"-"&amp;TEXT(WORKDAY(A13,4),"mmmdd")</f>
        <v>Dec21-Dec25</v>
      </c>
      <c r="E18" s="501">
        <f t="shared" ref="E18" si="29">C18/100</f>
        <v>-3.75</v>
      </c>
      <c r="F18" s="501">
        <f t="shared" ref="F18" si="30">(E18)+F$2</f>
        <v>0.11999999999999034</v>
      </c>
      <c r="G18" s="502">
        <f t="shared" ref="G18" si="31">(F18)+G$2</f>
        <v>3.1999999999999886</v>
      </c>
      <c r="H18" s="503">
        <f t="shared" ref="H18" si="32">(G18)+H$2</f>
        <v>5.4399999999999835</v>
      </c>
      <c r="I18" s="504"/>
      <c r="J18" s="338">
        <f>C18-C20</f>
        <v>-375</v>
      </c>
      <c r="K18" s="338">
        <f>J18+J20</f>
        <v>-375</v>
      </c>
      <c r="L18" s="339">
        <f>J18+J20+J21</f>
        <v>-375</v>
      </c>
      <c r="N18" s="321" t="str">
        <f>D18</f>
        <v>Dec21-Dec25</v>
      </c>
      <c r="O18" s="384">
        <f ca="1">AB18</f>
        <v>8.1473000000000066</v>
      </c>
      <c r="P18">
        <f>VLOOKUP(Q18,USG!$D$1:$H$19,MATCH(USG!R18,USG!$D$1:$H$1,0),FALSE)</f>
        <v>3.1999999999999886</v>
      </c>
      <c r="Q18" s="298" t="str">
        <f>TEXT(A13,"mmmdd")&amp;"-"&amp;TEXT(WORKDAY(A13,4),"mmmdd")</f>
        <v>Dec21-Dec25</v>
      </c>
      <c r="R18" s="292">
        <f t="shared" si="24"/>
        <v>46446</v>
      </c>
      <c r="S18" s="293">
        <f t="shared" si="25"/>
        <v>3.1999999999999886</v>
      </c>
      <c r="T18"/>
      <c r="U18" s="294">
        <f t="shared" si="26"/>
        <v>46377</v>
      </c>
      <c r="V18" s="295">
        <f t="shared" si="27"/>
        <v>46381</v>
      </c>
      <c r="W18"/>
      <c r="X18" s="296">
        <f>VLOOKUP(AP$4,Sheet1!$P$3:$Q$41,2,FALSE)-VLOOKUP($AQ18,Sheet1!$S$3:$T$41,2,FALSE)+HLOOKUP(AP18,$D$25:$H$26,2,FALSE)</f>
        <v>-1.5000000000000058</v>
      </c>
      <c r="Y18" s="262">
        <v>0</v>
      </c>
      <c r="Z18" s="262">
        <f>IF(EOMONTH(AI18,0)&lt;AP18,USG!$D$29,0)</f>
        <v>0</v>
      </c>
      <c r="AA18" s="367">
        <f ca="1">IFERROR(VLOOKUP(AG18,Freight!$A$3:$F$22,MATCH("TD25",Freight!$A$3:$F$3,0),FALSE),VLOOKUP(EOMONTH(AG18,1),Freight!$A$3:$F$22,MATCH("TD25",Freight!$A$3:$F$3,0),FALSE))+$AB$28</f>
        <v>12.847300000000001</v>
      </c>
      <c r="AB18" s="360">
        <f t="shared" ca="1" si="28"/>
        <v>8.1473000000000066</v>
      </c>
      <c r="AC18"/>
      <c r="AD18"/>
      <c r="AE18"/>
      <c r="AF18"/>
      <c r="AG18" s="87">
        <f t="shared" ref="AG18" ca="1" si="33">IF(AH18&lt;TODAY()+10,"Balmo",EOMONTH(AH18,0))</f>
        <v>46387</v>
      </c>
      <c r="AH18" s="304">
        <f t="shared" ref="AH18" si="34">U18-17</f>
        <v>46360</v>
      </c>
      <c r="AI18" s="305">
        <f t="shared" ref="AI18" si="35">V18-17</f>
        <v>46364</v>
      </c>
      <c r="AJ18"/>
      <c r="AN18"/>
      <c r="AO18" s="286">
        <f>EOMONTH(AH18,0)</f>
        <v>46387</v>
      </c>
      <c r="AP18" s="87">
        <f>IF(AI18&gt;USG!$E$25,EOMONTH(AI18,0),USG!$E$25)</f>
        <v>46387</v>
      </c>
      <c r="AQ18" s="87">
        <f t="shared" si="14"/>
        <v>46446</v>
      </c>
      <c r="AR18"/>
    </row>
    <row r="19" spans="1:71" ht="16" thickBot="1" x14ac:dyDescent="0.4">
      <c r="C19" s="378"/>
      <c r="D19" s="379" t="s">
        <v>114</v>
      </c>
      <c r="E19" s="377">
        <f>AVERAGE(E15:E18)</f>
        <v>-2.6124999999999998</v>
      </c>
      <c r="F19" s="377">
        <f>AVERAGE(F15:F18,F13)</f>
        <v>1.6699999999999904</v>
      </c>
      <c r="G19" s="376">
        <f>AVERAGE(G15:G18,G13)</f>
        <v>4.7499999999999885</v>
      </c>
      <c r="H19" s="377">
        <f t="shared" ref="H19" si="36">AVERAGE(H15:H18)</f>
        <v>6.5774999999999837</v>
      </c>
      <c r="I19" s="379"/>
      <c r="J19" s="379"/>
      <c r="K19" s="379"/>
      <c r="L19" s="380"/>
      <c r="N19" s="361" t="s">
        <v>114</v>
      </c>
      <c r="O19" s="362">
        <f ca="1">AVERAGE(O15:O18)</f>
        <v>8.9912000000000045</v>
      </c>
      <c r="P19"/>
      <c r="Q19" s="298"/>
      <c r="R19" s="292"/>
      <c r="S19" s="293"/>
      <c r="T19"/>
      <c r="U19" s="304"/>
      <c r="V19" s="305"/>
      <c r="W19"/>
      <c r="X19" s="296"/>
      <c r="Y19" s="262"/>
      <c r="Z19" s="367"/>
      <c r="AA19" s="367"/>
      <c r="AB19" s="360"/>
      <c r="AC19"/>
      <c r="AD19"/>
      <c r="AE19"/>
      <c r="AF19"/>
      <c r="AG19" s="87"/>
      <c r="AH19" s="304"/>
      <c r="AI19" s="305"/>
      <c r="AJ19"/>
      <c r="AN19"/>
      <c r="AO19" s="286"/>
      <c r="AP19" s="87"/>
      <c r="AQ19" s="87"/>
      <c r="AR19"/>
      <c r="AS19" s="87"/>
      <c r="AT19" s="87"/>
      <c r="AU19" s="87"/>
      <c r="AV19" s="87"/>
      <c r="AW19" s="87"/>
      <c r="AX19" s="87"/>
    </row>
    <row r="20" spans="1:71" x14ac:dyDescent="0.35"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P20"/>
      <c r="Q20" s="254" t="s">
        <v>115</v>
      </c>
      <c r="R20" s="253" t="s">
        <v>103</v>
      </c>
      <c r="S20" s="252" t="s">
        <v>104</v>
      </c>
      <c r="T20"/>
      <c r="U20" s="387" t="s">
        <v>105</v>
      </c>
      <c r="V20" s="388"/>
      <c r="W20"/>
      <c r="X20" s="254" t="s">
        <v>106</v>
      </c>
      <c r="Y20" s="260" t="s">
        <v>107</v>
      </c>
      <c r="Z20" s="259" t="s">
        <v>108</v>
      </c>
      <c r="AA20" s="366" t="s">
        <v>109</v>
      </c>
      <c r="AB20" s="258" t="s">
        <v>110</v>
      </c>
      <c r="AC20"/>
      <c r="AD20" s="550" t="s">
        <v>116</v>
      </c>
      <c r="AE20" s="551"/>
      <c r="AF20" s="552"/>
      <c r="AG20"/>
      <c r="AH20" s="385" t="s">
        <v>111</v>
      </c>
      <c r="AI20" s="386"/>
      <c r="AJ20"/>
      <c r="AN20"/>
      <c r="AO20" s="286" t="e">
        <f>EOMONTH(AH21,0)</f>
        <v>#NUM!</v>
      </c>
      <c r="AP20" s="87">
        <f>IF(AI21&gt;USG!$E$25,EOMONTH(AI21,0),USG!$E$25)</f>
        <v>46356</v>
      </c>
      <c r="AQ20" s="87" t="e">
        <f t="shared" si="14"/>
        <v>#VALUE!</v>
      </c>
      <c r="AR20"/>
      <c r="AS20" s="87" t="e">
        <f t="shared" ref="AS20:AT25" si="37">WORKDAY(AT20,-1)</f>
        <v>#NUM!</v>
      </c>
      <c r="AT20" s="87" t="e">
        <f t="shared" si="37"/>
        <v>#NUM!</v>
      </c>
      <c r="AU20" s="87" t="e">
        <f t="shared" ref="AU20:AU25" si="38">WORKDAY(U22,-1)</f>
        <v>#NUM!</v>
      </c>
      <c r="AV20" s="87" t="e">
        <f t="shared" ref="AV20:AW25" si="39">WORKDAY(AU20,1)</f>
        <v>#NUM!</v>
      </c>
      <c r="AW20" s="87" t="e">
        <f t="shared" si="39"/>
        <v>#NUM!</v>
      </c>
      <c r="AX20" s="87">
        <f>IF(AI23&gt;USG!$E$25,EOMONTH(AI23,0),USG!$E$25)</f>
        <v>46356</v>
      </c>
      <c r="AY20" s="315"/>
    </row>
    <row r="21" spans="1:71" x14ac:dyDescent="0.35">
      <c r="M21" s="315"/>
      <c r="P21"/>
      <c r="Q21" s="285" t="s">
        <v>117</v>
      </c>
      <c r="R21" s="286">
        <f>EOMONTH(V21,2)</f>
        <v>91</v>
      </c>
      <c r="S21" s="287">
        <v>0.88</v>
      </c>
      <c r="T21"/>
      <c r="U21" s="288"/>
      <c r="V21" s="289"/>
      <c r="W21"/>
      <c r="X21" s="290" t="e">
        <f>VLOOKUP(AP$21,Sheet1!$P$3:$Q$41,2,FALSE)-VLOOKUP(EOMONTH($AP4,2),Sheet1!$S$3:$T$41,2,FALSE)+HLOOKUP(AP4,$K$24:$O$25,2,FALSE)</f>
        <v>#N/A</v>
      </c>
      <c r="Y21" s="311" t="e">
        <f>AD21-AB21</f>
        <v>#NUM!</v>
      </c>
      <c r="Z21" s="312">
        <f>$Z$4</f>
        <v>3</v>
      </c>
      <c r="AA21" s="313" t="e">
        <f>IFERROR(VLOOKUP(EOMONTH(AH21,0),Freight!$A$3:$F$22,MATCH("TD25",Freight!$A$3:$F$3,0),FALSE),VLOOKUP(EOMONTH(AH21,1),Freight!$A$3:$F$22,MATCH("TD25",Freight!$A$3:$F$3,0),FALSE))+$AB$28</f>
        <v>#NUM!</v>
      </c>
      <c r="AB21" s="257" t="e">
        <f>SUM(Z21:AA21)-S21+X21</f>
        <v>#NUM!</v>
      </c>
      <c r="AC21"/>
      <c r="AD21" s="256">
        <v>1.2</v>
      </c>
      <c r="AE21" s="314">
        <f>AS18</f>
        <v>0</v>
      </c>
      <c r="AF21" s="314">
        <f>AW18</f>
        <v>0</v>
      </c>
      <c r="AG21"/>
      <c r="AH21" s="288">
        <f t="shared" ref="AH21:AI25" si="40">U21-17</f>
        <v>-17</v>
      </c>
      <c r="AI21" s="289">
        <f t="shared" si="40"/>
        <v>-17</v>
      </c>
      <c r="AJ21"/>
      <c r="AN21"/>
      <c r="AO21" s="286" t="e">
        <f>EOMONTH(AH23,0)</f>
        <v>#NUM!</v>
      </c>
      <c r="AP21" s="87">
        <f>IF(AI23&gt;USG!$E$25,EOMONTH(AI23,0),USG!$E$25)</f>
        <v>46356</v>
      </c>
      <c r="AQ21" s="87">
        <f t="shared" si="14"/>
        <v>91</v>
      </c>
      <c r="AR21"/>
      <c r="AS21" s="87" t="e">
        <f t="shared" ref="AS21" si="41">WORKDAY(AT21,-1)</f>
        <v>#NUM!</v>
      </c>
      <c r="AT21" s="87" t="e">
        <f t="shared" ref="AT21" si="42">WORKDAY(AU21,-1)</f>
        <v>#NUM!</v>
      </c>
      <c r="AU21" s="87" t="e">
        <f t="shared" si="38"/>
        <v>#NUM!</v>
      </c>
      <c r="AV21" s="87" t="e">
        <f t="shared" ref="AV21" si="43">WORKDAY(AU21,1)</f>
        <v>#NUM!</v>
      </c>
      <c r="AW21" s="87" t="e">
        <f t="shared" ref="AW21" si="44">WORKDAY(AV21,1)</f>
        <v>#NUM!</v>
      </c>
      <c r="AX21" s="87">
        <f>IF(AI24&gt;USG!$E$25,EOMONTH(AI24,0),USG!$E$25)</f>
        <v>46356</v>
      </c>
      <c r="BS21" s="309">
        <f>3-E51</f>
        <v>24.399999999999991</v>
      </c>
    </row>
    <row r="22" spans="1:71" x14ac:dyDescent="0.35">
      <c r="N22" s="271"/>
      <c r="P22"/>
      <c r="Q22" s="285" t="s">
        <v>117</v>
      </c>
      <c r="R22" s="286">
        <f>EOMONTH(V22,2)</f>
        <v>91</v>
      </c>
      <c r="S22" s="287">
        <v>0.86</v>
      </c>
      <c r="T22"/>
      <c r="U22" s="288"/>
      <c r="V22" s="289"/>
      <c r="W22"/>
      <c r="X22" s="290" t="e">
        <f>VLOOKUP(AP$21,Sheet1!$P$3:$Q$41,2,FALSE)-VLOOKUP(EOMONTH($AP5,2),Sheet1!$S$3:$T$41,2,FALSE)+HLOOKUP(AP5,$K$24:$O$25,2,FALSE)</f>
        <v>#N/A</v>
      </c>
      <c r="Y22" s="311" t="e">
        <f>AD22-AB22</f>
        <v>#NUM!</v>
      </c>
      <c r="Z22" s="312">
        <f>$Z$4</f>
        <v>3</v>
      </c>
      <c r="AA22" s="313" t="e">
        <f>IFERROR(VLOOKUP(EOMONTH(AH22,0),Freight!$A$3:$F$22,MATCH("TD25",Freight!$A$3:$F$3,0),FALSE),VLOOKUP(EOMONTH(AH22,1),Freight!$A$3:$F$22,MATCH("TD25",Freight!$A$3:$F$3,0),FALSE))+$AB$28</f>
        <v>#NUM!</v>
      </c>
      <c r="AB22" s="257" t="e">
        <f>SUM(Z22:AA22)-S22+X22</f>
        <v>#NUM!</v>
      </c>
      <c r="AC22"/>
      <c r="AD22" s="256">
        <v>1.2</v>
      </c>
      <c r="AE22" s="314" t="e">
        <f>AS20</f>
        <v>#NUM!</v>
      </c>
      <c r="AF22" s="314" t="e">
        <f>AW20</f>
        <v>#NUM!</v>
      </c>
      <c r="AG22"/>
      <c r="AH22" s="288">
        <f t="shared" si="40"/>
        <v>-17</v>
      </c>
      <c r="AI22" s="289">
        <f t="shared" si="40"/>
        <v>-17</v>
      </c>
      <c r="AJ22"/>
      <c r="AN22"/>
      <c r="AO22" s="286" t="e">
        <f>EOMONTH(AH24,0)</f>
        <v>#NUM!</v>
      </c>
      <c r="AP22" s="87">
        <f>IF(AI24&gt;USG!$E$25,EOMONTH(AI24,0),USG!$E$25)</f>
        <v>46356</v>
      </c>
      <c r="AQ22" s="87">
        <f t="shared" si="14"/>
        <v>91</v>
      </c>
      <c r="AR22"/>
      <c r="AS22" s="87" t="e">
        <f t="shared" ref="AS22" si="45">WORKDAY(AT22,-1)</f>
        <v>#NUM!</v>
      </c>
      <c r="AT22" s="87" t="e">
        <f t="shared" ref="AT22" si="46">WORKDAY(AU22,-1)</f>
        <v>#NUM!</v>
      </c>
      <c r="AU22" s="87" t="e">
        <f t="shared" si="38"/>
        <v>#NUM!</v>
      </c>
      <c r="AV22" s="87" t="e">
        <f t="shared" ref="AV22" si="47">WORKDAY(AU22,1)</f>
        <v>#NUM!</v>
      </c>
      <c r="AW22" s="87" t="e">
        <f t="shared" ref="AW22" si="48">WORKDAY(AV22,1)</f>
        <v>#NUM!</v>
      </c>
      <c r="AX22" s="87">
        <f>IF(AI25&gt;USG!$E$25,EOMONTH(AI25,0),USG!$E$25)</f>
        <v>46356</v>
      </c>
    </row>
    <row r="23" spans="1:71" ht="16" thickBot="1" x14ac:dyDescent="0.4">
      <c r="O23"/>
      <c r="P23"/>
      <c r="Q23" s="285"/>
      <c r="R23" s="286"/>
      <c r="S23" s="287"/>
      <c r="T23"/>
      <c r="U23" s="288"/>
      <c r="V23" s="289"/>
      <c r="W23"/>
      <c r="X23" s="290" t="e">
        <f>VLOOKUP(AP$21,Sheet1!$P$3:$Q$41,2,FALSE)-VLOOKUP(EOMONTH($AP6,2),Sheet1!$S$3:$T$41,2,FALSE)+HLOOKUP(AP6,$K$24:$O$25,2,FALSE)</f>
        <v>#N/A</v>
      </c>
      <c r="Y23" s="311" t="e">
        <f>AD23-AB23</f>
        <v>#NUM!</v>
      </c>
      <c r="Z23" s="312">
        <f>$Z$4</f>
        <v>3</v>
      </c>
      <c r="AA23" s="313" t="e">
        <f>IFERROR(VLOOKUP(EOMONTH(AH23,0),Freight!$A$3:$F$22,MATCH("TD25",Freight!$A$3:$F$3,0),FALSE),VLOOKUP(EOMONTH(AH23,1),Freight!$A$3:$F$22,MATCH("TD25",Freight!$A$3:$F$3,0),FALSE))+$AB$28</f>
        <v>#NUM!</v>
      </c>
      <c r="AB23" s="257" t="e">
        <f>SUM(Z23:AA23)-S23+X23</f>
        <v>#NUM!</v>
      </c>
      <c r="AC23"/>
      <c r="AD23" s="256">
        <v>1.2</v>
      </c>
      <c r="AE23" s="314" t="e">
        <f>AS21</f>
        <v>#NUM!</v>
      </c>
      <c r="AF23" s="314" t="e">
        <f>AW21</f>
        <v>#NUM!</v>
      </c>
      <c r="AG23"/>
      <c r="AH23" s="288">
        <f t="shared" si="40"/>
        <v>-17</v>
      </c>
      <c r="AI23" s="289">
        <f t="shared" si="40"/>
        <v>-17</v>
      </c>
      <c r="AJ23"/>
      <c r="AL23" s="315"/>
      <c r="AM23" s="315"/>
      <c r="AN23"/>
      <c r="AO23" s="286" t="e">
        <f>EOMONTH(AH24,0)</f>
        <v>#NUM!</v>
      </c>
      <c r="AP23" s="87">
        <f>IF(AI24&gt;USG!$E$25,EOMONTH(AI24,0),USG!$E$25)</f>
        <v>46356</v>
      </c>
      <c r="AQ23" s="87">
        <f t="shared" si="14"/>
        <v>91</v>
      </c>
      <c r="AR23"/>
      <c r="AS23" s="87" t="e">
        <f t="shared" si="37"/>
        <v>#NUM!</v>
      </c>
      <c r="AT23" s="87" t="e">
        <f t="shared" si="37"/>
        <v>#NUM!</v>
      </c>
      <c r="AU23" s="87" t="e">
        <f t="shared" si="38"/>
        <v>#NUM!</v>
      </c>
      <c r="AV23" s="87" t="e">
        <f t="shared" si="39"/>
        <v>#NUM!</v>
      </c>
      <c r="AW23" s="87" t="e">
        <f t="shared" si="39"/>
        <v>#NUM!</v>
      </c>
      <c r="AX23" s="87">
        <f>IF(AI25&gt;USG!$E$25,EOMONTH(AI25,0),USG!$E$25)</f>
        <v>46356</v>
      </c>
    </row>
    <row r="24" spans="1:71" s="274" customFormat="1" ht="15.75" customHeight="1" thickBot="1" x14ac:dyDescent="0.4">
      <c r="B24" s="284">
        <f ca="1">Sheet1!AB4</f>
        <v>2.5799999999999983</v>
      </c>
      <c r="C24" s="369" t="s">
        <v>118</v>
      </c>
      <c r="D24" s="318" t="e">
        <f>Sheet1!B7-Sheet1!B8</f>
        <v>#VALUE!</v>
      </c>
      <c r="E24" s="318">
        <f>Sheet1!C7-Sheet1!C8</f>
        <v>3.25</v>
      </c>
      <c r="F24" s="318">
        <f>Sheet1!D7-Sheet1!D8</f>
        <v>0.65000000000000013</v>
      </c>
      <c r="G24" s="318">
        <f>Sheet1!E7-Sheet1!E8</f>
        <v>0.65</v>
      </c>
      <c r="H24" s="318">
        <f>Sheet1!F7-Sheet1!F8</f>
        <v>0.54999999999999993</v>
      </c>
      <c r="I24" s="318">
        <f>Sheet1!G7-Sheet1!G8</f>
        <v>0.54999999999999993</v>
      </c>
      <c r="J24" s="318">
        <f>Sheet1!H7-Sheet1!H8</f>
        <v>0.55000000000000004</v>
      </c>
      <c r="K24" s="318">
        <f>Sheet1!I7-Sheet1!I8</f>
        <v>0.60000000000000009</v>
      </c>
      <c r="L24" s="318">
        <f>Sheet1!J7-Sheet1!J8</f>
        <v>0.60000000000000009</v>
      </c>
      <c r="M24" s="271"/>
      <c r="N24" s="315"/>
      <c r="O24"/>
      <c r="P24"/>
      <c r="Q24" s="285"/>
      <c r="R24" s="286"/>
      <c r="S24" s="287"/>
      <c r="T24"/>
      <c r="U24" s="288"/>
      <c r="V24" s="289"/>
      <c r="W24"/>
      <c r="X24" s="290"/>
      <c r="Y24" s="311"/>
      <c r="Z24" s="312"/>
      <c r="AA24" s="313"/>
      <c r="AB24" s="257"/>
      <c r="AC24"/>
      <c r="AD24" s="256"/>
      <c r="AE24" s="314"/>
      <c r="AF24" s="314"/>
      <c r="AG24"/>
      <c r="AH24" s="288">
        <f t="shared" si="40"/>
        <v>-17</v>
      </c>
      <c r="AI24" s="289"/>
      <c r="AJ24"/>
      <c r="AK24" s="271"/>
      <c r="AL24" s="271"/>
      <c r="AM24" s="271"/>
      <c r="AN24"/>
      <c r="AO24" s="286" t="e">
        <f>EOMONTH(AH25,0)</f>
        <v>#NUM!</v>
      </c>
      <c r="AP24" s="87">
        <f>IF(AI25&gt;USG!$E$25,EOMONTH(AI25,0),USG!$E$25)</f>
        <v>46356</v>
      </c>
      <c r="AQ24" s="87">
        <f t="shared" si="14"/>
        <v>91</v>
      </c>
      <c r="AR24"/>
      <c r="AS24" s="87" t="e">
        <f t="shared" si="37"/>
        <v>#NUM!</v>
      </c>
      <c r="AT24" s="87" t="e">
        <f t="shared" si="37"/>
        <v>#NUM!</v>
      </c>
      <c r="AU24" s="87" t="e">
        <f t="shared" si="38"/>
        <v>#NUM!</v>
      </c>
      <c r="AV24" s="87" t="e">
        <f t="shared" si="39"/>
        <v>#NUM!</v>
      </c>
      <c r="AW24" s="87" t="e">
        <f t="shared" si="39"/>
        <v>#NUM!</v>
      </c>
      <c r="AX24" s="87">
        <f>IF(AI26&gt;USG!$E$25,EOMONTH(AI26,0),USG!$E$25)</f>
        <v>46356</v>
      </c>
    </row>
    <row r="25" spans="1:71" ht="16" thickBot="1" x14ac:dyDescent="0.4">
      <c r="C25" s="272" t="s">
        <v>10</v>
      </c>
      <c r="D25" s="479">
        <f>E25</f>
        <v>46356</v>
      </c>
      <c r="E25" s="478">
        <f>Sheet1!P3</f>
        <v>46356</v>
      </c>
      <c r="F25" s="273">
        <f t="shared" ref="F25" si="49">EOMONTH(E25,1)</f>
        <v>46387</v>
      </c>
      <c r="G25" s="273">
        <f t="shared" ref="G25" si="50">EOMONTH(F25,1)</f>
        <v>46418</v>
      </c>
      <c r="H25" s="273">
        <f t="shared" ref="H25" si="51">EOMONTH(G25,1)</f>
        <v>46446</v>
      </c>
      <c r="I25" s="273">
        <f t="shared" ref="I25" si="52">EOMONTH(H25,1)</f>
        <v>46477</v>
      </c>
      <c r="J25" s="273">
        <f t="shared" ref="J25" si="53">EOMONTH(I25,1)</f>
        <v>46507</v>
      </c>
      <c r="K25" s="273">
        <f t="shared" ref="K25" si="54">EOMONTH(J25,1)</f>
        <v>46538</v>
      </c>
      <c r="L25" s="273">
        <f t="shared" ref="L25" si="55">EOMONTH(K25,1)</f>
        <v>46568</v>
      </c>
      <c r="P25"/>
      <c r="Q25" s="285"/>
      <c r="R25" s="286"/>
      <c r="S25" s="287"/>
      <c r="T25"/>
      <c r="U25" s="288"/>
      <c r="V25" s="289"/>
      <c r="W25"/>
      <c r="X25" s="290"/>
      <c r="Y25" s="311"/>
      <c r="Z25" s="312"/>
      <c r="AA25" s="313"/>
      <c r="AB25" s="257"/>
      <c r="AC25"/>
      <c r="AD25" s="256"/>
      <c r="AE25" s="314"/>
      <c r="AF25" s="314"/>
      <c r="AG25"/>
      <c r="AH25" s="288">
        <f t="shared" si="40"/>
        <v>-17</v>
      </c>
      <c r="AI25" s="289"/>
      <c r="AJ25"/>
      <c r="AN25"/>
      <c r="AO25"/>
      <c r="AP25"/>
      <c r="AQ25" s="274"/>
      <c r="AR25" s="274"/>
      <c r="AS25" s="87" t="e">
        <f t="shared" si="37"/>
        <v>#NUM!</v>
      </c>
      <c r="AT25" s="87" t="e">
        <f t="shared" si="37"/>
        <v>#NUM!</v>
      </c>
      <c r="AU25" s="87" t="e">
        <f t="shared" si="38"/>
        <v>#NUM!</v>
      </c>
      <c r="AV25" s="87" t="e">
        <f t="shared" si="39"/>
        <v>#NUM!</v>
      </c>
      <c r="AW25" s="87" t="e">
        <f t="shared" si="39"/>
        <v>#NUM!</v>
      </c>
      <c r="AX25" s="87">
        <f>IF(AI27&gt;USG!$E$25,EOMONTH(AI27,0),USG!$E$25)</f>
        <v>46356</v>
      </c>
    </row>
    <row r="26" spans="1:71" ht="16" thickBot="1" x14ac:dyDescent="0.4">
      <c r="B26" s="271"/>
      <c r="C26" s="276" t="s">
        <v>119</v>
      </c>
      <c r="D26" s="476">
        <f>E26</f>
        <v>1.25</v>
      </c>
      <c r="E26" s="477">
        <v>1.25</v>
      </c>
      <c r="F26" s="278">
        <f>E26+(-INDEX(Sheet1!$B$6:$N$18,MATCH("MEH",Sheet1!$B$6:$B$18,0),MATCH(EOMONTH(E25,-1)+1,Sheet1!$B$5:$N$5,0))+INDEX(Sheet1!$B$6:$N$18,MATCH("MEH",Sheet1!$B$6:$B$18,0),MATCH(EOMONTH(F25,-1)+1,Sheet1!$B$5:$N$5,0)))</f>
        <v>0.89999999999999991</v>
      </c>
      <c r="G26" s="278">
        <f>F26+(-INDEX(Sheet1!$B$6:$N$18,MATCH("MEH",Sheet1!$B$6:$B$18,0),MATCH(EOMONTH(F25,-1)+1,Sheet1!$B$5:$N$5,0))+INDEX(Sheet1!$B$6:$N$18,MATCH("MEH",Sheet1!$B$6:$B$18,0),MATCH(EOMONTH(G25,-1)+1,Sheet1!$B$5:$N$5,0)))</f>
        <v>1.0999999999999999</v>
      </c>
      <c r="H26" s="278">
        <f>G26+(-INDEX(Sheet1!$B$6:$N$18,MATCH("MEH",Sheet1!$B$6:$B$18,0),MATCH(EOMONTH(G25,-1)+1,Sheet1!$B$5:$N$5,0))+INDEX(Sheet1!$B$6:$N$18,MATCH("MEH",Sheet1!$B$6:$B$18,0),MATCH(EOMONTH(H25,-1)+1,Sheet1!$B$5:$N$5,0)))</f>
        <v>1.2999999999999998</v>
      </c>
      <c r="I26" s="278">
        <f>H26+(-INDEX(Sheet1!$B$6:$N$18,MATCH("MEH",Sheet1!$B$6:$B$18,0),MATCH(EOMONTH(H25,-1)+1,Sheet1!$B$5:$N$5,0))+INDEX(Sheet1!$B$6:$N$18,MATCH("MEH",Sheet1!$B$6:$B$18,0),MATCH(EOMONTH(I25,-1)+1,Sheet1!$B$5:$N$5,0)))</f>
        <v>1.45</v>
      </c>
      <c r="J26" s="278">
        <f>I26+(-INDEX(Sheet1!$B$6:$N$18,MATCH("MEH",Sheet1!$B$6:$B$18,0),MATCH(EOMONTH(I25,-1)+1,Sheet1!$B$5:$N$5,0))+INDEX(Sheet1!$B$6:$N$18,MATCH("MEH",Sheet1!$B$6:$B$18,0),MATCH(EOMONTH(J25,-1)+1,Sheet1!$B$5:$N$5,0)))</f>
        <v>1.65</v>
      </c>
      <c r="K26" s="278">
        <f>J26+(-INDEX(Sheet1!$B$6:$N$18,MATCH("MEH",Sheet1!$B$6:$B$18,0),MATCH(EOMONTH(J25,-1)+1,Sheet1!$B$5:$N$5,0))+INDEX(Sheet1!$B$6:$N$18,MATCH("MEH",Sheet1!$B$6:$B$18,0),MATCH(EOMONTH(K25,-1)+1,Sheet1!$B$5:$N$5,0)))</f>
        <v>1.7</v>
      </c>
      <c r="L26" s="278">
        <f>K26+(-INDEX(Sheet1!$B$6:$N$18,MATCH("MEH",Sheet1!$B$6:$B$18,0),MATCH(EOMONTH(K25,-1)+1,Sheet1!$B$5:$N$5,0))+INDEX(Sheet1!$B$6:$N$18,MATCH("MEH",Sheet1!$B$6:$B$18,0),MATCH(EOMONTH(L25,-1)+1,Sheet1!$B$5:$N$5,0)))</f>
        <v>1.75</v>
      </c>
      <c r="P26"/>
      <c r="Q26" s="285"/>
      <c r="R26" s="286"/>
      <c r="S26" s="287"/>
      <c r="T26"/>
      <c r="U26" s="288"/>
      <c r="V26" s="289"/>
      <c r="W26"/>
      <c r="X26" s="290"/>
      <c r="Y26" s="311"/>
      <c r="Z26" s="312"/>
      <c r="AA26" s="313"/>
      <c r="AB26" s="257"/>
      <c r="AC26"/>
      <c r="AD26" s="256"/>
      <c r="AE26" s="314"/>
      <c r="AF26" s="314"/>
      <c r="AG26"/>
      <c r="AH26" s="288"/>
      <c r="AI26" s="289"/>
      <c r="AJ26"/>
      <c r="AN26"/>
      <c r="AO26"/>
      <c r="AP26"/>
      <c r="AQ26"/>
      <c r="AR26"/>
      <c r="AS26"/>
      <c r="AT26"/>
      <c r="AU26"/>
      <c r="AV26"/>
      <c r="AW26"/>
      <c r="AX26"/>
    </row>
    <row r="27" spans="1:71" s="279" customFormat="1" ht="16" thickBot="1" x14ac:dyDescent="0.4">
      <c r="B27" s="271"/>
      <c r="C27" s="280" t="s">
        <v>2</v>
      </c>
      <c r="P27" s="271"/>
      <c r="Q27" s="285"/>
      <c r="R27" s="286"/>
      <c r="S27" s="287"/>
      <c r="T27"/>
      <c r="U27" s="288"/>
      <c r="V27" s="289"/>
      <c r="W27"/>
      <c r="X27" s="290"/>
      <c r="Y27" s="311"/>
      <c r="Z27" s="312"/>
      <c r="AA27" s="313"/>
      <c r="AB27" s="257"/>
      <c r="AC27"/>
      <c r="AD27" s="256"/>
      <c r="AE27" s="314"/>
      <c r="AF27" s="314"/>
      <c r="AG27"/>
      <c r="AH27" s="288"/>
      <c r="AI27" s="289"/>
      <c r="AJ27" s="274"/>
      <c r="AK27" s="274"/>
      <c r="AL27" s="274"/>
      <c r="AM27" s="274"/>
      <c r="AN27" s="274"/>
      <c r="AO27" s="274"/>
      <c r="AP27" s="274"/>
      <c r="AQ27" s="271"/>
      <c r="AR27" s="271"/>
      <c r="AS27" s="271"/>
      <c r="AT27" s="271"/>
      <c r="AU27" s="271"/>
      <c r="AV27" s="271"/>
      <c r="AW27" s="271"/>
      <c r="AX27" s="271"/>
      <c r="BM27" s="282">
        <v>1.25</v>
      </c>
      <c r="BN27" s="283">
        <v>1</v>
      </c>
    </row>
    <row r="28" spans="1:71" s="281" customFormat="1" ht="18" customHeight="1" x14ac:dyDescent="0.35">
      <c r="B28" s="279"/>
      <c r="C28" s="276" t="s">
        <v>120</v>
      </c>
      <c r="D28"/>
      <c r="E28" s="510">
        <v>0.3</v>
      </c>
      <c r="F28" s="307">
        <v>0</v>
      </c>
      <c r="G28" s="309"/>
      <c r="H28" s="271"/>
      <c r="I28" s="309"/>
      <c r="J28" s="271"/>
      <c r="K28" s="271"/>
      <c r="L28" s="271"/>
      <c r="P28" s="271"/>
      <c r="Q28"/>
      <c r="R28"/>
      <c r="S28"/>
      <c r="T28"/>
      <c r="U28"/>
      <c r="V28" s="274"/>
      <c r="W28" s="274"/>
      <c r="X28" s="274"/>
      <c r="Y28" s="274"/>
      <c r="Z28" s="275"/>
      <c r="AA28" s="274"/>
      <c r="AB28" s="274">
        <v>0.18</v>
      </c>
      <c r="AC28" s="274"/>
      <c r="AD28" s="274"/>
      <c r="AE28" s="274"/>
      <c r="AF28" s="274"/>
      <c r="AG28" s="274"/>
      <c r="AH28" s="274"/>
      <c r="AI28" s="274"/>
      <c r="AJ28"/>
      <c r="AK28" s="271"/>
      <c r="AL28" s="271"/>
      <c r="AM28" s="271"/>
      <c r="AN28"/>
      <c r="AO28"/>
      <c r="AP28"/>
      <c r="AQ28" s="279"/>
      <c r="AR28" s="279"/>
      <c r="AS28" s="279"/>
      <c r="AT28" s="279"/>
      <c r="AU28" s="279"/>
      <c r="AV28" s="279"/>
      <c r="AW28" s="279"/>
      <c r="AX28" s="279"/>
    </row>
    <row r="29" spans="1:71" s="281" customFormat="1" ht="17.25" customHeight="1" x14ac:dyDescent="0.35">
      <c r="C29" s="276" t="s">
        <v>121</v>
      </c>
      <c r="D29" s="511">
        <v>3</v>
      </c>
      <c r="E29" s="485"/>
      <c r="F29" s="271"/>
      <c r="G29" s="309"/>
      <c r="H29" s="309"/>
      <c r="I29" s="309"/>
      <c r="J29" s="309"/>
      <c r="K29" s="271"/>
      <c r="L29" s="309"/>
      <c r="S29" s="271"/>
      <c r="T29" s="271"/>
      <c r="U29" s="271"/>
      <c r="V29" s="271"/>
      <c r="W29" s="271"/>
      <c r="X29" s="271"/>
      <c r="Y29"/>
      <c r="Z29"/>
      <c r="AA29" s="271"/>
      <c r="AB29"/>
      <c r="AC29"/>
      <c r="AD29"/>
      <c r="AE29"/>
      <c r="AF29"/>
      <c r="AG29"/>
      <c r="AH29"/>
      <c r="AI29" s="71"/>
      <c r="AJ29" s="271"/>
      <c r="AK29" s="271"/>
      <c r="AL29" s="271"/>
      <c r="AM29" s="271"/>
      <c r="AN29" s="271"/>
      <c r="AO29" s="271"/>
      <c r="AP29" s="271"/>
      <c r="BL29"/>
      <c r="BM29"/>
      <c r="BN29"/>
      <c r="BO29"/>
      <c r="BP29"/>
    </row>
    <row r="30" spans="1:71" s="281" customFormat="1" ht="19.5" customHeight="1" x14ac:dyDescent="0.35">
      <c r="C30" s="323" t="s">
        <v>123</v>
      </c>
      <c r="D30" s="511"/>
      <c r="E30" s="485"/>
      <c r="F30" s="271"/>
      <c r="G30" s="309"/>
      <c r="H30" s="309"/>
      <c r="I30" s="309"/>
      <c r="J30" s="271"/>
      <c r="K30" s="271"/>
      <c r="L30" s="271"/>
      <c r="S30" s="271"/>
      <c r="T30" s="271"/>
      <c r="U30" s="271"/>
      <c r="Y30" s="517" t="s">
        <v>286</v>
      </c>
      <c r="Z30" s="518">
        <v>-3</v>
      </c>
      <c r="AA30" s="519"/>
      <c r="AC30" s="271"/>
      <c r="AD30" s="271"/>
      <c r="AE30" s="271"/>
      <c r="AF30" s="271"/>
      <c r="AG30" s="271"/>
      <c r="AH30" s="271"/>
      <c r="AI30" s="271"/>
      <c r="AJ30" s="279"/>
      <c r="AK30" s="279"/>
      <c r="AL30" s="279"/>
      <c r="AM30" s="279"/>
      <c r="AN30" s="279"/>
      <c r="AO30" s="279"/>
      <c r="AP30" s="279"/>
      <c r="BL30"/>
      <c r="BM30"/>
      <c r="BN30"/>
      <c r="BO30"/>
      <c r="BP30"/>
    </row>
    <row r="31" spans="1:71" s="281" customFormat="1" x14ac:dyDescent="0.35">
      <c r="C31" s="271"/>
      <c r="D31" s="271"/>
      <c r="E31" s="271"/>
      <c r="F31" s="271"/>
      <c r="G31" s="309"/>
      <c r="H31" s="309"/>
      <c r="I31" s="309"/>
      <c r="J31" s="271"/>
      <c r="K31" s="271"/>
      <c r="L31" s="271"/>
      <c r="S31" s="271"/>
      <c r="T31" s="271"/>
      <c r="U31" s="271"/>
      <c r="Y31" s="520" t="s">
        <v>436</v>
      </c>
      <c r="Z31" s="518">
        <v>-0.16</v>
      </c>
      <c r="AA31" s="519"/>
      <c r="AE31" s="279"/>
      <c r="AF31" s="279"/>
      <c r="AG31" s="279"/>
      <c r="AH31" s="279"/>
      <c r="AI31" s="279"/>
    </row>
    <row r="32" spans="1:71" ht="15.75" customHeight="1" thickBot="1" x14ac:dyDescent="0.4">
      <c r="B32" s="271"/>
      <c r="C32" s="93">
        <f>EOMONTH(C33,-1)</f>
        <v>46356</v>
      </c>
      <c r="D32" s="300" t="e">
        <f>VLOOKUP(D$25,Sheet1!$P$3:$Q$41,2,FALSE)+D$26-VLOOKUP($C32,Sheet1!$S$3:$T$41,2,FALSE)+D28+D29</f>
        <v>#N/A</v>
      </c>
      <c r="E32" s="300" t="e">
        <f>VLOOKUP(E$25,Sheet1!$P$3:$Q$41,2,FALSE)+E$26-VLOOKUP($C32,Sheet1!$S$3:$T$41,2,FALSE)</f>
        <v>#N/A</v>
      </c>
      <c r="F32" s="300" t="e">
        <f>VLOOKUP(F$25,Sheet1!$P$3:$Q$41,2,FALSE)+F$26-VLOOKUP($C32,Sheet1!$S$3:$T$41,2,FALSE)</f>
        <v>#N/A</v>
      </c>
      <c r="G32"/>
      <c r="H32"/>
      <c r="I32"/>
      <c r="J32"/>
      <c r="K32"/>
      <c r="L32"/>
      <c r="O32" s="439"/>
      <c r="P32" s="540">
        <f>E25</f>
        <v>46356</v>
      </c>
      <c r="Q32" s="98" t="s">
        <v>197</v>
      </c>
      <c r="R32" s="98" t="s">
        <v>228</v>
      </c>
      <c r="S32" s="98" t="s">
        <v>422</v>
      </c>
      <c r="T32" s="98"/>
      <c r="U32" s="98" t="s">
        <v>423</v>
      </c>
      <c r="V32" t="s">
        <v>424</v>
      </c>
      <c r="Y32" s="520" t="s">
        <v>437</v>
      </c>
      <c r="Z32" s="515">
        <v>-4.2</v>
      </c>
      <c r="AA32" s="517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  <c r="AO32" s="281"/>
      <c r="AP32" s="281"/>
      <c r="AQ32" s="281"/>
      <c r="AR32" s="281"/>
      <c r="AS32" s="281"/>
      <c r="AT32" s="281"/>
      <c r="AU32" s="281"/>
      <c r="AV32" s="281"/>
      <c r="AW32" s="281"/>
      <c r="AX32" s="281"/>
    </row>
    <row r="33" spans="1:72" ht="15.75" customHeight="1" thickBot="1" x14ac:dyDescent="0.4">
      <c r="B33" s="489"/>
      <c r="C33" s="299">
        <f>EOMONTH(E25,1)</f>
        <v>46387</v>
      </c>
      <c r="D33" s="492">
        <f>VLOOKUP(D$25,Sheet1!$P$3:$Q$41,2,FALSE)+D$26-VLOOKUP($C33,Sheet1!$S$3:$T$41,2,FALSE)+$D$29+$D$30</f>
        <v>-5.0999999999999943</v>
      </c>
      <c r="E33" s="300">
        <f>VLOOKUP(E$25,Sheet1!$P$3:$Q$41,2,FALSE)+E$26-VLOOKUP($C33,Sheet1!$S$3:$T$41,2,FALSE)</f>
        <v>-8.0999999999999943</v>
      </c>
      <c r="F33" s="300">
        <f>VLOOKUP(F$25,Sheet1!$P$3:$Q$41,2,FALSE)+F$26-VLOOKUP($C33,Sheet1!$S$3:$T$41,2,FALSE)</f>
        <v>-10.509999999999991</v>
      </c>
      <c r="G33" s="300">
        <f>VLOOKUP(G$25,Sheet1!$P$3:$Q$41,2,FALSE)+G$26-VLOOKUP($C33,Sheet1!$S$3:$T$41,2,FALSE)</f>
        <v>-12.400000000000006</v>
      </c>
      <c r="H33" s="300">
        <f>VLOOKUP(H$25,Sheet1!$P$3:$Q$41,2,FALSE)+H$26-VLOOKUP($C33,Sheet1!$S$3:$T$41,2,FALSE)</f>
        <v>-14.299999999999997</v>
      </c>
      <c r="I33" s="300">
        <f>VLOOKUP(I$25,Sheet1!$P$3:$Q$41,2,FALSE)+I$26-VLOOKUP($C33,Sheet1!$S$3:$T$41,2,FALSE)</f>
        <v>-16.109999999999985</v>
      </c>
      <c r="J33" s="300">
        <f>VLOOKUP(J$25,Sheet1!$P$3:$Q$41,2,FALSE)+J$26-VLOOKUP($C33,Sheet1!$S$3:$T$41,2,FALSE)</f>
        <v>-17.569999999999993</v>
      </c>
      <c r="K33" s="300">
        <f>VLOOKUP(K$25,Sheet1!$P$3:$Q$41,2,FALSE)+K$26-VLOOKUP($C33,Sheet1!$S$3:$T$41,2,FALSE)</f>
        <v>-18.879999999999995</v>
      </c>
      <c r="L33" s="300">
        <f>VLOOKUP(L$25,Sheet1!$P$3:$Q$41,2,FALSE)+L$26-VLOOKUP($C33,Sheet1!$S$3:$T$41,2,FALSE)</f>
        <v>-20.089999999999989</v>
      </c>
      <c r="O33" s="93"/>
      <c r="P33" s="71"/>
      <c r="Q33" s="88"/>
      <c r="R33" s="88"/>
      <c r="S33" s="71"/>
      <c r="T33"/>
      <c r="U33"/>
      <c r="V33" s="71"/>
      <c r="Y33" s="517" t="s">
        <v>438</v>
      </c>
      <c r="Z33" s="515">
        <v>0.5</v>
      </c>
      <c r="AA33" s="517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  <c r="AO33" s="281"/>
      <c r="AP33" s="281"/>
    </row>
    <row r="34" spans="1:72" ht="15.75" customHeight="1" thickBot="1" x14ac:dyDescent="0.4">
      <c r="B34" s="489"/>
      <c r="C34" s="299">
        <f t="shared" ref="C34:C40" si="56">EOMONTH(C33,1)</f>
        <v>46418</v>
      </c>
      <c r="D34" s="300">
        <f>VLOOKUP(D$25,Sheet1!$P$3:$Q$41,2,FALSE)+D$26-VLOOKUP($C34,Sheet1!$S$3:$T$41,2,FALSE)+$D$29+$D$30</f>
        <v>-1.230000000000004</v>
      </c>
      <c r="E34" s="492">
        <f>VLOOKUP(E$25,Sheet1!$P$3:$Q$41,2,FALSE)+E$26-VLOOKUP($C34,Sheet1!$S$3:$T$41,2,FALSE)+$E$28</f>
        <v>-3.9300000000000042</v>
      </c>
      <c r="F34" s="300">
        <f>VLOOKUP(F$25,Sheet1!$P$3:$Q$41,2,FALSE)+F$26-VLOOKUP($C34,Sheet1!$S$3:$T$41,2,FALSE)</f>
        <v>-6.6400000000000006</v>
      </c>
      <c r="G34" s="300">
        <f>VLOOKUP(G$25,Sheet1!$P$3:$Q$41,2,FALSE)+G$26-VLOOKUP($C34,Sheet1!$S$3:$T$41,2,FALSE)</f>
        <v>-8.5300000000000153</v>
      </c>
      <c r="H34" s="300">
        <f>VLOOKUP(H$25,Sheet1!$P$3:$Q$41,2,FALSE)+H$26-VLOOKUP($C34,Sheet1!$S$3:$T$41,2,FALSE)+H$28</f>
        <v>-10.430000000000007</v>
      </c>
      <c r="I34" s="300">
        <f>VLOOKUP(I$25,Sheet1!$P$3:$Q$41,2,FALSE)+I$26-VLOOKUP($C34,Sheet1!$S$3:$T$41,2,FALSE)+I$28</f>
        <v>-12.239999999999995</v>
      </c>
      <c r="J34" s="300">
        <f>VLOOKUP(J$25,Sheet1!$P$3:$Q$41,2,FALSE)+J$26-VLOOKUP($C34,Sheet1!$S$3:$T$41,2,FALSE)+J$28</f>
        <v>-13.700000000000003</v>
      </c>
      <c r="K34" s="300">
        <f>VLOOKUP(K$25,Sheet1!$P$3:$Q$41,2,FALSE)+K$26-VLOOKUP($C34,Sheet1!$S$3:$T$41,2,FALSE)+K$28</f>
        <v>-15.010000000000005</v>
      </c>
      <c r="L34" s="300">
        <f>VLOOKUP(L$25,Sheet1!$P$3:$Q$41,2,FALSE)+L$26-VLOOKUP($C34,Sheet1!$S$3:$T$41,2,FALSE)+L$28</f>
        <v>-16.22</v>
      </c>
      <c r="O34" s="93"/>
      <c r="P34" s="521"/>
      <c r="Q34" s="104"/>
      <c r="R34" s="104"/>
      <c r="S34" s="521"/>
      <c r="T34" s="98"/>
      <c r="U34" s="98"/>
      <c r="V34" s="71"/>
      <c r="Y34" s="517" t="s">
        <v>439</v>
      </c>
      <c r="Z34" s="515">
        <f>Z30+Z31-Z32-Z33</f>
        <v>0.54</v>
      </c>
      <c r="AA34" s="517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  <c r="AO34" s="281"/>
      <c r="AP34" s="281"/>
    </row>
    <row r="35" spans="1:72" ht="15.75" customHeight="1" x14ac:dyDescent="0.35">
      <c r="B35" s="489"/>
      <c r="C35" s="299">
        <f t="shared" si="56"/>
        <v>46446</v>
      </c>
      <c r="D35" s="300">
        <f>VLOOKUP(D$25,Sheet1!$P$3:$Q$41,2,FALSE)+D$26-VLOOKUP($C35,Sheet1!$S$3:$T$41,2,FALSE)+$D$29+$D$30</f>
        <v>1.8499999999999943</v>
      </c>
      <c r="E35" s="300">
        <f>VLOOKUP(E$25,Sheet1!$P$3:$Q$41,2,FALSE)+E$26-VLOOKUP($C35,Sheet1!$S$3:$T$41,2,FALSE)+$E$28</f>
        <v>-0.85000000000000564</v>
      </c>
      <c r="F35" s="491">
        <f>VLOOKUP(F$25,Sheet1!$P$3:$Q$41,2,FALSE)+F$26-VLOOKUP($C35,Sheet1!$S$3:$T$41,2,FALSE)+F$28</f>
        <v>-3.5600000000000023</v>
      </c>
      <c r="G35" s="300">
        <f>VLOOKUP(G$25,Sheet1!$P$3:$Q$41,2,FALSE)+G$26-VLOOKUP($C35,Sheet1!$S$3:$T$41,2,FALSE)+G$28</f>
        <v>-5.4500000000000171</v>
      </c>
      <c r="H35" s="300">
        <f>VLOOKUP(H$25,Sheet1!$P$3:$Q$41,2,FALSE)+H$26-VLOOKUP($C35,Sheet1!$S$3:$T$41,2,FALSE)+H$28</f>
        <v>-7.3500000000000085</v>
      </c>
      <c r="I35" s="300">
        <f>VLOOKUP(I$25,Sheet1!$P$3:$Q$41,2,FALSE)+I$26-VLOOKUP($C35,Sheet1!$S$3:$T$41,2,FALSE)+I$28</f>
        <v>-9.1599999999999966</v>
      </c>
      <c r="J35" s="300">
        <f>VLOOKUP(J$25,Sheet1!$P$3:$Q$41,2,FALSE)+J$26-VLOOKUP($C35,Sheet1!$S$3:$T$41,2,FALSE)+J$28</f>
        <v>-10.620000000000005</v>
      </c>
      <c r="K35" s="300">
        <f>VLOOKUP(K$25,Sheet1!$P$3:$Q$41,2,FALSE)+K$26-VLOOKUP($C35,Sheet1!$S$3:$T$41,2,FALSE)+K$28</f>
        <v>-11.930000000000007</v>
      </c>
      <c r="L35" s="300">
        <f>VLOOKUP(L$25,Sheet1!$P$3:$Q$41,2,FALSE)+L$26-VLOOKUP($C35,Sheet1!$S$3:$T$41,2,FALSE)+L$28</f>
        <v>-13.14</v>
      </c>
      <c r="O35" s="93">
        <v>46356</v>
      </c>
      <c r="P35" s="521">
        <f>D33</f>
        <v>-5.0999999999999943</v>
      </c>
      <c r="Q35" s="104">
        <f>P59</f>
        <v>460.5</v>
      </c>
      <c r="R35" s="104">
        <f>Q62</f>
        <v>300</v>
      </c>
      <c r="S35" s="521">
        <f>P35+(Q35*21.47*70/700/100)</f>
        <v>4.786935000000005</v>
      </c>
      <c r="T35" s="98"/>
      <c r="U35" s="98">
        <f>7.25*R35*86.7/100/700</f>
        <v>2.6938928571428571</v>
      </c>
      <c r="V35" s="71">
        <f>U35-S35</f>
        <v>-2.093042142857148</v>
      </c>
      <c r="Y35" s="515"/>
      <c r="Z35" s="515"/>
      <c r="AA35" s="517"/>
      <c r="AE35"/>
      <c r="AF35" s="281"/>
      <c r="AG35" s="281"/>
      <c r="AH35" s="281"/>
      <c r="AI35" s="281"/>
    </row>
    <row r="36" spans="1:72" ht="15.75" customHeight="1" x14ac:dyDescent="0.35">
      <c r="B36" s="489"/>
      <c r="C36" s="299">
        <f t="shared" si="56"/>
        <v>46477</v>
      </c>
      <c r="D36" s="300">
        <f>VLOOKUP(D$25,Sheet1!$P$3:$Q$41,2,FALSE)+D$26-VLOOKUP($C36,Sheet1!$S$3:$T$41,2,FALSE)+$D$29+$D$30</f>
        <v>4.1700000000000017</v>
      </c>
      <c r="E36" s="300">
        <f>VLOOKUP(E$25,Sheet1!$P$3:$Q$41,2,FALSE)+E$26-VLOOKUP($C36,Sheet1!$S$3:$T$41,2,FALSE)+$E$28</f>
        <v>1.4700000000000017</v>
      </c>
      <c r="F36" s="300">
        <f>VLOOKUP(F$25,Sheet1!$P$3:$Q$41,2,FALSE)+F$26-VLOOKUP($C36,Sheet1!$S$3:$T$41,2,FALSE)+F$28</f>
        <v>-1.2399999999999949</v>
      </c>
      <c r="G36" s="491">
        <f>VLOOKUP(G$25,Sheet1!$P$3:$Q$41,2,FALSE)+G$26-VLOOKUP($C36,Sheet1!$S$3:$T$41,2,FALSE)+G$28</f>
        <v>-3.1300000000000097</v>
      </c>
      <c r="H36" s="300">
        <f>VLOOKUP(H$25,Sheet1!$P$3:$Q$41,2,FALSE)+H$26-VLOOKUP($C36,Sheet1!$S$3:$T$41,2,FALSE)+H$28</f>
        <v>-5.0300000000000011</v>
      </c>
      <c r="I36" s="300">
        <f>VLOOKUP(I$25,Sheet1!$P$3:$Q$41,2,FALSE)+I$26-VLOOKUP($C36,Sheet1!$S$3:$T$41,2,FALSE)+I$28</f>
        <v>-6.8399999999999892</v>
      </c>
      <c r="J36" s="300">
        <f>VLOOKUP(J$25,Sheet1!$P$3:$Q$41,2,FALSE)+J$26-VLOOKUP($C36,Sheet1!$S$3:$T$41,2,FALSE)+J$28</f>
        <v>-8.2999999999999972</v>
      </c>
      <c r="K36" s="300">
        <f>VLOOKUP(K$25,Sheet1!$P$3:$Q$41,2,FALSE)+K$26-VLOOKUP($C36,Sheet1!$S$3:$T$41,2,FALSE)+K$28</f>
        <v>-9.61</v>
      </c>
      <c r="L36" s="300">
        <f>VLOOKUP(L$25,Sheet1!$P$3:$Q$41,2,FALSE)+L$26-VLOOKUP($C36,Sheet1!$S$3:$T$41,2,FALSE)+L$28</f>
        <v>-10.819999999999993</v>
      </c>
      <c r="Y36" s="98" t="s">
        <v>122</v>
      </c>
      <c r="Z36" s="515">
        <f>+AA36/950</f>
        <v>3.6842105263157894</v>
      </c>
      <c r="AA36" s="517">
        <v>3500</v>
      </c>
      <c r="AE36"/>
    </row>
    <row r="37" spans="1:72" x14ac:dyDescent="0.35">
      <c r="B37" s="489"/>
      <c r="C37" s="299">
        <f t="shared" si="56"/>
        <v>46507</v>
      </c>
      <c r="D37" s="300">
        <f>VLOOKUP(D$25,Sheet1!$P$3:$Q$41,2,FALSE)+D$26-VLOOKUP($C37,Sheet1!$S$3:$T$41,2,FALSE)+$D$29+$D$30</f>
        <v>6.0799999999999983</v>
      </c>
      <c r="E37" s="300">
        <f>VLOOKUP(E$25,Sheet1!$P$3:$Q$41,2,FALSE)+E$26-VLOOKUP($C37,Sheet1!$S$3:$T$41,2,FALSE)+$E$28</f>
        <v>3.3799999999999981</v>
      </c>
      <c r="F37" s="300">
        <f>VLOOKUP(F$25,Sheet1!$P$3:$Q$41,2,FALSE)+F$26-VLOOKUP($C37,Sheet1!$S$3:$T$41,2,FALSE)+F$28</f>
        <v>0.67000000000000171</v>
      </c>
      <c r="G37" s="300">
        <f>VLOOKUP(G$25,Sheet1!$P$3:$Q$41,2,FALSE)+G$26-VLOOKUP($C37,Sheet1!$S$3:$T$41,2,FALSE)+G$28</f>
        <v>-1.2200000000000131</v>
      </c>
      <c r="H37" s="491">
        <f>VLOOKUP(H$25,Sheet1!$P$3:$Q$41,2,FALSE)+H$26-VLOOKUP($C37,Sheet1!$S$3:$T$41,2,FALSE)+H$28</f>
        <v>-3.1200000000000045</v>
      </c>
      <c r="I37" s="300">
        <f>VLOOKUP(I$25,Sheet1!$P$3:$Q$41,2,FALSE)+I$26-VLOOKUP($C37,Sheet1!$S$3:$T$41,2,FALSE)+I$28</f>
        <v>-4.9299999999999926</v>
      </c>
      <c r="J37" s="300">
        <f>VLOOKUP(J$25,Sheet1!$P$3:$Q$41,2,FALSE)+J$26-VLOOKUP($C37,Sheet1!$S$3:$T$41,2,FALSE)+J$28</f>
        <v>-6.3900000000000006</v>
      </c>
      <c r="K37" s="300">
        <f>VLOOKUP(K$25,Sheet1!$P$3:$Q$41,2,FALSE)+K$26-VLOOKUP($C37,Sheet1!$S$3:$T$41,2,FALSE)+K$28</f>
        <v>-7.7000000000000028</v>
      </c>
      <c r="L37" s="300">
        <f>VLOOKUP(L$25,Sheet1!$P$3:$Q$41,2,FALSE)+L$26-VLOOKUP($C37,Sheet1!$S$3:$T$41,2,FALSE)+L$28</f>
        <v>-8.9099999999999966</v>
      </c>
      <c r="O37" s="93">
        <v>46387</v>
      </c>
      <c r="P37" s="521">
        <f>F33</f>
        <v>-10.509999999999991</v>
      </c>
      <c r="Q37" s="104">
        <f>AVERAGE(P61:P62)</f>
        <v>670</v>
      </c>
      <c r="R37" s="104">
        <f>R35</f>
        <v>300</v>
      </c>
      <c r="S37" s="521">
        <f>P37+(Q37*21.47*70/700/100)</f>
        <v>3.8749000000000091</v>
      </c>
      <c r="T37" s="98"/>
      <c r="U37" s="98">
        <f>7.25*R37*86.7/100/700</f>
        <v>2.6938928571428571</v>
      </c>
      <c r="V37" s="71">
        <f>U37-S37</f>
        <v>-1.181007142857152</v>
      </c>
      <c r="Y37" s="521" t="s">
        <v>441</v>
      </c>
      <c r="Z37" s="515">
        <v>0.6</v>
      </c>
      <c r="AA37" s="517"/>
      <c r="AE37"/>
      <c r="BA37" s="271">
        <v>700</v>
      </c>
      <c r="BB37" s="271">
        <v>-1.6</v>
      </c>
      <c r="BC37" s="271">
        <v>0.89</v>
      </c>
      <c r="BD37" s="271">
        <f>SUM(BB37:BC37)</f>
        <v>-0.71000000000000008</v>
      </c>
      <c r="BE37" s="271">
        <v>0.1</v>
      </c>
    </row>
    <row r="38" spans="1:72" ht="15.75" customHeight="1" x14ac:dyDescent="0.35">
      <c r="B38" s="490" t="s">
        <v>128</v>
      </c>
      <c r="C38" s="299">
        <f t="shared" si="56"/>
        <v>46538</v>
      </c>
      <c r="D38" s="300">
        <f>VLOOKUP(D$25,Sheet1!$P$3:$Q$41,2,FALSE)+D$26-VLOOKUP($C38,Sheet1!$S$3:$T$41,2,FALSE)+$D$29+$D$30</f>
        <v>7.769999999999996</v>
      </c>
      <c r="E38" s="300">
        <f>VLOOKUP(E$25,Sheet1!$P$3:$Q$41,2,FALSE)+E$26-VLOOKUP($C38,Sheet1!$S$3:$T$41,2,FALSE)+$E$28</f>
        <v>5.0699999999999958</v>
      </c>
      <c r="F38" s="300">
        <f>VLOOKUP(F$25,Sheet1!$P$3:$Q$41,2,FALSE)+F$26-VLOOKUP($C38,Sheet1!$S$3:$T$41,2,FALSE)+F$28</f>
        <v>2.3599999999999994</v>
      </c>
      <c r="G38" s="300">
        <f>VLOOKUP(G$25,Sheet1!$P$3:$Q$41,2,FALSE)+G$26-VLOOKUP($C38,Sheet1!$S$3:$T$41,2,FALSE)+G$28</f>
        <v>0.46999999999998465</v>
      </c>
      <c r="H38" s="300">
        <f>VLOOKUP(H$25,Sheet1!$P$3:$Q$41,2,FALSE)+H$26-VLOOKUP($C38,Sheet1!$S$3:$T$41,2,FALSE)+H$28</f>
        <v>-1.4300000000000068</v>
      </c>
      <c r="I38" s="491">
        <f>VLOOKUP(I$25,Sheet1!$P$3:$Q$41,2,FALSE)+I$26-VLOOKUP($C38,Sheet1!$S$3:$T$41,2,FALSE)+I$28</f>
        <v>-3.2399999999999949</v>
      </c>
      <c r="J38" s="300">
        <f>VLOOKUP(J$25,Sheet1!$P$3:$Q$41,2,FALSE)+J$26-VLOOKUP($C38,Sheet1!$S$3:$T$41,2,FALSE)+J$28</f>
        <v>-4.7000000000000028</v>
      </c>
      <c r="K38" s="300">
        <f>VLOOKUP(K$25,Sheet1!$P$3:$Q$41,2,FALSE)+K$26-VLOOKUP($C38,Sheet1!$S$3:$T$41,2,FALSE)+K$28</f>
        <v>-6.0100000000000051</v>
      </c>
      <c r="L38" s="300">
        <f>VLOOKUP(L$25,Sheet1!$P$3:$Q$41,2,FALSE)+L$26-VLOOKUP($C38,Sheet1!$S$3:$T$41,2,FALSE)+L$28</f>
        <v>-7.2199999999999989</v>
      </c>
      <c r="O38" s="93">
        <v>46387</v>
      </c>
      <c r="P38" s="521">
        <f>F34</f>
        <v>-6.6400000000000006</v>
      </c>
      <c r="Q38" s="104">
        <f>P62</f>
        <v>590</v>
      </c>
      <c r="R38" s="104">
        <f>R37</f>
        <v>300</v>
      </c>
      <c r="S38" s="521">
        <f>P38+(Q38*21.47*70/700/100)</f>
        <v>6.0273000000000003</v>
      </c>
      <c r="T38" s="98"/>
      <c r="U38" s="98">
        <f>7.25*R38*86.7/100/700</f>
        <v>2.6938928571428571</v>
      </c>
      <c r="V38" s="71">
        <f>U38-S38</f>
        <v>-3.3334071428571432</v>
      </c>
      <c r="Y38" s="247" t="s">
        <v>444</v>
      </c>
      <c r="Z38" s="516">
        <f>Z36+Z34+Z37</f>
        <v>4.8242105263157891</v>
      </c>
      <c r="AA38" s="517"/>
      <c r="AE38"/>
      <c r="BA38" s="271">
        <v>700</v>
      </c>
      <c r="BB38" s="271">
        <v>-1.6</v>
      </c>
      <c r="BC38" s="271">
        <v>0.89</v>
      </c>
      <c r="BD38" s="271">
        <f>SUM(BB38:BC38)</f>
        <v>-0.71000000000000008</v>
      </c>
      <c r="BE38" s="271">
        <v>0.1</v>
      </c>
    </row>
    <row r="39" spans="1:72" x14ac:dyDescent="0.35">
      <c r="B39" s="490"/>
      <c r="C39" s="299">
        <f t="shared" si="56"/>
        <v>46568</v>
      </c>
      <c r="D39" s="300">
        <f>VLOOKUP(D$25,Sheet1!$P$3:$Q$41,2,FALSE)+D$26-VLOOKUP($C39,Sheet1!$S$3:$T$41,2,FALSE)+$D$29+$D$30</f>
        <v>9.2999999999999972</v>
      </c>
      <c r="E39" s="300">
        <f>VLOOKUP(E$25,Sheet1!$P$3:$Q$41,2,FALSE)+E$26-VLOOKUP($C39,Sheet1!$S$3:$T$41,2,FALSE)+$E$28</f>
        <v>6.599999999999997</v>
      </c>
      <c r="F39" s="300">
        <f>VLOOKUP(F$25,Sheet1!$P$3:$Q$41,2,FALSE)+F$26-VLOOKUP($C39,Sheet1!$S$3:$T$41,2,FALSE)+F$28</f>
        <v>3.8900000000000006</v>
      </c>
      <c r="G39" s="300">
        <f>VLOOKUP(G$25,Sheet1!$P$3:$Q$41,2,FALSE)+G$26-VLOOKUP($C39,Sheet1!$S$3:$T$41,2,FALSE)+G$28</f>
        <v>1.9999999999999858</v>
      </c>
      <c r="H39" s="300">
        <f>VLOOKUP(H$25,Sheet1!$P$3:$Q$41,2,FALSE)+H$26-VLOOKUP($C39,Sheet1!$S$3:$T$41,2,FALSE)+H$28</f>
        <v>9.9999999999994316E-2</v>
      </c>
      <c r="I39" s="300">
        <f>VLOOKUP(I$25,Sheet1!$P$3:$Q$41,2,FALSE)+I$26-VLOOKUP($C39,Sheet1!$S$3:$T$41,2,FALSE)+I$28</f>
        <v>-1.7099999999999937</v>
      </c>
      <c r="J39" s="491">
        <f>VLOOKUP(J$25,Sheet1!$P$3:$Q$41,2,FALSE)+J$26-VLOOKUP($C39,Sheet1!$S$3:$T$41,2,FALSE)+J$28</f>
        <v>-3.1700000000000017</v>
      </c>
      <c r="K39" s="300">
        <f>VLOOKUP(K$25,Sheet1!$P$3:$Q$41,2,FALSE)+K$26-VLOOKUP($C39,Sheet1!$S$3:$T$41,2,FALSE)+K$28</f>
        <v>-4.480000000000004</v>
      </c>
      <c r="L39" s="300">
        <f>VLOOKUP(L$25,Sheet1!$P$3:$Q$41,2,FALSE)+L$26-VLOOKUP($C39,Sheet1!$S$3:$T$41,2,FALSE)+L$28</f>
        <v>-5.6899999999999977</v>
      </c>
      <c r="Y39" s="98"/>
      <c r="Z39" s="515"/>
      <c r="AA39" s="517"/>
      <c r="AE39"/>
      <c r="BA39" s="271">
        <v>700</v>
      </c>
      <c r="BB39" s="271">
        <f>-0.84-0.89</f>
        <v>-1.73</v>
      </c>
      <c r="BD39" s="271">
        <v>-0.84</v>
      </c>
      <c r="BE39" s="271">
        <v>-0.13</v>
      </c>
    </row>
    <row r="40" spans="1:72" x14ac:dyDescent="0.35">
      <c r="B40" s="490"/>
      <c r="C40" s="299">
        <f t="shared" si="56"/>
        <v>46599</v>
      </c>
      <c r="D40" s="300">
        <f>VLOOKUP(D$25,Sheet1!$P$3:$Q$41,2,FALSE)+D$26-VLOOKUP($C40,Sheet1!$S$3:$T$41,2,FALSE)+$D$29+$D$30</f>
        <v>10.700000000000003</v>
      </c>
      <c r="E40" s="300">
        <f>VLOOKUP(E$25,Sheet1!$P$3:$Q$41,2,FALSE)+E$26-VLOOKUP($C40,Sheet1!$S$3:$T$41,2,FALSE)+$E$28</f>
        <v>8.0000000000000036</v>
      </c>
      <c r="F40" s="300">
        <f>VLOOKUP(F$25,Sheet1!$P$3:$Q$41,2,FALSE)+F$26-VLOOKUP($C40,Sheet1!$S$3:$T$41,2,FALSE)+F$28</f>
        <v>5.2900000000000063</v>
      </c>
      <c r="G40" s="300">
        <f>VLOOKUP(G$25,Sheet1!$P$3:$Q$41,2,FALSE)+G$26-VLOOKUP($C40,Sheet1!$S$3:$T$41,2,FALSE)+G$28</f>
        <v>3.3999999999999915</v>
      </c>
      <c r="H40" s="300">
        <f>VLOOKUP(H$25,Sheet1!$P$3:$Q$41,2,FALSE)+H$26-VLOOKUP($C40,Sheet1!$S$3:$T$41,2,FALSE)+H$28</f>
        <v>1.5</v>
      </c>
      <c r="I40" s="300">
        <f>VLOOKUP(I$25,Sheet1!$P$3:$Q$41,2,FALSE)+I$26-VLOOKUP($C40,Sheet1!$S$3:$T$41,2,FALSE)+I$28</f>
        <v>-0.30999999999998806</v>
      </c>
      <c r="J40" s="300">
        <f>VLOOKUP(J$25,Sheet1!$P$3:$Q$41,2,FALSE)+J$26-VLOOKUP($C40,Sheet1!$S$3:$T$41,2,FALSE)+J$28</f>
        <v>-1.769999999999996</v>
      </c>
      <c r="K40" s="491">
        <f>VLOOKUP(K$25,Sheet1!$P$3:$Q$41,2,FALSE)+K$26-VLOOKUP($C40,Sheet1!$S$3:$T$41,2,FALSE)+K$28</f>
        <v>-3.0799999999999983</v>
      </c>
      <c r="L40" s="300">
        <f>VLOOKUP(L$25,Sheet1!$P$3:$Q$41,2,FALSE)+L$26-VLOOKUP($C40,Sheet1!$S$3:$T$41,2,FALSE)+L$28</f>
        <v>-4.289999999999992</v>
      </c>
      <c r="O40" s="93">
        <v>46053</v>
      </c>
      <c r="P40" s="521">
        <f>G34</f>
        <v>-8.5300000000000153</v>
      </c>
      <c r="Q40" s="104">
        <f>AVERAGE(P62:P63)</f>
        <v>486.57544026653972</v>
      </c>
      <c r="R40" s="104">
        <f>Q63</f>
        <v>212.24086870681145</v>
      </c>
      <c r="S40" s="521">
        <f>P40+(Q40*21.47*70/700/100)</f>
        <v>1.9167747025225914</v>
      </c>
      <c r="T40" s="98"/>
      <c r="U40" s="98">
        <f>7.25*R40*86.7/100/700</f>
        <v>1.9058472006769145</v>
      </c>
      <c r="V40" s="71">
        <f>U40-S40</f>
        <v>-1.0927501845676924E-2</v>
      </c>
      <c r="Y40" s="98" t="s">
        <v>445</v>
      </c>
      <c r="Z40" s="515">
        <v>-2.5</v>
      </c>
      <c r="AA40" s="517"/>
      <c r="AE40"/>
      <c r="BB40" s="271">
        <f>AVERAGE(BB37:BB39)</f>
        <v>-1.6433333333333333</v>
      </c>
      <c r="BD40" s="271">
        <f>-AVERAGE(BD37:BD39)</f>
        <v>0.75333333333333341</v>
      </c>
      <c r="BE40" s="271">
        <f t="array" ref="BE40">SUMPRODUCT(BE37:BE39,BA37:BA39/SUM(BA37:BA39))</f>
        <v>2.3333333333333331E-2</v>
      </c>
    </row>
    <row r="41" spans="1:72" ht="18" customHeight="1" x14ac:dyDescent="0.35">
      <c r="B41" s="490"/>
      <c r="D41" s="490"/>
      <c r="E41" s="299"/>
      <c r="F41" s="309"/>
      <c r="G41" s="309"/>
      <c r="H41" s="309"/>
      <c r="L41" s="318"/>
      <c r="Y41" s="98" t="s">
        <v>440</v>
      </c>
      <c r="Z41" s="515">
        <v>9.1999999999999993</v>
      </c>
      <c r="AA41" s="517"/>
      <c r="AE41"/>
      <c r="AQ41" s="391"/>
      <c r="AR41" s="392" t="s">
        <v>130</v>
      </c>
      <c r="AS41"/>
      <c r="AT41" s="557" t="s">
        <v>131</v>
      </c>
      <c r="AU41" s="558"/>
      <c r="AV41"/>
      <c r="AW41" s="495" t="s">
        <v>132</v>
      </c>
      <c r="AX41" s="496"/>
      <c r="AY41" s="557" t="s">
        <v>133</v>
      </c>
      <c r="AZ41" s="558"/>
      <c r="BA41" s="553" t="s">
        <v>134</v>
      </c>
      <c r="BB41" s="554"/>
      <c r="BC41" s="553" t="s">
        <v>135</v>
      </c>
      <c r="BD41" s="554"/>
    </row>
    <row r="42" spans="1:72" ht="16.5" customHeight="1" x14ac:dyDescent="0.35">
      <c r="C42" s="299"/>
      <c r="D42" s="309">
        <f>D33-E33</f>
        <v>3</v>
      </c>
      <c r="E42" s="309">
        <f>E33-F33</f>
        <v>2.4099999999999966</v>
      </c>
      <c r="F42" s="309">
        <f t="shared" ref="F42:L42" si="57">F33-G33</f>
        <v>1.8900000000000148</v>
      </c>
      <c r="G42" s="309">
        <f t="shared" si="57"/>
        <v>1.8999999999999915</v>
      </c>
      <c r="H42" s="309">
        <f t="shared" si="57"/>
        <v>1.8099999999999881</v>
      </c>
      <c r="I42" s="309">
        <f t="shared" si="57"/>
        <v>1.460000000000008</v>
      </c>
      <c r="J42" s="309">
        <f t="shared" si="57"/>
        <v>1.3100000000000023</v>
      </c>
      <c r="K42" s="309">
        <f t="shared" si="57"/>
        <v>1.2099999999999937</v>
      </c>
      <c r="L42" s="309">
        <f t="shared" si="57"/>
        <v>-20.089999999999989</v>
      </c>
      <c r="M42" s="318"/>
      <c r="S42" s="281"/>
      <c r="T42" s="281"/>
      <c r="U42" s="281"/>
      <c r="Y42" s="522" t="s">
        <v>442</v>
      </c>
      <c r="Z42" s="523">
        <f>Z41+Z40</f>
        <v>6.6999999999999993</v>
      </c>
      <c r="AA42" s="517"/>
      <c r="AC42"/>
      <c r="AD42"/>
      <c r="AE42"/>
      <c r="AQ42" s="403" t="s">
        <v>136</v>
      </c>
      <c r="AR42" s="400">
        <f>AR43+AR44</f>
        <v>9</v>
      </c>
      <c r="AS42"/>
      <c r="AT42" s="403" t="s">
        <v>136</v>
      </c>
      <c r="AU42" s="409">
        <f>AU43+AU44</f>
        <v>12</v>
      </c>
      <c r="AV42"/>
      <c r="AW42" s="403" t="s">
        <v>136</v>
      </c>
      <c r="AX42" s="409">
        <f>AX43+AX44</f>
        <v>3</v>
      </c>
      <c r="AY42" s="403" t="s">
        <v>136</v>
      </c>
      <c r="AZ42" s="409">
        <f>AZ43+AZ44</f>
        <v>8</v>
      </c>
      <c r="BA42" s="403" t="s">
        <v>136</v>
      </c>
      <c r="BB42" s="409">
        <f>BB43+BB44</f>
        <v>7</v>
      </c>
      <c r="BC42" s="403" t="s">
        <v>136</v>
      </c>
      <c r="BD42" s="409">
        <f>BD43+BD44</f>
        <v>3</v>
      </c>
    </row>
    <row r="43" spans="1:72" x14ac:dyDescent="0.35">
      <c r="A43" s="299"/>
      <c r="B43" s="299"/>
      <c r="C43" s="299"/>
      <c r="D43" s="299"/>
      <c r="E43" s="299"/>
      <c r="F43" s="310"/>
      <c r="G43" s="310"/>
      <c r="H43" s="310"/>
      <c r="M43"/>
      <c r="S43"/>
      <c r="T43"/>
      <c r="U43"/>
      <c r="V43"/>
      <c r="W43"/>
      <c r="X43"/>
      <c r="Y43" s="98"/>
      <c r="Z43" s="98"/>
      <c r="AA43"/>
      <c r="AC43"/>
      <c r="AD43"/>
      <c r="AE43"/>
      <c r="AQ43" s="404" t="s">
        <v>137</v>
      </c>
      <c r="AR43" s="394">
        <v>3</v>
      </c>
      <c r="AS43"/>
      <c r="AT43" s="404" t="s">
        <v>137</v>
      </c>
      <c r="AU43" s="410">
        <v>3</v>
      </c>
      <c r="AV43"/>
      <c r="AW43" s="404" t="s">
        <v>137</v>
      </c>
      <c r="AX43" s="410">
        <v>3</v>
      </c>
      <c r="AY43" s="404" t="s">
        <v>137</v>
      </c>
      <c r="AZ43" s="410">
        <v>3</v>
      </c>
      <c r="BA43" s="404" t="s">
        <v>137</v>
      </c>
      <c r="BB43" s="410">
        <v>3</v>
      </c>
      <c r="BC43" s="404" t="s">
        <v>137</v>
      </c>
      <c r="BD43" s="410">
        <v>3</v>
      </c>
    </row>
    <row r="44" spans="1:72" s="315" customFormat="1" x14ac:dyDescent="0.35">
      <c r="A44" s="299"/>
      <c r="B44" s="299"/>
      <c r="C44" s="299"/>
      <c r="D44" s="299"/>
      <c r="E44" s="299"/>
      <c r="F44" s="310"/>
      <c r="G44" s="310"/>
      <c r="H44" s="310"/>
      <c r="I44" s="271"/>
      <c r="J44" s="271"/>
      <c r="K44" s="271"/>
      <c r="L44" s="271"/>
      <c r="M44"/>
      <c r="N44"/>
      <c r="W44"/>
      <c r="X44"/>
      <c r="Y44" s="98" t="s">
        <v>443</v>
      </c>
      <c r="Z44" s="521">
        <f>Z42-Z38</f>
        <v>1.8757894736842102</v>
      </c>
      <c r="AA44"/>
      <c r="AC44"/>
      <c r="AD44"/>
      <c r="AE44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405" t="s">
        <v>138</v>
      </c>
      <c r="AR44" s="401">
        <v>6</v>
      </c>
      <c r="AS44"/>
      <c r="AT44" s="405" t="s">
        <v>138</v>
      </c>
      <c r="AU44" s="411">
        <v>9</v>
      </c>
      <c r="AV44"/>
      <c r="AW44" s="405" t="s">
        <v>138</v>
      </c>
      <c r="AX44" s="411">
        <v>0</v>
      </c>
      <c r="AY44" s="405" t="s">
        <v>138</v>
      </c>
      <c r="AZ44" s="411">
        <v>5</v>
      </c>
      <c r="BA44" s="405" t="s">
        <v>138</v>
      </c>
      <c r="BB44" s="411">
        <v>4</v>
      </c>
      <c r="BC44" s="405" t="s">
        <v>138</v>
      </c>
      <c r="BD44" s="411"/>
      <c r="BQ44"/>
      <c r="BS44" s="316"/>
      <c r="BT44" s="316"/>
    </row>
    <row r="45" spans="1:72" ht="16" thickBot="1" x14ac:dyDescent="0.4">
      <c r="A45" s="299"/>
      <c r="B45" s="299"/>
      <c r="C45" s="276"/>
      <c r="D45" s="273">
        <v>46326</v>
      </c>
      <c r="E45" s="273">
        <f>EOMONTH(D45,1)</f>
        <v>46356</v>
      </c>
      <c r="F45" s="273">
        <f>EOMONTH(E45,1)</f>
        <v>46387</v>
      </c>
      <c r="G45" s="273">
        <f>EOMONTH(F45,1)</f>
        <v>46418</v>
      </c>
      <c r="H45" s="310"/>
      <c r="M45"/>
      <c r="N45"/>
      <c r="O45" s="276" t="s">
        <v>122</v>
      </c>
      <c r="P45" s="438">
        <f>Freight!B28</f>
        <v>46296</v>
      </c>
      <c r="Q45" s="281"/>
      <c r="W45"/>
      <c r="X45"/>
      <c r="Y45"/>
      <c r="Z45"/>
      <c r="AA45"/>
      <c r="AB45"/>
      <c r="AC45"/>
      <c r="AD45"/>
      <c r="AE45"/>
      <c r="AQ45" s="403" t="s">
        <v>139</v>
      </c>
      <c r="AR45" s="400">
        <f>+AR46+AR47+AR48</f>
        <v>15</v>
      </c>
      <c r="AS45"/>
      <c r="AT45" s="403" t="s">
        <v>139</v>
      </c>
      <c r="AU45" s="409">
        <f>+AU46+AU47+AU48</f>
        <v>15.399999999999999</v>
      </c>
      <c r="AV45"/>
      <c r="AW45" s="403" t="s">
        <v>139</v>
      </c>
      <c r="AX45" s="409">
        <f>+AX46+AX47+AX48</f>
        <v>11</v>
      </c>
      <c r="AY45" s="403" t="s">
        <v>139</v>
      </c>
      <c r="AZ45" s="409">
        <f>+AZ46+AZ47+AZ48</f>
        <v>11</v>
      </c>
      <c r="BA45" s="403" t="s">
        <v>139</v>
      </c>
      <c r="BB45" s="409">
        <f>+BB46+BB47+BB48</f>
        <v>16</v>
      </c>
      <c r="BC45" s="403" t="s">
        <v>139</v>
      </c>
      <c r="BD45" s="409">
        <f>+BD46+BD47+BD48</f>
        <v>7</v>
      </c>
      <c r="BL45"/>
      <c r="BM45"/>
      <c r="BN45"/>
      <c r="BO45"/>
      <c r="BP45"/>
      <c r="BQ45"/>
      <c r="BS45" s="317"/>
    </row>
    <row r="46" spans="1:72" ht="15.65" customHeight="1" thickBot="1" x14ac:dyDescent="0.4">
      <c r="C46" s="297" t="s">
        <v>33</v>
      </c>
      <c r="D46" s="277">
        <v>1.9550000000000001</v>
      </c>
      <c r="E46" s="278">
        <v>-13.5</v>
      </c>
      <c r="F46" s="278">
        <f>-8.5+1</f>
        <v>-7.5</v>
      </c>
      <c r="G46" s="278">
        <v>-7</v>
      </c>
      <c r="M46"/>
      <c r="N46"/>
      <c r="O46" s="281"/>
      <c r="P46" s="281" t="s">
        <v>124</v>
      </c>
      <c r="Q46" s="281" t="s">
        <v>125</v>
      </c>
      <c r="R46" s="281" t="s">
        <v>126</v>
      </c>
      <c r="S46" s="281" t="s">
        <v>127</v>
      </c>
      <c r="W46"/>
      <c r="X46"/>
      <c r="Y46"/>
      <c r="Z46"/>
      <c r="AA46"/>
      <c r="AB46"/>
      <c r="AC46"/>
      <c r="AD46"/>
      <c r="AE46"/>
      <c r="AQ46" s="404" t="s">
        <v>140</v>
      </c>
      <c r="AR46" s="394">
        <f>2+2+1+2</f>
        <v>7</v>
      </c>
      <c r="AS46"/>
      <c r="AT46" s="404" t="s">
        <v>140</v>
      </c>
      <c r="AU46" s="410">
        <v>4.7</v>
      </c>
      <c r="AV46"/>
      <c r="AW46" s="404" t="s">
        <v>140</v>
      </c>
      <c r="AX46" s="410">
        <v>4</v>
      </c>
      <c r="AY46" s="404" t="s">
        <v>140</v>
      </c>
      <c r="AZ46" s="410">
        <v>5</v>
      </c>
      <c r="BA46" s="404" t="s">
        <v>140</v>
      </c>
      <c r="BB46" s="410">
        <v>6</v>
      </c>
      <c r="BC46" s="404" t="s">
        <v>140</v>
      </c>
      <c r="BD46" s="410">
        <v>7</v>
      </c>
      <c r="BL46"/>
      <c r="BM46"/>
      <c r="BN46"/>
      <c r="BO46"/>
      <c r="BP46"/>
      <c r="BQ46"/>
      <c r="BR46" s="309"/>
    </row>
    <row r="47" spans="1:72" ht="15.75" customHeight="1" x14ac:dyDescent="0.35">
      <c r="B47" s="271"/>
      <c r="C47" s="297"/>
      <c r="D47" s="418"/>
      <c r="E47" s="278"/>
      <c r="F47" s="278"/>
      <c r="G47" s="278"/>
      <c r="M47"/>
      <c r="N47"/>
      <c r="O47" s="438" t="str">
        <f>Freight!A4</f>
        <v>Balmo</v>
      </c>
      <c r="P47" s="439" t="e">
        <f>_xlfn.XLOOKUP(USG!O47,Freight!$A$3:$A$22,Freight!$J$3:$J$22)</f>
        <v>#DIV/0!</v>
      </c>
      <c r="Q47" s="439" t="e">
        <f>_xlfn.XLOOKUP(O47,Freight!$A$3:$A$22,Freight!$K$3:$K$22)</f>
        <v>#DIV/0!</v>
      </c>
      <c r="R47" s="439" t="e">
        <f>_xlfn.XLOOKUP(O47,Freight!$A$3:$A$22,Freight!$M$3:$M$22)</f>
        <v>#DIV/0!</v>
      </c>
      <c r="S47" s="439" t="e">
        <f>_xlfn.XLOOKUP(O47,Freight!$A$3:$A$22,Freight!$N$3:$N$22)</f>
        <v>#DIV/0!</v>
      </c>
      <c r="W47"/>
      <c r="X47"/>
      <c r="Y47"/>
      <c r="Z47"/>
      <c r="AA47"/>
      <c r="AB47"/>
      <c r="AC47"/>
      <c r="AD47"/>
      <c r="AE47"/>
      <c r="AJ47" s="315"/>
      <c r="AK47" s="315"/>
      <c r="AL47" s="315"/>
      <c r="AM47" s="315"/>
      <c r="AN47" s="315"/>
      <c r="AO47" s="315"/>
      <c r="AP47" s="315"/>
      <c r="AQ47" s="404" t="s">
        <v>141</v>
      </c>
      <c r="AR47" s="394">
        <f>2+2+2</f>
        <v>6</v>
      </c>
      <c r="AS47"/>
      <c r="AT47" s="404" t="s">
        <v>141</v>
      </c>
      <c r="AU47" s="410">
        <v>6</v>
      </c>
      <c r="AV47"/>
      <c r="AW47" s="404" t="s">
        <v>141</v>
      </c>
      <c r="AX47" s="410">
        <v>4</v>
      </c>
      <c r="AY47" s="404" t="s">
        <v>141</v>
      </c>
      <c r="AZ47" s="410">
        <v>2</v>
      </c>
      <c r="BA47" s="404" t="s">
        <v>141</v>
      </c>
      <c r="BB47" s="410">
        <v>6</v>
      </c>
      <c r="BC47" s="404" t="s">
        <v>141</v>
      </c>
      <c r="BD47" s="410">
        <v>0</v>
      </c>
      <c r="BL47"/>
      <c r="BM47"/>
      <c r="BN47"/>
      <c r="BO47"/>
      <c r="BP47"/>
      <c r="BQ47"/>
    </row>
    <row r="48" spans="1:72" x14ac:dyDescent="0.35">
      <c r="B48" s="299"/>
      <c r="C48" s="280"/>
      <c r="D48" s="273"/>
      <c r="E48" s="273"/>
      <c r="F48" s="273"/>
      <c r="G48" s="273"/>
      <c r="K48" s="309">
        <f>D26</f>
        <v>1.25</v>
      </c>
      <c r="L48" s="309">
        <f>E26</f>
        <v>1.25</v>
      </c>
      <c r="M48"/>
      <c r="N48"/>
      <c r="O48" s="438">
        <v>45961</v>
      </c>
      <c r="P48" s="439">
        <v>175.15</v>
      </c>
      <c r="Q48" s="439">
        <v>145.05000000000001</v>
      </c>
      <c r="R48" s="439">
        <v>175.15</v>
      </c>
      <c r="W48"/>
      <c r="X48"/>
      <c r="Y48"/>
      <c r="Z48"/>
      <c r="AA48"/>
      <c r="AB48"/>
      <c r="AC48" s="315"/>
      <c r="AD48" s="315"/>
      <c r="AE48" s="315"/>
      <c r="AF48" s="315"/>
      <c r="AG48" s="315"/>
      <c r="AH48" s="315"/>
      <c r="AI48" s="315"/>
      <c r="AQ48" s="405" t="s">
        <v>142</v>
      </c>
      <c r="AR48" s="401">
        <v>2</v>
      </c>
      <c r="AS48"/>
      <c r="AT48" s="405" t="s">
        <v>142</v>
      </c>
      <c r="AU48" s="411">
        <v>4.7</v>
      </c>
      <c r="AV48"/>
      <c r="AW48" s="405" t="s">
        <v>142</v>
      </c>
      <c r="AX48" s="411">
        <v>3</v>
      </c>
      <c r="AY48" s="405" t="s">
        <v>142</v>
      </c>
      <c r="AZ48" s="411">
        <v>4</v>
      </c>
      <c r="BA48" s="405" t="s">
        <v>142</v>
      </c>
      <c r="BB48" s="411">
        <f>2+2</f>
        <v>4</v>
      </c>
      <c r="BC48" s="405" t="s">
        <v>142</v>
      </c>
      <c r="BD48" s="411">
        <v>0</v>
      </c>
    </row>
    <row r="49" spans="3:56" x14ac:dyDescent="0.35">
      <c r="C49" s="276" t="s">
        <v>129</v>
      </c>
      <c r="K49" s="309">
        <f>D29</f>
        <v>3</v>
      </c>
      <c r="M49"/>
      <c r="N49"/>
      <c r="O49" s="438">
        <f t="shared" ref="O49:O67" si="58">EOMONTH(O48,1)</f>
        <v>45991</v>
      </c>
      <c r="P49" s="439">
        <v>212.3</v>
      </c>
      <c r="Q49" s="439">
        <v>158</v>
      </c>
      <c r="R49" s="439">
        <v>212.3</v>
      </c>
      <c r="W49"/>
      <c r="X49"/>
      <c r="Y49"/>
      <c r="Z49"/>
      <c r="AA49"/>
      <c r="AB49"/>
      <c r="AQ49" s="403" t="s">
        <v>143</v>
      </c>
      <c r="AR49" s="400">
        <f>+AR50+AR52</f>
        <v>3</v>
      </c>
      <c r="AS49"/>
      <c r="AT49" s="403" t="s">
        <v>143</v>
      </c>
      <c r="AU49" s="409">
        <f>+AU50+AU52+AU51</f>
        <v>6</v>
      </c>
      <c r="AV49"/>
      <c r="AW49" s="403" t="s">
        <v>143</v>
      </c>
      <c r="AX49" s="409">
        <f>+AX50+AX52+AX51</f>
        <v>0</v>
      </c>
      <c r="AY49" s="403" t="s">
        <v>143</v>
      </c>
      <c r="AZ49" s="409">
        <f>+AZ50+AZ52+AZ51</f>
        <v>0</v>
      </c>
      <c r="BA49" s="403" t="s">
        <v>143</v>
      </c>
      <c r="BB49" s="409">
        <f>+BB50+BB52+BB51</f>
        <v>7</v>
      </c>
      <c r="BC49" s="403" t="s">
        <v>143</v>
      </c>
      <c r="BD49" s="409">
        <f>+BD50+BD52+BD51</f>
        <v>1</v>
      </c>
    </row>
    <row r="50" spans="3:56" x14ac:dyDescent="0.35">
      <c r="C50" s="299">
        <f>D45</f>
        <v>46326</v>
      </c>
      <c r="D50" s="308">
        <f>_xlfn.XLOOKUP(D$45,BBG!$B$63:$B$101,BBG!$E$63:$E$101)-_xlfn.XLOOKUP($C50,BBG!$H$63:$H$101,BBG!$K$63:$K$101)+D$46</f>
        <v>-7.9650000000000016</v>
      </c>
      <c r="E50" s="300">
        <f>_xlfn.XLOOKUP(E$45,BBG!$B$63:$B$101,BBG!$E$63:$E$101)-_xlfn.XLOOKUP($C50,BBG!$H$63:$H$101,BBG!$K$63:$K$101)+E$46</f>
        <v>-25.25</v>
      </c>
      <c r="F50" s="300">
        <f>_xlfn.XLOOKUP(F$45,BBG!$B$63:$B$101,BBG!$E$63:$E$101)-_xlfn.XLOOKUP($C50,BBG!$H$63:$H$101,BBG!$K$63:$K$101)+F$46</f>
        <v>-21.510000000000005</v>
      </c>
      <c r="G50" s="300">
        <f>_xlfn.XLOOKUP(G$45,BBG!$B$63:$B$101,BBG!$E$63:$E$101)-_xlfn.XLOOKUP($C50,BBG!$H$63:$H$101,BBG!$K$63:$K$101)+G$46</f>
        <v>-23.180000000000007</v>
      </c>
      <c r="H50"/>
      <c r="I50"/>
      <c r="J50"/>
      <c r="K50" s="71">
        <v>0.15</v>
      </c>
      <c r="L50" s="71">
        <f>K51-L48</f>
        <v>3.1500000000000004</v>
      </c>
      <c r="M50"/>
      <c r="N50"/>
      <c r="O50" s="438">
        <f t="shared" si="58"/>
        <v>46022</v>
      </c>
      <c r="P50" s="271">
        <v>208.93</v>
      </c>
      <c r="Q50" s="271">
        <v>160</v>
      </c>
      <c r="R50" s="271">
        <v>44.98</v>
      </c>
      <c r="S50" s="271">
        <v>16.61</v>
      </c>
      <c r="W50"/>
      <c r="X50"/>
      <c r="Y50"/>
      <c r="Z50"/>
      <c r="AA50"/>
      <c r="AB50"/>
      <c r="AQ50" s="404" t="s">
        <v>144</v>
      </c>
      <c r="AR50" s="394">
        <v>2</v>
      </c>
      <c r="AS50"/>
      <c r="AT50" s="404" t="s">
        <v>144</v>
      </c>
      <c r="AU50" s="410">
        <v>2</v>
      </c>
      <c r="AV50"/>
      <c r="AW50" s="404" t="s">
        <v>144</v>
      </c>
      <c r="AX50" s="410">
        <v>0</v>
      </c>
      <c r="AY50" s="404" t="s">
        <v>144</v>
      </c>
      <c r="AZ50" s="410">
        <v>0</v>
      </c>
      <c r="BA50" s="404" t="s">
        <v>144</v>
      </c>
      <c r="BB50" s="410">
        <v>2</v>
      </c>
      <c r="BC50" s="404" t="s">
        <v>144</v>
      </c>
      <c r="BD50" s="410">
        <v>1</v>
      </c>
    </row>
    <row r="51" spans="3:56" x14ac:dyDescent="0.35">
      <c r="C51" s="299">
        <f t="shared" ref="C51:C52" si="59">EOMONTH(C50,1)</f>
        <v>46356</v>
      </c>
      <c r="D51" s="300">
        <f>_xlfn.XLOOKUP(D$45,BBG!$B$63:$B$101,BBG!$E$63:$E$101)-_xlfn.XLOOKUP($C51,BBG!$H$63:$H$101,BBG!$K$63:$K$101)+D$46</f>
        <v>-4.1149999999999931</v>
      </c>
      <c r="E51" s="308">
        <f>_xlfn.XLOOKUP(E$45,BBG!$B$63:$B$101,BBG!$E$63:$E$101)-_xlfn.XLOOKUP($C51,BBG!$H$63:$H$101,BBG!$K$63:$K$101)+E$46</f>
        <v>-21.399999999999991</v>
      </c>
      <c r="F51" s="300">
        <f>_xlfn.XLOOKUP(F$45,BBG!$B$63:$B$101,BBG!$E$63:$E$101)-_xlfn.XLOOKUP($C51,BBG!$H$63:$H$101,BBG!$K$63:$K$101)+F$46</f>
        <v>-17.659999999999997</v>
      </c>
      <c r="G51" s="300">
        <f>_xlfn.XLOOKUP(G$45,BBG!$B$63:$B$101,BBG!$E$63:$E$101)-_xlfn.XLOOKUP($C51,BBG!$H$63:$H$101,BBG!$K$63:$K$101)+G$46</f>
        <v>-19.329999999999998</v>
      </c>
      <c r="H51"/>
      <c r="I51"/>
      <c r="J51"/>
      <c r="K51" s="71">
        <f>SUM(K48:K50)</f>
        <v>4.4000000000000004</v>
      </c>
      <c r="L51"/>
      <c r="M51"/>
      <c r="N51"/>
      <c r="O51" s="438">
        <f t="shared" si="58"/>
        <v>46053</v>
      </c>
      <c r="P51" s="439">
        <v>268</v>
      </c>
      <c r="Q51" s="439">
        <v>175.25</v>
      </c>
      <c r="R51" s="439">
        <v>47.234000000000002</v>
      </c>
      <c r="S51" s="439">
        <v>18.296099999999999</v>
      </c>
      <c r="W51"/>
      <c r="X51"/>
      <c r="Y51"/>
      <c r="Z51"/>
      <c r="AA51"/>
      <c r="AB51"/>
      <c r="AQ51" s="404" t="s">
        <v>145</v>
      </c>
      <c r="AR51" s="394"/>
      <c r="AS51"/>
      <c r="AT51" s="404" t="s">
        <v>145</v>
      </c>
      <c r="AU51" s="410">
        <v>2</v>
      </c>
      <c r="AV51"/>
      <c r="AW51" s="404" t="s">
        <v>145</v>
      </c>
      <c r="AX51" s="410">
        <v>0</v>
      </c>
      <c r="AY51" s="404" t="s">
        <v>145</v>
      </c>
      <c r="AZ51" s="410">
        <v>0</v>
      </c>
      <c r="BA51" s="404" t="s">
        <v>145</v>
      </c>
      <c r="BB51" s="410">
        <v>2</v>
      </c>
      <c r="BC51" s="404" t="s">
        <v>145</v>
      </c>
      <c r="BD51" s="410">
        <v>0</v>
      </c>
    </row>
    <row r="52" spans="3:56" x14ac:dyDescent="0.35">
      <c r="C52" s="299">
        <f t="shared" si="59"/>
        <v>46387</v>
      </c>
      <c r="D52" s="300">
        <f>_xlfn.XLOOKUP(D$45,BBG!$B$63:$B$101,BBG!$E$63:$E$101)-_xlfn.XLOOKUP($C52,BBG!$H$63:$H$101,BBG!$K$63:$K$101)+D$46</f>
        <v>-0.97499999999999254</v>
      </c>
      <c r="E52" s="300">
        <f>_xlfn.XLOOKUP(E$45,BBG!$B$63:$B$101,BBG!$E$63:$E$101)-_xlfn.XLOOKUP($C52,BBG!$H$63:$H$101,BBG!$K$63:$K$101)+E$46</f>
        <v>-18.259999999999991</v>
      </c>
      <c r="F52" s="308">
        <f>_xlfn.XLOOKUP(F$45,BBG!$B$63:$B$101,BBG!$E$63:$E$101)-_xlfn.XLOOKUP($C52,BBG!$H$63:$H$101,BBG!$K$63:$K$101)+F$46</f>
        <v>-14.519999999999996</v>
      </c>
      <c r="G52" s="300">
        <f>_xlfn.XLOOKUP(G$45,BBG!$B$63:$B$101,BBG!$E$63:$E$101)-_xlfn.XLOOKUP($C52,BBG!$H$63:$H$101,BBG!$K$63:$K$101)+G$46</f>
        <v>-16.189999999999998</v>
      </c>
      <c r="H52"/>
      <c r="I52"/>
      <c r="J52"/>
      <c r="K52"/>
      <c r="L52"/>
      <c r="M52"/>
      <c r="N52"/>
      <c r="O52" s="438">
        <f t="shared" si="58"/>
        <v>46081</v>
      </c>
      <c r="P52" s="439">
        <v>290</v>
      </c>
      <c r="Q52" s="439">
        <v>192.5</v>
      </c>
      <c r="R52" s="439">
        <v>62.262999999999998</v>
      </c>
      <c r="S52" s="439">
        <v>20.096999999999998</v>
      </c>
      <c r="W52"/>
      <c r="X52"/>
      <c r="Y52"/>
      <c r="Z52"/>
      <c r="AA52"/>
      <c r="AB52"/>
      <c r="AQ52" s="406" t="s">
        <v>146</v>
      </c>
      <c r="AR52" s="402">
        <v>1</v>
      </c>
      <c r="AS52"/>
      <c r="AT52" s="406" t="s">
        <v>146</v>
      </c>
      <c r="AU52" s="412">
        <v>2</v>
      </c>
      <c r="AV52"/>
      <c r="AW52" s="406" t="s">
        <v>146</v>
      </c>
      <c r="AX52" s="412">
        <v>0</v>
      </c>
      <c r="AY52" s="406" t="s">
        <v>146</v>
      </c>
      <c r="AZ52" s="412">
        <v>0</v>
      </c>
      <c r="BA52" s="406" t="s">
        <v>146</v>
      </c>
      <c r="BB52" s="412">
        <v>3</v>
      </c>
      <c r="BC52" s="406" t="s">
        <v>146</v>
      </c>
      <c r="BD52" s="412">
        <v>0</v>
      </c>
    </row>
    <row r="53" spans="3:56" x14ac:dyDescent="0.35">
      <c r="C53" s="299">
        <f>EOMONTH(C52,1)</f>
        <v>46418</v>
      </c>
      <c r="D53" s="300">
        <f>_xlfn.XLOOKUP(D$45,BBG!$B$63:$B$101,BBG!$E$63:$E$101)-_xlfn.XLOOKUP($C53,BBG!$H$63:$H$101,BBG!$K$63:$K$101)+D$46</f>
        <v>1.2249999999999961</v>
      </c>
      <c r="E53" s="300">
        <f>_xlfn.XLOOKUP(E$45,BBG!$B$63:$B$101,BBG!$E$63:$E$101)-_xlfn.XLOOKUP($C53,BBG!$H$63:$H$101,BBG!$K$63:$K$101)+E$46</f>
        <v>-16.060000000000002</v>
      </c>
      <c r="F53" s="300">
        <f>_xlfn.XLOOKUP(F$45,BBG!$B$63:$B$101,BBG!$E$63:$E$101)-_xlfn.XLOOKUP($C53,BBG!$H$63:$H$101,BBG!$K$63:$K$101)+F$46</f>
        <v>-12.320000000000007</v>
      </c>
      <c r="G53" s="308">
        <f>_xlfn.XLOOKUP(G$45,BBG!$B$63:$B$101,BBG!$E$63:$E$101)-_xlfn.XLOOKUP($C53,BBG!$H$63:$H$101,BBG!$K$63:$K$101)+G$46</f>
        <v>-13.990000000000009</v>
      </c>
      <c r="H53"/>
      <c r="I53"/>
      <c r="J53"/>
      <c r="K53"/>
      <c r="L53"/>
      <c r="M53"/>
      <c r="N53"/>
      <c r="O53" s="438">
        <f t="shared" si="58"/>
        <v>46112</v>
      </c>
      <c r="P53" s="439">
        <v>465</v>
      </c>
      <c r="Q53" s="439">
        <v>283</v>
      </c>
      <c r="R53" s="439">
        <v>97.696500000000015</v>
      </c>
      <c r="S53" s="439">
        <v>39.862500000000004</v>
      </c>
      <c r="V53"/>
      <c r="W53"/>
      <c r="X53"/>
      <c r="Y53"/>
      <c r="Z53"/>
      <c r="AA53"/>
      <c r="AB53"/>
      <c r="AJ53"/>
      <c r="AK53"/>
      <c r="AL53"/>
      <c r="AM53"/>
      <c r="AQ53" s="407" t="s">
        <v>147</v>
      </c>
      <c r="AR53" s="393">
        <f>+AR54+AR55+AR56+AR57+AR58+AR59</f>
        <v>15.099999999999998</v>
      </c>
      <c r="AS53"/>
      <c r="AT53" s="407" t="s">
        <v>147</v>
      </c>
      <c r="AU53" s="413">
        <f>+AU54+AU55+AU56+AU57+AU58+AU59</f>
        <v>8</v>
      </c>
      <c r="AV53"/>
      <c r="AW53" s="407" t="s">
        <v>147</v>
      </c>
      <c r="AX53" s="413">
        <f>+AX54+AX55+AX56+AX57+AX58+AX59</f>
        <v>0</v>
      </c>
      <c r="AY53" s="407" t="s">
        <v>147</v>
      </c>
      <c r="AZ53" s="413">
        <f>+AZ54+AZ55+AZ56+AZ57+AZ58+AZ59</f>
        <v>3.8</v>
      </c>
      <c r="BA53" s="407" t="s">
        <v>147</v>
      </c>
      <c r="BB53" s="413">
        <f>+BB54+BB55+BB56+BB57+BB58+BB59</f>
        <v>7.4</v>
      </c>
      <c r="BC53" s="407" t="s">
        <v>147</v>
      </c>
      <c r="BD53" s="413">
        <f>+BD54+BD55+BD56+BD57+BD58+BD59</f>
        <v>0</v>
      </c>
    </row>
    <row r="54" spans="3:56" x14ac:dyDescent="0.35">
      <c r="C54" s="299"/>
      <c r="D54" s="300"/>
      <c r="E54" s="300"/>
      <c r="F54" s="300"/>
      <c r="G54" s="300"/>
      <c r="H54"/>
      <c r="I54"/>
      <c r="J54"/>
      <c r="K54"/>
      <c r="L54"/>
      <c r="M54"/>
      <c r="N54"/>
      <c r="O54" s="438">
        <f t="shared" si="58"/>
        <v>46142</v>
      </c>
      <c r="P54" s="439">
        <v>477.5</v>
      </c>
      <c r="Q54" s="439">
        <v>313.5</v>
      </c>
      <c r="R54" s="439">
        <v>100.32275000000001</v>
      </c>
      <c r="S54" s="439">
        <v>22.323000000000004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Q54" s="404" t="s">
        <v>150</v>
      </c>
      <c r="AR54" s="394">
        <v>8</v>
      </c>
      <c r="AS54"/>
      <c r="AT54" s="404" t="s">
        <v>150</v>
      </c>
      <c r="AU54" s="410">
        <v>6</v>
      </c>
      <c r="AV54"/>
      <c r="AW54" s="404" t="s">
        <v>150</v>
      </c>
      <c r="AX54" s="410">
        <v>0</v>
      </c>
      <c r="AY54" s="404" t="s">
        <v>150</v>
      </c>
      <c r="AZ54" s="410">
        <v>0</v>
      </c>
      <c r="BA54" s="404" t="s">
        <v>150</v>
      </c>
      <c r="BB54" s="410">
        <v>0</v>
      </c>
      <c r="BC54" s="404" t="s">
        <v>150</v>
      </c>
      <c r="BD54" s="410">
        <v>0</v>
      </c>
    </row>
    <row r="55" spans="3:56" x14ac:dyDescent="0.35">
      <c r="C55" s="299"/>
      <c r="D55" s="300"/>
      <c r="E55" s="300"/>
      <c r="F55" s="300"/>
      <c r="G55" s="300"/>
      <c r="H55"/>
      <c r="I55"/>
      <c r="J55"/>
      <c r="K55"/>
      <c r="L55"/>
      <c r="M55"/>
      <c r="N55"/>
      <c r="O55" s="438">
        <f t="shared" si="58"/>
        <v>46173</v>
      </c>
      <c r="P55" s="439">
        <v>265.5</v>
      </c>
      <c r="Q55" s="439">
        <v>188.5</v>
      </c>
      <c r="R55" s="439">
        <v>55.781550000000003</v>
      </c>
      <c r="S55" s="439">
        <v>20.037550000000003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Q55" s="404" t="s">
        <v>152</v>
      </c>
      <c r="AR55" s="394">
        <v>4</v>
      </c>
      <c r="AS55"/>
      <c r="AT55" s="404" t="s">
        <v>152</v>
      </c>
      <c r="AU55" s="410">
        <v>2</v>
      </c>
      <c r="AV55"/>
      <c r="AW55" s="404" t="s">
        <v>152</v>
      </c>
      <c r="AX55" s="410">
        <v>0</v>
      </c>
      <c r="AY55" s="404" t="s">
        <v>152</v>
      </c>
      <c r="AZ55" s="410">
        <v>2</v>
      </c>
      <c r="BA55" s="404" t="s">
        <v>152</v>
      </c>
      <c r="BB55" s="410">
        <v>2</v>
      </c>
      <c r="BC55" s="404" t="s">
        <v>152</v>
      </c>
      <c r="BD55" s="410">
        <v>0</v>
      </c>
    </row>
    <row r="56" spans="3:56" x14ac:dyDescent="0.35">
      <c r="C56" s="299"/>
      <c r="D56" s="506"/>
      <c r="E56" s="506"/>
      <c r="F56" s="506"/>
      <c r="G56" s="506"/>
      <c r="H56" s="87"/>
      <c r="I56" s="87"/>
      <c r="J56"/>
      <c r="K56"/>
      <c r="L56"/>
      <c r="M56"/>
      <c r="N56"/>
      <c r="O56" s="438">
        <f t="shared" si="58"/>
        <v>46203</v>
      </c>
      <c r="P56" s="439">
        <v>202</v>
      </c>
      <c r="Q56" s="439">
        <v>146.75</v>
      </c>
      <c r="R56" s="439">
        <v>42.440200000000004</v>
      </c>
      <c r="S56" s="439">
        <v>15.599525000000002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Q56" s="408" t="s">
        <v>154</v>
      </c>
      <c r="AR56" s="395">
        <v>1</v>
      </c>
      <c r="AS56"/>
      <c r="AT56" s="408" t="s">
        <v>154</v>
      </c>
      <c r="AU56" s="414">
        <v>0</v>
      </c>
      <c r="AV56"/>
      <c r="AW56" s="408" t="s">
        <v>154</v>
      </c>
      <c r="AX56" s="414">
        <v>0</v>
      </c>
      <c r="AY56" s="408" t="s">
        <v>154</v>
      </c>
      <c r="AZ56" s="414">
        <v>0</v>
      </c>
      <c r="BA56" s="408" t="s">
        <v>154</v>
      </c>
      <c r="BB56" s="414">
        <v>0</v>
      </c>
      <c r="BC56" s="408" t="s">
        <v>154</v>
      </c>
      <c r="BD56" s="414">
        <v>0</v>
      </c>
    </row>
    <row r="57" spans="3:56" x14ac:dyDescent="0.35">
      <c r="C57" s="299"/>
      <c r="D57" s="300"/>
      <c r="E57" s="300"/>
      <c r="F57" s="300"/>
      <c r="G57" s="300"/>
      <c r="H57"/>
      <c r="I57"/>
      <c r="J57"/>
      <c r="K57"/>
      <c r="L57"/>
      <c r="M57"/>
      <c r="N57"/>
      <c r="O57" s="438">
        <f t="shared" si="58"/>
        <v>46234</v>
      </c>
      <c r="P57" s="439">
        <v>296</v>
      </c>
      <c r="Q57" s="439">
        <v>191.5</v>
      </c>
      <c r="R57" s="439">
        <v>62.189600000000006</v>
      </c>
      <c r="S57" s="439">
        <v>20.356450000000002</v>
      </c>
      <c r="AF57"/>
      <c r="AG57"/>
      <c r="AH57"/>
      <c r="AI57"/>
      <c r="AJ57"/>
      <c r="AK57"/>
      <c r="AL57"/>
      <c r="AM57"/>
      <c r="AQ57" s="404" t="s">
        <v>155</v>
      </c>
      <c r="AR57" s="394">
        <v>0.7</v>
      </c>
      <c r="AS57"/>
      <c r="AT57" s="404" t="s">
        <v>155</v>
      </c>
      <c r="AU57" s="410">
        <v>0</v>
      </c>
      <c r="AV57"/>
      <c r="AW57" s="404" t="s">
        <v>155</v>
      </c>
      <c r="AX57" s="410">
        <v>0</v>
      </c>
      <c r="AY57" s="404" t="s">
        <v>155</v>
      </c>
      <c r="AZ57" s="410">
        <v>0</v>
      </c>
      <c r="BA57" s="404" t="s">
        <v>155</v>
      </c>
      <c r="BB57" s="410">
        <f>0.7*2</f>
        <v>1.4</v>
      </c>
      <c r="BC57" s="404" t="s">
        <v>155</v>
      </c>
      <c r="BD57" s="410">
        <v>0</v>
      </c>
    </row>
    <row r="58" spans="3:56" x14ac:dyDescent="0.35">
      <c r="C58" s="299"/>
      <c r="D58" s="300"/>
      <c r="E58" s="300"/>
      <c r="F58" s="300"/>
      <c r="G58" s="300"/>
      <c r="H58" s="71"/>
      <c r="I58"/>
      <c r="J58"/>
      <c r="K58" s="69">
        <v>200000000</v>
      </c>
      <c r="L58"/>
      <c r="M58"/>
      <c r="N58"/>
      <c r="O58" s="438">
        <f t="shared" si="58"/>
        <v>46265</v>
      </c>
      <c r="P58" s="539" t="e">
        <f>_xlfn.XLOOKUP(USG!O58,Freight!$A$3:$A$22,Freight!$J$3:$J$22)</f>
        <v>#N/A</v>
      </c>
      <c r="Q58" s="439" t="e">
        <f>_xlfn.XLOOKUP(O58,Freight!$A$3:$A$22,Freight!$K$3:$K$22)</f>
        <v>#N/A</v>
      </c>
      <c r="R58" s="439" t="e">
        <f>_xlfn.XLOOKUP(O58,Freight!$A$3:$A$22,Freight!$M$3:$M$22)</f>
        <v>#N/A</v>
      </c>
      <c r="S58" s="439" t="e">
        <f>_xlfn.XLOOKUP(O58,Freight!$A$3:$A$22,Freight!$N$3:$N$22)</f>
        <v>#N/A</v>
      </c>
      <c r="AF58"/>
      <c r="AG58"/>
      <c r="AH58"/>
      <c r="AI58"/>
      <c r="AJ58"/>
      <c r="AK58"/>
      <c r="AL58"/>
      <c r="AM58"/>
      <c r="AN58"/>
      <c r="AQ58" s="408" t="s">
        <v>156</v>
      </c>
      <c r="AR58" s="395">
        <v>0.7</v>
      </c>
      <c r="AS58"/>
      <c r="AT58" s="408" t="s">
        <v>156</v>
      </c>
      <c r="AU58" s="414">
        <v>0</v>
      </c>
      <c r="AV58"/>
      <c r="AW58" s="408" t="s">
        <v>156</v>
      </c>
      <c r="AX58" s="414">
        <v>0</v>
      </c>
      <c r="AY58" s="408" t="s">
        <v>156</v>
      </c>
      <c r="AZ58" s="414">
        <v>1.8</v>
      </c>
      <c r="BA58" s="408" t="s">
        <v>156</v>
      </c>
      <c r="BB58" s="414">
        <f>1+1</f>
        <v>2</v>
      </c>
      <c r="BC58" s="408" t="s">
        <v>156</v>
      </c>
      <c r="BD58" s="414">
        <v>0</v>
      </c>
    </row>
    <row r="59" spans="3:56" x14ac:dyDescent="0.35">
      <c r="C59" s="299"/>
      <c r="D59" s="300"/>
      <c r="E59" s="300"/>
      <c r="F59" s="300"/>
      <c r="G59" s="300"/>
      <c r="H59"/>
      <c r="I59"/>
      <c r="J59"/>
      <c r="K59" s="534">
        <f>+K58*0.03</f>
        <v>6000000</v>
      </c>
      <c r="L59"/>
      <c r="M59"/>
      <c r="N59"/>
      <c r="O59" s="438">
        <f t="shared" si="58"/>
        <v>46295</v>
      </c>
      <c r="P59" s="539">
        <v>460.5</v>
      </c>
      <c r="Q59" s="439">
        <v>300</v>
      </c>
      <c r="R59" s="439">
        <v>96.751050000000021</v>
      </c>
      <c r="S59" s="439">
        <v>31.89</v>
      </c>
      <c r="AF59"/>
      <c r="AG59"/>
      <c r="AH59"/>
      <c r="AI59"/>
      <c r="AJ59"/>
      <c r="AK59"/>
      <c r="AL59"/>
      <c r="AM59"/>
      <c r="AN59"/>
      <c r="AQ59" s="408" t="s">
        <v>157</v>
      </c>
      <c r="AR59" s="395">
        <v>0.7</v>
      </c>
      <c r="AS59"/>
      <c r="AT59" s="408" t="s">
        <v>157</v>
      </c>
      <c r="AU59" s="414">
        <v>0</v>
      </c>
      <c r="AV59"/>
      <c r="AW59" s="408" t="s">
        <v>157</v>
      </c>
      <c r="AX59" s="414">
        <v>0</v>
      </c>
      <c r="AY59" s="408" t="s">
        <v>157</v>
      </c>
      <c r="AZ59" s="414">
        <v>0</v>
      </c>
      <c r="BA59" s="408" t="s">
        <v>157</v>
      </c>
      <c r="BB59" s="414">
        <v>2</v>
      </c>
      <c r="BC59" s="408" t="s">
        <v>157</v>
      </c>
      <c r="BD59" s="414">
        <v>0</v>
      </c>
    </row>
    <row r="60" spans="3:56" x14ac:dyDescent="0.35">
      <c r="C60" s="299"/>
      <c r="D60" s="300"/>
      <c r="E60" s="300"/>
      <c r="F60" s="300"/>
      <c r="G60" s="300"/>
      <c r="H60"/>
      <c r="I60"/>
      <c r="J60"/>
      <c r="K60"/>
      <c r="L60"/>
      <c r="M60"/>
      <c r="N60"/>
      <c r="O60" s="438">
        <f t="shared" si="58"/>
        <v>46326</v>
      </c>
      <c r="P60" s="439">
        <f>_xlfn.XLOOKUP(USG!O60,Freight!$A$3:$A$22,Freight!$J$3:$J$22)</f>
        <v>795</v>
      </c>
      <c r="Q60" s="439">
        <f>_xlfn.XLOOKUP(O60,Freight!$A$3:$A$22,Freight!$K$3:$K$22)</f>
        <v>400</v>
      </c>
      <c r="R60" s="439">
        <f>_xlfn.XLOOKUP(O60,Freight!$A$3:$A$22,Freight!$M$3:$M$22)</f>
        <v>167.02950000000001</v>
      </c>
      <c r="S60" s="439">
        <f>_xlfn.XLOOKUP(O60,Freight!$A$3:$A$22,Freight!$N$3:$N$22)</f>
        <v>42.52</v>
      </c>
      <c r="AF60"/>
      <c r="AG60"/>
      <c r="AH60"/>
      <c r="AI60"/>
      <c r="AJ60"/>
      <c r="AK60"/>
      <c r="AL60"/>
      <c r="AM60"/>
      <c r="AN60"/>
      <c r="AQ60" s="403" t="s">
        <v>159</v>
      </c>
      <c r="AR60" s="400">
        <f>+AR61</f>
        <v>2</v>
      </c>
      <c r="AS60"/>
      <c r="AT60" s="403" t="s">
        <v>159</v>
      </c>
      <c r="AU60" s="409">
        <f>+AU61</f>
        <v>0.7</v>
      </c>
      <c r="AV60"/>
      <c r="AW60" s="403" t="s">
        <v>159</v>
      </c>
      <c r="AX60" s="409">
        <f>+AX61</f>
        <v>0</v>
      </c>
      <c r="AY60" s="403" t="s">
        <v>159</v>
      </c>
      <c r="AZ60" s="409">
        <f>+AZ61</f>
        <v>0</v>
      </c>
      <c r="BA60" s="403" t="s">
        <v>159</v>
      </c>
      <c r="BB60" s="409">
        <f>+BB61</f>
        <v>0</v>
      </c>
      <c r="BC60" s="403" t="s">
        <v>159</v>
      </c>
      <c r="BD60" s="409">
        <f>+BD61</f>
        <v>0</v>
      </c>
    </row>
    <row r="61" spans="3:56" x14ac:dyDescent="0.35">
      <c r="C61"/>
      <c r="D61"/>
      <c r="E61"/>
      <c r="F61"/>
      <c r="G61"/>
      <c r="H61"/>
      <c r="I61"/>
      <c r="J61"/>
      <c r="K61"/>
      <c r="L61"/>
      <c r="O61" s="438">
        <f t="shared" si="58"/>
        <v>46356</v>
      </c>
      <c r="P61" s="439">
        <f>_xlfn.XLOOKUP(USG!O61,Freight!$A$3:$A$22,Freight!$J$3:$J$22)</f>
        <v>750</v>
      </c>
      <c r="Q61" s="439">
        <f>_xlfn.XLOOKUP(O61,Freight!$A$3:$A$22,Freight!$K$3:$K$22)</f>
        <v>350</v>
      </c>
      <c r="R61" s="439">
        <f>_xlfn.XLOOKUP(O61,Freight!$A$3:$A$22,Freight!$M$3:$M$22)</f>
        <v>157.57500000000002</v>
      </c>
      <c r="S61" s="439">
        <f>_xlfn.XLOOKUP(O61,Freight!$A$3:$A$22,Freight!$N$3:$N$22)</f>
        <v>37.205000000000005</v>
      </c>
      <c r="AF61"/>
      <c r="AG61"/>
      <c r="AH61"/>
      <c r="AI61"/>
      <c r="AJ61"/>
      <c r="AK61"/>
      <c r="AL61"/>
      <c r="AM61"/>
      <c r="AN61"/>
      <c r="AQ61" s="406" t="s">
        <v>160</v>
      </c>
      <c r="AR61" s="402">
        <v>2</v>
      </c>
      <c r="AS61"/>
      <c r="AT61" s="406" t="s">
        <v>160</v>
      </c>
      <c r="AU61" s="412">
        <v>0.7</v>
      </c>
      <c r="AV61"/>
      <c r="AW61" s="406" t="s">
        <v>160</v>
      </c>
      <c r="AX61" s="412">
        <v>0</v>
      </c>
      <c r="AY61" s="406" t="s">
        <v>160</v>
      </c>
      <c r="AZ61" s="412">
        <v>0</v>
      </c>
      <c r="BA61" s="406" t="s">
        <v>160</v>
      </c>
      <c r="BB61" s="412">
        <v>0</v>
      </c>
      <c r="BC61" s="406" t="s">
        <v>160</v>
      </c>
      <c r="BD61" s="412">
        <v>0</v>
      </c>
    </row>
    <row r="62" spans="3:56" x14ac:dyDescent="0.35">
      <c r="C62"/>
      <c r="D62"/>
      <c r="E62"/>
      <c r="F62"/>
      <c r="G62"/>
      <c r="H62"/>
      <c r="I62"/>
      <c r="J62"/>
      <c r="K62"/>
      <c r="L62"/>
      <c r="M62"/>
      <c r="N62"/>
      <c r="O62" s="438">
        <f t="shared" si="58"/>
        <v>46387</v>
      </c>
      <c r="P62" s="439">
        <f>_xlfn.XLOOKUP(USG!O62,Freight!$A$3:$A$22,Freight!$J$3:$J$22)</f>
        <v>590</v>
      </c>
      <c r="Q62" s="439">
        <f>_xlfn.XLOOKUP(O62,Freight!$A$3:$A$22,Freight!$K$3:$K$22)</f>
        <v>300</v>
      </c>
      <c r="R62" s="439">
        <f>_xlfn.XLOOKUP(O62,Freight!$A$3:$A$22,Freight!$M$3:$M$22)</f>
        <v>123.95900000000002</v>
      </c>
      <c r="S62" s="439">
        <f>_xlfn.XLOOKUP(O62,Freight!$A$3:$A$22,Freight!$N$3:$N$22)</f>
        <v>31.89</v>
      </c>
      <c r="AF62"/>
      <c r="AG62"/>
      <c r="AH62"/>
      <c r="AI62"/>
      <c r="AJ62"/>
      <c r="AK62"/>
      <c r="AL62"/>
      <c r="AM62"/>
      <c r="AN62"/>
      <c r="AQ62" s="407" t="s">
        <v>161</v>
      </c>
      <c r="AR62" s="393">
        <f>+AR63+AR67</f>
        <v>8</v>
      </c>
      <c r="AS62"/>
      <c r="AT62" s="407" t="s">
        <v>161</v>
      </c>
      <c r="AU62" s="413">
        <f>SUM(AU63:AU67)</f>
        <v>5</v>
      </c>
      <c r="AV62"/>
      <c r="AW62" s="407" t="s">
        <v>161</v>
      </c>
      <c r="AX62" s="413">
        <f>SUM(AX63:AX67)</f>
        <v>4</v>
      </c>
      <c r="AY62" s="407" t="s">
        <v>161</v>
      </c>
      <c r="AZ62" s="413">
        <f>SUM(AZ63:AZ67)</f>
        <v>6</v>
      </c>
      <c r="BA62" s="407" t="s">
        <v>161</v>
      </c>
      <c r="BB62" s="413">
        <f>SUM(BB63:BB67)</f>
        <v>9</v>
      </c>
      <c r="BC62" s="407" t="s">
        <v>161</v>
      </c>
      <c r="BD62" s="413">
        <f>SUM(BD63:BD67)</f>
        <v>3</v>
      </c>
    </row>
    <row r="63" spans="3:56" x14ac:dyDescent="0.35">
      <c r="I63"/>
      <c r="J63"/>
      <c r="K63"/>
      <c r="L63"/>
      <c r="M63"/>
      <c r="N63"/>
      <c r="O63" s="438">
        <f t="shared" si="58"/>
        <v>46418</v>
      </c>
      <c r="P63" s="439">
        <f>_xlfn.XLOOKUP(USG!O63,Freight!$A$3:$A$22,Freight!$J$3:$J$22)</f>
        <v>383.15088053307943</v>
      </c>
      <c r="Q63" s="439">
        <f>_xlfn.XLOOKUP(O63,Freight!$A$3:$A$22,Freight!$K$3:$K$22)</f>
        <v>212.24086870681145</v>
      </c>
      <c r="R63" s="439">
        <f>_xlfn.XLOOKUP(O63,Freight!$A$3:$A$22,Freight!$M$3:$M$22)</f>
        <v>80.5</v>
      </c>
      <c r="S63" s="439">
        <f>_xlfn.XLOOKUP(O63,Freight!$A$3:$A$22,Freight!$N$3:$N$22)</f>
        <v>22.561204343534058</v>
      </c>
      <c r="AF63"/>
      <c r="AG63"/>
      <c r="AH63"/>
      <c r="AI63"/>
      <c r="AJ63"/>
      <c r="AK63"/>
      <c r="AL63"/>
      <c r="AM63"/>
      <c r="AN63"/>
      <c r="AQ63" s="404" t="s">
        <v>162</v>
      </c>
      <c r="AR63" s="394">
        <v>5</v>
      </c>
      <c r="AS63"/>
      <c r="AT63" s="404" t="s">
        <v>162</v>
      </c>
      <c r="AU63" s="410">
        <v>2</v>
      </c>
      <c r="AV63"/>
      <c r="AW63" s="404" t="s">
        <v>162</v>
      </c>
      <c r="AX63" s="410">
        <v>2</v>
      </c>
      <c r="AY63" s="404" t="s">
        <v>162</v>
      </c>
      <c r="AZ63" s="410">
        <v>2</v>
      </c>
      <c r="BA63" s="404" t="s">
        <v>162</v>
      </c>
      <c r="BB63" s="410">
        <f>2+4</f>
        <v>6</v>
      </c>
      <c r="BC63" s="404" t="s">
        <v>162</v>
      </c>
      <c r="BD63" s="410">
        <v>0</v>
      </c>
    </row>
    <row r="64" spans="3:56" x14ac:dyDescent="0.35">
      <c r="G64" s="271">
        <v>250</v>
      </c>
      <c r="H64">
        <f>G64*0.25</f>
        <v>62.5</v>
      </c>
      <c r="I64">
        <f>G64*0.17</f>
        <v>42.5</v>
      </c>
      <c r="J64">
        <f>H64+I64</f>
        <v>105</v>
      </c>
      <c r="K64"/>
      <c r="L64"/>
      <c r="M64"/>
      <c r="N64"/>
      <c r="O64" s="438">
        <f t="shared" si="58"/>
        <v>46446</v>
      </c>
      <c r="P64" s="439">
        <f>_xlfn.XLOOKUP(USG!O64,Freight!$A$3:$A$22,Freight!$J$3:$J$22)</f>
        <v>368.87196573060447</v>
      </c>
      <c r="Q64" s="439">
        <f>_xlfn.XLOOKUP(O64,Freight!$A$3:$A$22,Freight!$K$3:$K$22)</f>
        <v>207.30503455083908</v>
      </c>
      <c r="R64" s="439">
        <f>_xlfn.XLOOKUP(O64,Freight!$A$3:$A$22,Freight!$M$3:$M$22)</f>
        <v>77.5</v>
      </c>
      <c r="S64" s="439">
        <f>_xlfn.XLOOKUP(O64,Freight!$A$3:$A$22,Freight!$N$3:$N$22)</f>
        <v>22.036525172754196</v>
      </c>
      <c r="AF64"/>
      <c r="AG64"/>
      <c r="AH64"/>
      <c r="AI64"/>
      <c r="AJ64"/>
      <c r="AK64"/>
      <c r="AL64"/>
      <c r="AM64"/>
      <c r="AN64"/>
      <c r="AQ64" s="404" t="s">
        <v>163</v>
      </c>
      <c r="AR64" s="394"/>
      <c r="AS64"/>
      <c r="AT64" s="404" t="s">
        <v>163</v>
      </c>
      <c r="AU64" s="410"/>
      <c r="AV64"/>
      <c r="AW64" s="404" t="s">
        <v>163</v>
      </c>
      <c r="AX64" s="410"/>
      <c r="AY64" s="404" t="s">
        <v>163</v>
      </c>
      <c r="AZ64" s="410"/>
      <c r="BA64" s="404" t="s">
        <v>163</v>
      </c>
      <c r="BB64" s="410"/>
      <c r="BC64" s="404" t="s">
        <v>163</v>
      </c>
      <c r="BD64" s="410">
        <v>0</v>
      </c>
    </row>
    <row r="65" spans="1:60" x14ac:dyDescent="0.35">
      <c r="B65" s="370"/>
      <c r="G65" s="271">
        <v>275</v>
      </c>
      <c r="H65">
        <f>G65*0.25</f>
        <v>68.75</v>
      </c>
      <c r="I65">
        <f>G65*0.17</f>
        <v>46.75</v>
      </c>
      <c r="J65">
        <f>H65+I65</f>
        <v>115.5</v>
      </c>
      <c r="K65"/>
      <c r="L65"/>
      <c r="O65" s="438">
        <f t="shared" si="58"/>
        <v>46477</v>
      </c>
      <c r="P65" s="439">
        <f>_xlfn.XLOOKUP(USG!O65,Freight!$A$3:$A$22,Freight!$J$3:$J$22)</f>
        <v>354.59305092812946</v>
      </c>
      <c r="Q65" s="439">
        <f>_xlfn.XLOOKUP(O65,Freight!$A$3:$A$22,Freight!$K$3:$K$22)</f>
        <v>202.36920039486674</v>
      </c>
      <c r="R65" s="439">
        <f>_xlfn.XLOOKUP(O65,Freight!$A$3:$A$22,Freight!$M$3:$M$22)</f>
        <v>74.5</v>
      </c>
      <c r="S65" s="439">
        <f>_xlfn.XLOOKUP(O65,Freight!$A$3:$A$22,Freight!$N$3:$N$22)</f>
        <v>21.511846001974334</v>
      </c>
      <c r="AF65"/>
      <c r="AG65"/>
      <c r="AH65"/>
      <c r="AI65"/>
      <c r="AJ65"/>
      <c r="AK65"/>
      <c r="AL65"/>
      <c r="AM65"/>
      <c r="AN65"/>
      <c r="AQ65" s="404" t="s">
        <v>164</v>
      </c>
      <c r="AR65" s="394"/>
      <c r="AS65"/>
      <c r="AT65" s="404" t="s">
        <v>164</v>
      </c>
      <c r="AU65" s="410"/>
      <c r="AV65"/>
      <c r="AW65" s="404" t="s">
        <v>164</v>
      </c>
      <c r="AX65" s="410"/>
      <c r="AY65" s="404" t="s">
        <v>164</v>
      </c>
      <c r="AZ65" s="410"/>
      <c r="BA65" s="404" t="s">
        <v>164</v>
      </c>
      <c r="BB65" s="410"/>
      <c r="BC65" s="404" t="s">
        <v>164</v>
      </c>
      <c r="BD65" s="410">
        <v>2</v>
      </c>
    </row>
    <row r="66" spans="1:60" x14ac:dyDescent="0.35">
      <c r="B66" s="370"/>
      <c r="H66"/>
      <c r="I66"/>
      <c r="J66"/>
      <c r="K66"/>
      <c r="L66"/>
      <c r="O66" s="438">
        <f t="shared" si="58"/>
        <v>46507</v>
      </c>
      <c r="P66" s="439">
        <f>_xlfn.XLOOKUP(USG!O66,Freight!$A$3:$A$22,Freight!$J$3:$J$22)</f>
        <v>314.13612565445021</v>
      </c>
      <c r="Q66" s="439">
        <f>_xlfn.XLOOKUP(O66,Freight!$A$3:$A$22,Freight!$K$3:$K$22)</f>
        <v>167.81836130306021</v>
      </c>
      <c r="R66" s="439">
        <f>_xlfn.XLOOKUP(O66,Freight!$A$3:$A$22,Freight!$M$3:$M$22)</f>
        <v>66</v>
      </c>
      <c r="S66" s="439">
        <f>_xlfn.XLOOKUP(O66,Freight!$A$3:$A$22,Freight!$N$3:$N$22)</f>
        <v>17.839091806515302</v>
      </c>
      <c r="AF66"/>
      <c r="AG66"/>
      <c r="AH66"/>
      <c r="AI66"/>
      <c r="AJ66"/>
      <c r="AK66"/>
      <c r="AL66"/>
      <c r="AM66"/>
      <c r="AN66"/>
      <c r="AQ66" s="404" t="s">
        <v>166</v>
      </c>
      <c r="AR66" s="394">
        <v>0</v>
      </c>
      <c r="AS66"/>
      <c r="AT66" s="404" t="s">
        <v>166</v>
      </c>
      <c r="AU66" s="410">
        <v>2</v>
      </c>
      <c r="AV66"/>
      <c r="AW66" s="404" t="s">
        <v>166</v>
      </c>
      <c r="AX66" s="410">
        <v>0</v>
      </c>
      <c r="AY66" s="404" t="s">
        <v>166</v>
      </c>
      <c r="AZ66" s="410">
        <v>0</v>
      </c>
      <c r="BA66" s="404" t="s">
        <v>166</v>
      </c>
      <c r="BB66" s="410">
        <v>0</v>
      </c>
      <c r="BC66" s="404" t="s">
        <v>166</v>
      </c>
      <c r="BD66" s="410">
        <v>0</v>
      </c>
      <c r="BE66"/>
      <c r="BF66"/>
      <c r="BG66"/>
      <c r="BH66"/>
    </row>
    <row r="67" spans="1:60" x14ac:dyDescent="0.35">
      <c r="G67" s="271">
        <v>204</v>
      </c>
      <c r="H67">
        <v>165.1</v>
      </c>
      <c r="I67" s="549">
        <f>(H67-G67)/G67</f>
        <v>-0.19068627450980394</v>
      </c>
      <c r="J67"/>
      <c r="K67"/>
      <c r="L67"/>
      <c r="M67"/>
      <c r="O67" s="438">
        <f t="shared" si="58"/>
        <v>46538</v>
      </c>
      <c r="P67" s="439">
        <f>_xlfn.XLOOKUP(USG!O67,Freight!$A$3:$A$22,Freight!$J$3:$J$22)</f>
        <v>299.85721085197525</v>
      </c>
      <c r="Q67" s="439">
        <f>_xlfn.XLOOKUP(O67,Freight!$A$3:$A$22,Freight!$K$3:$K$22)</f>
        <v>167.81836130306021</v>
      </c>
      <c r="R67" s="439">
        <f>_xlfn.XLOOKUP(O67,Freight!$A$3:$A$22,Freight!$M$3:$M$22)</f>
        <v>63</v>
      </c>
      <c r="S67" s="439">
        <f>_xlfn.XLOOKUP(O67,Freight!$A$3:$A$22,Freight!$N$3:$N$22)</f>
        <v>17.839091806515302</v>
      </c>
      <c r="AF67"/>
      <c r="AG67"/>
      <c r="AH67"/>
      <c r="AI67"/>
      <c r="AJ67"/>
      <c r="AK67"/>
      <c r="AL67"/>
      <c r="AM67"/>
      <c r="AN67"/>
      <c r="AQ67" s="406" t="s">
        <v>168</v>
      </c>
      <c r="AR67" s="402">
        <v>3</v>
      </c>
      <c r="AS67"/>
      <c r="AT67" s="406" t="s">
        <v>168</v>
      </c>
      <c r="AU67" s="412">
        <v>1</v>
      </c>
      <c r="AV67"/>
      <c r="AW67" s="406" t="s">
        <v>168</v>
      </c>
      <c r="AX67" s="412">
        <v>2</v>
      </c>
      <c r="AY67" s="406" t="s">
        <v>168</v>
      </c>
      <c r="AZ67" s="412">
        <v>4</v>
      </c>
      <c r="BA67" s="406" t="s">
        <v>168</v>
      </c>
      <c r="BB67" s="412">
        <v>3</v>
      </c>
      <c r="BC67" s="406" t="s">
        <v>168</v>
      </c>
      <c r="BD67" s="412">
        <v>1</v>
      </c>
      <c r="BE67"/>
      <c r="BF67"/>
      <c r="BG67"/>
      <c r="BH67"/>
    </row>
    <row r="68" spans="1:60" x14ac:dyDescent="0.35">
      <c r="H68"/>
      <c r="I68">
        <f>H67-G67</f>
        <v>-38.900000000000006</v>
      </c>
      <c r="J68"/>
      <c r="K68"/>
      <c r="L68"/>
      <c r="M68"/>
      <c r="O68"/>
      <c r="P68"/>
      <c r="Q68"/>
      <c r="AF68"/>
      <c r="AG68"/>
      <c r="AH68"/>
      <c r="AI68"/>
      <c r="AJ68"/>
      <c r="AK68"/>
      <c r="AL68"/>
      <c r="AM68"/>
      <c r="AN68"/>
      <c r="AQ68" s="396" t="s">
        <v>169</v>
      </c>
      <c r="AR68" s="397">
        <f>AR42+AR45+AR49+AR53+AR60+AR62</f>
        <v>52.099999999999994</v>
      </c>
      <c r="AS68"/>
      <c r="AT68" s="396" t="s">
        <v>169</v>
      </c>
      <c r="AU68" s="415">
        <f>AU42+AU45+AU49+AU53+AU60+AU62</f>
        <v>47.1</v>
      </c>
      <c r="AV68"/>
      <c r="AW68" s="396" t="s">
        <v>169</v>
      </c>
      <c r="AX68" s="415">
        <f>AX42+AX45+AX49+AX53+AX60+AX62</f>
        <v>18</v>
      </c>
      <c r="AY68" s="396" t="s">
        <v>169</v>
      </c>
      <c r="AZ68" s="415">
        <f>AZ42+AZ45+AZ49+AZ53+AZ60+AZ62</f>
        <v>28.8</v>
      </c>
      <c r="BA68" s="396" t="s">
        <v>169</v>
      </c>
      <c r="BB68" s="415">
        <f>BB42+BB45+BB49+BB53+BB60+BB62</f>
        <v>46.4</v>
      </c>
      <c r="BC68" s="396" t="s">
        <v>169</v>
      </c>
      <c r="BD68" s="415">
        <f>BD42+BD45+BD49+BD53+BD60+BD62</f>
        <v>14</v>
      </c>
      <c r="BE68"/>
      <c r="BF68"/>
      <c r="BG68"/>
      <c r="BH68"/>
    </row>
    <row r="69" spans="1:60" x14ac:dyDescent="0.35">
      <c r="H69"/>
      <c r="I69"/>
      <c r="J69"/>
      <c r="K69"/>
      <c r="L69"/>
      <c r="M69"/>
      <c r="O69"/>
      <c r="P69"/>
      <c r="Q69"/>
      <c r="AF69"/>
      <c r="AG69"/>
      <c r="AH69"/>
      <c r="AI69"/>
      <c r="AJ69"/>
      <c r="AK69"/>
      <c r="AL69"/>
      <c r="AM69"/>
      <c r="AN69"/>
      <c r="AO69"/>
      <c r="AP69"/>
      <c r="AQ69" s="398" t="s">
        <v>170</v>
      </c>
      <c r="AR69" s="399">
        <f>AR68/28</f>
        <v>1.8607142857142855</v>
      </c>
      <c r="AS69"/>
      <c r="AT69" s="398" t="s">
        <v>170</v>
      </c>
      <c r="AU69" s="416">
        <f>AU68/31</f>
        <v>1.5193548387096774</v>
      </c>
      <c r="AV69"/>
      <c r="AW69" s="398" t="s">
        <v>170</v>
      </c>
      <c r="AX69" s="416">
        <f>AX68/31</f>
        <v>0.58064516129032262</v>
      </c>
      <c r="AY69" s="398" t="s">
        <v>170</v>
      </c>
      <c r="AZ69" s="416">
        <f>AZ68/30</f>
        <v>0.96000000000000008</v>
      </c>
      <c r="BA69" s="398" t="s">
        <v>170</v>
      </c>
      <c r="BB69" s="416">
        <f>BB68/30</f>
        <v>1.5466666666666666</v>
      </c>
      <c r="BC69" s="398" t="s">
        <v>170</v>
      </c>
      <c r="BD69" s="416">
        <f>BD68/30</f>
        <v>0.46666666666666667</v>
      </c>
      <c r="BE69"/>
      <c r="BF69"/>
      <c r="BG69"/>
      <c r="BH69"/>
    </row>
    <row r="70" spans="1:60" x14ac:dyDescent="0.35">
      <c r="H70"/>
      <c r="I70"/>
      <c r="J70"/>
      <c r="K70"/>
      <c r="L70"/>
      <c r="M70"/>
      <c r="N70"/>
      <c r="O70"/>
      <c r="P70"/>
      <c r="Q70"/>
      <c r="AF70"/>
      <c r="AG70"/>
      <c r="AH70"/>
      <c r="AI70"/>
      <c r="AJ70"/>
      <c r="AK70"/>
      <c r="AL70"/>
      <c r="AM70"/>
      <c r="AN70"/>
      <c r="AO70"/>
      <c r="AP70" s="71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1:60" ht="16.5" customHeight="1" x14ac:dyDescent="0.35">
      <c r="A71">
        <v>0.39</v>
      </c>
      <c r="H71"/>
      <c r="I71"/>
      <c r="J71"/>
      <c r="K71"/>
      <c r="L71"/>
      <c r="M71"/>
      <c r="N71"/>
      <c r="O71"/>
      <c r="P71"/>
      <c r="Q71"/>
      <c r="AF71"/>
      <c r="AG71"/>
      <c r="AH71"/>
      <c r="AI71"/>
      <c r="AJ71"/>
      <c r="AK71"/>
      <c r="AL71"/>
      <c r="AM71"/>
      <c r="AN71"/>
      <c r="AO71"/>
      <c r="AP71" s="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1:60" x14ac:dyDescent="0.35">
      <c r="H72"/>
      <c r="I72"/>
      <c r="J72"/>
      <c r="K72"/>
      <c r="L72"/>
      <c r="M72"/>
      <c r="N72"/>
      <c r="O72"/>
      <c r="P72"/>
      <c r="Q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1:60" x14ac:dyDescent="0.35">
      <c r="H73"/>
      <c r="I73"/>
      <c r="J73"/>
      <c r="K73"/>
      <c r="L73"/>
      <c r="M73"/>
      <c r="N73"/>
      <c r="O73"/>
      <c r="P73"/>
      <c r="Q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1:60" x14ac:dyDescent="0.35">
      <c r="H74" s="98"/>
      <c r="I74" s="271">
        <v>2026</v>
      </c>
      <c r="J74" s="98">
        <v>2027</v>
      </c>
      <c r="K74" s="98">
        <v>2028</v>
      </c>
      <c r="L74" s="98">
        <v>2029</v>
      </c>
      <c r="M74" s="98">
        <v>2030</v>
      </c>
      <c r="N74" s="98">
        <v>2031</v>
      </c>
      <c r="O74"/>
      <c r="P74"/>
      <c r="Q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1:60" x14ac:dyDescent="0.35">
      <c r="D75" s="271">
        <v>2026</v>
      </c>
      <c r="E75" s="271">
        <v>600</v>
      </c>
      <c r="H75" s="98" t="s">
        <v>465</v>
      </c>
      <c r="J75" s="98">
        <f>E75*0.5</f>
        <v>300</v>
      </c>
      <c r="K75" s="98">
        <f>J75*0.5</f>
        <v>150</v>
      </c>
      <c r="L75" s="98">
        <f>K75</f>
        <v>150</v>
      </c>
      <c r="M75" s="98"/>
      <c r="N75" s="98"/>
      <c r="O75"/>
      <c r="P75"/>
      <c r="Q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1:60" x14ac:dyDescent="0.35">
      <c r="D76" s="271">
        <v>2027</v>
      </c>
      <c r="E76" s="271">
        <v>300</v>
      </c>
      <c r="H76" s="98" t="s">
        <v>466</v>
      </c>
      <c r="K76" s="98">
        <f t="shared" ref="K76" si="60">E76*0.5</f>
        <v>150</v>
      </c>
      <c r="L76" s="98">
        <f>K76*0.5</f>
        <v>75</v>
      </c>
      <c r="M76" s="98">
        <f>L76</f>
        <v>75</v>
      </c>
      <c r="O76"/>
      <c r="P76"/>
      <c r="Q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1:60" x14ac:dyDescent="0.35">
      <c r="D77" s="271">
        <v>2028</v>
      </c>
      <c r="E77" s="271">
        <v>300</v>
      </c>
      <c r="H77" s="98" t="s">
        <v>467</v>
      </c>
      <c r="I77" s="98"/>
      <c r="J77" s="98"/>
      <c r="L77" s="98">
        <f>E77*0.5</f>
        <v>150</v>
      </c>
      <c r="M77" s="98">
        <f>L77*0.5</f>
        <v>75</v>
      </c>
      <c r="N77" s="98">
        <f>M77</f>
        <v>75</v>
      </c>
      <c r="O77"/>
      <c r="P77"/>
      <c r="Q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1:60" x14ac:dyDescent="0.35">
      <c r="C78"/>
      <c r="D78"/>
      <c r="E78"/>
      <c r="F78"/>
      <c r="G78"/>
      <c r="H78" s="98" t="s">
        <v>464</v>
      </c>
      <c r="I78" s="271">
        <v>50</v>
      </c>
      <c r="J78" s="98">
        <f>92.5+50</f>
        <v>142.5</v>
      </c>
      <c r="K78" s="271">
        <f>J78</f>
        <v>142.5</v>
      </c>
      <c r="L78" s="98"/>
      <c r="M78" s="98"/>
      <c r="N78" s="98"/>
      <c r="O78"/>
      <c r="P78"/>
      <c r="Q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1:60" x14ac:dyDescent="0.35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1:60" x14ac:dyDescent="0.35">
      <c r="C80"/>
      <c r="D80"/>
      <c r="E80"/>
      <c r="F80"/>
      <c r="G80"/>
      <c r="H80" s="98" t="s">
        <v>169</v>
      </c>
      <c r="I80" s="480">
        <f>SUM(I75:I78)</f>
        <v>50</v>
      </c>
      <c r="J80" s="480">
        <f t="shared" ref="J80:N80" si="61">SUM(J75:J78)</f>
        <v>442.5</v>
      </c>
      <c r="K80" s="480">
        <f t="shared" si="61"/>
        <v>442.5</v>
      </c>
      <c r="L80" s="480">
        <f t="shared" si="61"/>
        <v>375</v>
      </c>
      <c r="M80" s="480">
        <f t="shared" si="61"/>
        <v>150</v>
      </c>
      <c r="N80" s="480">
        <f t="shared" si="61"/>
        <v>75</v>
      </c>
      <c r="O80"/>
      <c r="P80">
        <f>SUM(I80:N80)</f>
        <v>1535</v>
      </c>
      <c r="Q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4:59" x14ac:dyDescent="0.35">
      <c r="P81"/>
      <c r="Q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4:59" x14ac:dyDescent="0.35">
      <c r="P82"/>
      <c r="Q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4:59" x14ac:dyDescent="0.35">
      <c r="H83" s="98"/>
      <c r="I83" s="271">
        <v>2026</v>
      </c>
      <c r="J83" s="98">
        <v>2027</v>
      </c>
      <c r="K83" s="98">
        <v>2028</v>
      </c>
      <c r="L83" s="98">
        <v>2029</v>
      </c>
      <c r="M83" s="98">
        <v>2030</v>
      </c>
      <c r="N83" s="98">
        <v>2031</v>
      </c>
      <c r="O83"/>
      <c r="P83"/>
      <c r="Q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4:59" x14ac:dyDescent="0.35">
      <c r="D84" s="271">
        <v>2026</v>
      </c>
      <c r="E84" s="271">
        <v>420</v>
      </c>
      <c r="H84" s="98" t="s">
        <v>465</v>
      </c>
      <c r="I84" s="535"/>
      <c r="J84" s="536">
        <f>E84*0.5</f>
        <v>210</v>
      </c>
      <c r="K84" s="536">
        <f>J84</f>
        <v>210</v>
      </c>
      <c r="L84" s="536"/>
      <c r="M84" s="536"/>
      <c r="N84" s="536"/>
      <c r="O84"/>
      <c r="P84"/>
      <c r="Q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4:59" x14ac:dyDescent="0.35">
      <c r="D85" s="271">
        <v>2027</v>
      </c>
      <c r="E85" s="271">
        <v>420</v>
      </c>
      <c r="H85" s="98" t="s">
        <v>466</v>
      </c>
      <c r="I85" s="535"/>
      <c r="J85" s="535"/>
      <c r="K85" s="536">
        <f t="shared" ref="K85" si="62">E85*0.5</f>
        <v>210</v>
      </c>
      <c r="L85" s="536">
        <f>K85</f>
        <v>210</v>
      </c>
      <c r="M85" s="536"/>
      <c r="N85" s="537"/>
      <c r="O85"/>
      <c r="P85"/>
      <c r="Q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4:59" x14ac:dyDescent="0.35">
      <c r="D86" s="271">
        <v>2028</v>
      </c>
      <c r="E86" s="271">
        <v>420</v>
      </c>
      <c r="H86" s="98" t="s">
        <v>467</v>
      </c>
      <c r="I86" s="536"/>
      <c r="J86" s="536"/>
      <c r="K86" s="535"/>
      <c r="L86" s="536">
        <f>E86*0.5</f>
        <v>210</v>
      </c>
      <c r="M86" s="536">
        <f>L86</f>
        <v>210</v>
      </c>
      <c r="N86" s="536"/>
      <c r="O86"/>
      <c r="P86"/>
      <c r="Q86"/>
      <c r="S86" s="271">
        <v>1.6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4:59" x14ac:dyDescent="0.35">
      <c r="D87"/>
      <c r="E87"/>
      <c r="F87"/>
      <c r="G87"/>
      <c r="H87" s="98" t="s">
        <v>468</v>
      </c>
      <c r="I87" s="535">
        <v>15</v>
      </c>
      <c r="J87" s="536">
        <v>50</v>
      </c>
      <c r="K87" s="535">
        <v>50</v>
      </c>
      <c r="L87" s="536">
        <v>50</v>
      </c>
      <c r="M87" s="536">
        <v>50</v>
      </c>
      <c r="N87" s="536">
        <v>50</v>
      </c>
      <c r="O87"/>
      <c r="P87"/>
      <c r="Q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4:59" x14ac:dyDescent="0.35">
      <c r="D88"/>
      <c r="E88"/>
      <c r="F88"/>
      <c r="G88"/>
      <c r="H88"/>
      <c r="I88" s="480"/>
      <c r="J88" s="480"/>
      <c r="K88" s="480"/>
      <c r="L88" s="480"/>
      <c r="M88" s="480"/>
      <c r="N88" s="480"/>
      <c r="O88"/>
      <c r="P88"/>
      <c r="Q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4:59" x14ac:dyDescent="0.35">
      <c r="D89"/>
      <c r="E89"/>
      <c r="F89"/>
      <c r="G89"/>
      <c r="H89" s="98" t="s">
        <v>169</v>
      </c>
      <c r="I89" s="480">
        <f>SUM(I84:I87)</f>
        <v>15</v>
      </c>
      <c r="J89" s="480">
        <f t="shared" ref="J89:N89" si="63">SUM(J84:J87)</f>
        <v>260</v>
      </c>
      <c r="K89" s="480">
        <f t="shared" si="63"/>
        <v>470</v>
      </c>
      <c r="L89" s="480">
        <f t="shared" si="63"/>
        <v>470</v>
      </c>
      <c r="M89" s="480">
        <f t="shared" si="63"/>
        <v>260</v>
      </c>
      <c r="N89" s="480">
        <f t="shared" si="63"/>
        <v>50</v>
      </c>
      <c r="O89"/>
      <c r="P89">
        <f>SUM(I89:N89)</f>
        <v>1525</v>
      </c>
      <c r="Q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4:59" x14ac:dyDescent="0.35">
      <c r="P90"/>
      <c r="Q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 s="91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4:59" x14ac:dyDescent="0.35">
      <c r="P91"/>
      <c r="Q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4:59" x14ac:dyDescent="0.35">
      <c r="H92" s="369"/>
      <c r="I92" s="369" t="s">
        <v>471</v>
      </c>
      <c r="J92" s="369" t="s">
        <v>472</v>
      </c>
      <c r="P92" s="469">
        <f>P89-P80</f>
        <v>-10</v>
      </c>
      <c r="Q92" s="469"/>
      <c r="R92" s="488"/>
      <c r="S92" s="488"/>
      <c r="T92" s="488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4:59" x14ac:dyDescent="0.35">
      <c r="H93" s="369" t="s">
        <v>469</v>
      </c>
      <c r="I93" s="538">
        <f>I80+NPV(0.05,J80:N80)</f>
        <v>1378.8980487994786</v>
      </c>
      <c r="J93" s="538">
        <f>I89+NPV(0.05,J89:N89)</f>
        <v>1348.0055255734369</v>
      </c>
      <c r="P93"/>
      <c r="Q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4:59" x14ac:dyDescent="0.35">
      <c r="H94" s="369" t="s">
        <v>470</v>
      </c>
      <c r="I94" s="538">
        <f>I80+NPV(0.07,J80:N80)</f>
        <v>1324.0679882325283</v>
      </c>
      <c r="J94" s="538">
        <f>I89+NPV(0.07,J89:N89)</f>
        <v>1286.1689227392571</v>
      </c>
      <c r="P94"/>
      <c r="Q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4:59" x14ac:dyDescent="0.35"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4:59" x14ac:dyDescent="0.35"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2:59" x14ac:dyDescent="0.35"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2:59" x14ac:dyDescent="0.35"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2:59" x14ac:dyDescent="0.35"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2:59" x14ac:dyDescent="0.35"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</row>
    <row r="101" spans="2:59" x14ac:dyDescent="0.35"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</row>
    <row r="102" spans="2:59" x14ac:dyDescent="0.35"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</row>
    <row r="103" spans="2:59" x14ac:dyDescent="0.35"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</row>
    <row r="104" spans="2:59" x14ac:dyDescent="0.35"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</row>
    <row r="105" spans="2:59" x14ac:dyDescent="0.35"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</row>
    <row r="106" spans="2:59" x14ac:dyDescent="0.35"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</row>
    <row r="107" spans="2:59" x14ac:dyDescent="0.35"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</row>
    <row r="108" spans="2:59" x14ac:dyDescent="0.35"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2:59" x14ac:dyDescent="0.35"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</row>
    <row r="110" spans="2:59" x14ac:dyDescent="0.35">
      <c r="B110"/>
      <c r="I110" s="470"/>
      <c r="J110"/>
      <c r="K110"/>
      <c r="L110" s="473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</row>
    <row r="111" spans="2:59" x14ac:dyDescent="0.35">
      <c r="B111"/>
      <c r="I111" s="470"/>
      <c r="J111"/>
      <c r="K111"/>
      <c r="L111" s="473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</row>
    <row r="112" spans="2:59" x14ac:dyDescent="0.35">
      <c r="B112"/>
      <c r="I112" s="472"/>
      <c r="L112" s="475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</row>
    <row r="113" spans="2:59" x14ac:dyDescent="0.35">
      <c r="B113"/>
      <c r="I113" s="471"/>
      <c r="J113"/>
      <c r="K113"/>
      <c r="L113" s="474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</row>
    <row r="114" spans="2:59" x14ac:dyDescent="0.35">
      <c r="B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</row>
    <row r="115" spans="2:59" x14ac:dyDescent="0.35"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</row>
    <row r="116" spans="2:59" x14ac:dyDescent="0.35"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</row>
    <row r="117" spans="2:59" x14ac:dyDescent="0.35"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</row>
    <row r="118" spans="2:59" x14ac:dyDescent="0.35"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2:59" x14ac:dyDescent="0.35"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</row>
    <row r="120" spans="2:59" x14ac:dyDescent="0.35"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</row>
    <row r="121" spans="2:59" x14ac:dyDescent="0.35"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</row>
    <row r="122" spans="2:59" x14ac:dyDescent="0.35"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2:59" x14ac:dyDescent="0.35">
      <c r="P123"/>
      <c r="Q123"/>
      <c r="R123"/>
      <c r="S123"/>
      <c r="T123">
        <f t="shared" ref="T123:T129" si="64">EOMONTH(P117,0)</f>
        <v>31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59" x14ac:dyDescent="0.35">
      <c r="P124"/>
      <c r="Q124"/>
      <c r="R124"/>
      <c r="S124"/>
      <c r="T124">
        <f t="shared" si="64"/>
        <v>31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59" x14ac:dyDescent="0.35">
      <c r="P125"/>
      <c r="Q125"/>
      <c r="R125"/>
      <c r="S125"/>
      <c r="T125">
        <f t="shared" si="64"/>
        <v>31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2:59" x14ac:dyDescent="0.35">
      <c r="P126"/>
      <c r="Q126"/>
      <c r="R126"/>
      <c r="S126"/>
      <c r="T126">
        <f t="shared" si="64"/>
        <v>31</v>
      </c>
      <c r="U126"/>
      <c r="V126"/>
      <c r="W126"/>
      <c r="X126"/>
      <c r="Y126"/>
      <c r="Z126"/>
      <c r="AA126"/>
      <c r="AB126"/>
      <c r="AC126"/>
      <c r="AD126"/>
      <c r="AE126"/>
    </row>
    <row r="127" spans="2:59" x14ac:dyDescent="0.35">
      <c r="Q127"/>
      <c r="R127"/>
      <c r="S127"/>
      <c r="T127">
        <f t="shared" si="64"/>
        <v>31</v>
      </c>
      <c r="U127"/>
      <c r="V127"/>
      <c r="W127"/>
      <c r="X127"/>
      <c r="Y127"/>
      <c r="Z127"/>
      <c r="AA127"/>
      <c r="AB127"/>
      <c r="AC127"/>
      <c r="AD127"/>
      <c r="AE127"/>
    </row>
    <row r="128" spans="2:59" x14ac:dyDescent="0.35">
      <c r="Q128"/>
      <c r="R128"/>
      <c r="S128"/>
      <c r="T128">
        <f t="shared" si="64"/>
        <v>31</v>
      </c>
      <c r="U128"/>
      <c r="V128"/>
    </row>
    <row r="129" spans="18:22" x14ac:dyDescent="0.35">
      <c r="R129"/>
      <c r="S129"/>
      <c r="T129">
        <f t="shared" si="64"/>
        <v>31</v>
      </c>
      <c r="U129"/>
      <c r="V129"/>
    </row>
    <row r="130" spans="18:22" x14ac:dyDescent="0.35">
      <c r="R130"/>
      <c r="S130"/>
    </row>
    <row r="131" spans="18:22" x14ac:dyDescent="0.35">
      <c r="R131"/>
      <c r="S131"/>
    </row>
    <row r="132" spans="18:22" x14ac:dyDescent="0.35">
      <c r="R132"/>
      <c r="S132"/>
    </row>
  </sheetData>
  <mergeCells count="6">
    <mergeCell ref="AD20:AF20"/>
    <mergeCell ref="BC41:BD41"/>
    <mergeCell ref="C1:D1"/>
    <mergeCell ref="AT41:AU41"/>
    <mergeCell ref="AY41:AZ41"/>
    <mergeCell ref="BA41:BB41"/>
  </mergeCells>
  <phoneticPr fontId="10" type="noConversion"/>
  <conditionalFormatting sqref="V33:V35 V37:V38 V40">
    <cfRule type="cellIs" dxfId="1" priority="5" operator="lessThan">
      <formula>0</formula>
    </cfRule>
    <cfRule type="cellIs" dxfId="0" priority="6" operator="greaterThan">
      <formula>0</formula>
    </cfRule>
  </conditionalFormatting>
  <printOptions horizontalCentered="1" verticalCentered="1"/>
  <pageMargins left="0.25" right="0.25" top="0.75" bottom="0.2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  <customProperties>
    <customPr name="GvHasTableInfo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BS125"/>
  <sheetViews>
    <sheetView showGridLines="0" zoomScale="90" zoomScaleNormal="90" workbookViewId="0">
      <selection activeCell="V5" sqref="V5"/>
    </sheetView>
  </sheetViews>
  <sheetFormatPr defaultColWidth="9.26953125" defaultRowHeight="14.5" outlineLevelCol="1" x14ac:dyDescent="0.35"/>
  <cols>
    <col min="3" max="3" width="7.453125" hidden="1" customWidth="1" outlineLevel="1"/>
    <col min="4" max="4" width="9.54296875" hidden="1" customWidth="1" outlineLevel="1"/>
    <col min="5" max="5" width="8.54296875" bestFit="1" customWidth="1" collapsed="1"/>
    <col min="6" max="6" width="5.54296875" customWidth="1" outlineLevel="1"/>
    <col min="7" max="7" width="10" customWidth="1" outlineLevel="1"/>
    <col min="8" max="8" width="6" customWidth="1" outlineLevel="1"/>
    <col min="9" max="9" width="10.54296875" customWidth="1"/>
    <col min="10" max="11" width="13.453125" style="84" customWidth="1"/>
    <col min="12" max="12" width="5.7265625" bestFit="1" customWidth="1"/>
    <col min="13" max="13" width="7.54296875" customWidth="1"/>
    <col min="14" max="14" width="9.453125" hidden="1" customWidth="1" outlineLevel="1"/>
    <col min="15" max="15" width="6" hidden="1" customWidth="1" outlineLevel="1"/>
    <col min="16" max="16" width="13.54296875" bestFit="1" customWidth="1" collapsed="1"/>
    <col min="17" max="17" width="13.54296875" hidden="1" customWidth="1" outlineLevel="1"/>
    <col min="18" max="18" width="14.453125" hidden="1" customWidth="1" outlineLevel="1"/>
    <col min="19" max="20" width="17.54296875" hidden="1" customWidth="1" outlineLevel="1"/>
    <col min="21" max="21" width="13.453125" bestFit="1" customWidth="1" collapsed="1"/>
    <col min="22" max="22" width="14.453125" bestFit="1" customWidth="1"/>
    <col min="23" max="23" width="2" customWidth="1"/>
    <col min="24" max="24" width="7.54296875" customWidth="1"/>
    <col min="25" max="25" width="10.54296875" hidden="1" customWidth="1" outlineLevel="1"/>
    <col min="26" max="26" width="7.453125" hidden="1" customWidth="1" outlineLevel="1"/>
    <col min="27" max="27" width="6" hidden="1" customWidth="1" outlineLevel="1"/>
    <col min="28" max="28" width="13.54296875" customWidth="1" collapsed="1"/>
    <col min="29" max="29" width="13.453125" bestFit="1" customWidth="1"/>
    <col min="30" max="30" width="14.453125" bestFit="1" customWidth="1"/>
    <col min="31" max="31" width="4.54296875" customWidth="1"/>
    <col min="32" max="32" width="7.54296875" bestFit="1" customWidth="1"/>
    <col min="33" max="33" width="11.54296875" hidden="1" customWidth="1" outlineLevel="1"/>
    <col min="34" max="34" width="7.54296875" hidden="1" customWidth="1" outlineLevel="1"/>
    <col min="35" max="35" width="6.54296875" hidden="1" customWidth="1" outlineLevel="1"/>
    <col min="36" max="36" width="22.26953125" bestFit="1" customWidth="1" collapsed="1"/>
    <col min="37" max="37" width="1.453125" style="125" customWidth="1"/>
    <col min="38" max="38" width="8.54296875" hidden="1" customWidth="1" outlineLevel="1"/>
    <col min="39" max="40" width="11.453125" hidden="1" customWidth="1" outlineLevel="1"/>
    <col min="41" max="41" width="7.453125" hidden="1" customWidth="1" outlineLevel="1"/>
    <col min="42" max="42" width="6.54296875" hidden="1" customWidth="1" outlineLevel="1"/>
    <col min="43" max="43" width="9.453125" collapsed="1"/>
    <col min="44" max="44" width="26.453125" bestFit="1" customWidth="1"/>
    <col min="45" max="45" width="1.453125" style="125" customWidth="1"/>
    <col min="46" max="46" width="14.453125" customWidth="1"/>
    <col min="47" max="47" width="6" customWidth="1"/>
    <col min="48" max="48" width="7.54296875" customWidth="1"/>
    <col min="49" max="49" width="9.453125" customWidth="1"/>
    <col min="50" max="50" width="13.453125" customWidth="1"/>
    <col min="51" max="51" width="3.453125" customWidth="1"/>
    <col min="52" max="54" width="13.453125" hidden="1" customWidth="1" outlineLevel="1"/>
    <col min="55" max="55" width="16.453125" customWidth="1" collapsed="1"/>
  </cols>
  <sheetData>
    <row r="1" spans="1:59" ht="15" thickBot="1" x14ac:dyDescent="0.4">
      <c r="A1" s="125">
        <v>0</v>
      </c>
      <c r="B1" s="177">
        <v>1</v>
      </c>
      <c r="C1" s="177"/>
      <c r="D1" s="177">
        <v>0.7</v>
      </c>
      <c r="L1" s="98"/>
      <c r="M1" s="583" t="s">
        <v>171</v>
      </c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5"/>
      <c r="AF1" s="586" t="s">
        <v>172</v>
      </c>
      <c r="AG1" s="587"/>
      <c r="AH1" s="587"/>
      <c r="AI1" s="587"/>
      <c r="AJ1" s="587"/>
      <c r="AK1" s="587"/>
      <c r="AL1" s="587"/>
      <c r="AM1" s="587"/>
      <c r="AN1" s="587"/>
      <c r="AO1" s="587"/>
      <c r="AP1" s="587"/>
      <c r="AQ1" s="587"/>
      <c r="AR1" s="587"/>
      <c r="AS1" s="587"/>
      <c r="AT1" s="588"/>
    </row>
    <row r="2" spans="1:59" s="125" customFormat="1" x14ac:dyDescent="0.35">
      <c r="A2" s="202"/>
      <c r="J2" s="126">
        <f>J5-0.81</f>
        <v>-4.1300000000000026</v>
      </c>
      <c r="K2" s="126"/>
      <c r="M2" s="110" t="s">
        <v>173</v>
      </c>
      <c r="U2" s="250"/>
      <c r="W2"/>
      <c r="X2" s="110" t="s">
        <v>174</v>
      </c>
      <c r="AE2"/>
      <c r="AN2" s="125" t="s">
        <v>175</v>
      </c>
      <c r="AV2"/>
      <c r="AW2"/>
      <c r="AX2"/>
      <c r="AY2"/>
      <c r="AZ2"/>
      <c r="BA2"/>
      <c r="BB2"/>
      <c r="BC2"/>
      <c r="BD2"/>
      <c r="BE2"/>
      <c r="BF2"/>
      <c r="BG2"/>
    </row>
    <row r="3" spans="1:59" ht="29" x14ac:dyDescent="0.35">
      <c r="C3" t="s">
        <v>122</v>
      </c>
      <c r="D3" t="s">
        <v>104</v>
      </c>
      <c r="E3" s="89" t="s">
        <v>176</v>
      </c>
      <c r="F3" s="89" t="s">
        <v>10</v>
      </c>
      <c r="G3" s="89" t="s">
        <v>177</v>
      </c>
      <c r="H3" s="89" t="s">
        <v>178</v>
      </c>
      <c r="I3" s="249" t="s">
        <v>107</v>
      </c>
      <c r="J3" s="248" t="s">
        <v>179</v>
      </c>
      <c r="K3" s="507" t="s">
        <v>435</v>
      </c>
      <c r="L3" s="98"/>
      <c r="M3" s="243" t="s">
        <v>180</v>
      </c>
      <c r="N3" s="241" t="s">
        <v>122</v>
      </c>
      <c r="O3" s="240" t="s">
        <v>54</v>
      </c>
      <c r="P3" s="240" t="s">
        <v>181</v>
      </c>
      <c r="Q3" s="240" t="s">
        <v>182</v>
      </c>
      <c r="R3" s="240" t="s">
        <v>183</v>
      </c>
      <c r="S3" s="240" t="s">
        <v>184</v>
      </c>
      <c r="T3" s="240" t="s">
        <v>54</v>
      </c>
      <c r="U3" s="240" t="s">
        <v>185</v>
      </c>
      <c r="V3" s="242" t="s">
        <v>78</v>
      </c>
      <c r="W3" s="214"/>
      <c r="X3" s="243" t="s">
        <v>180</v>
      </c>
      <c r="Y3" s="240" t="s">
        <v>186</v>
      </c>
      <c r="Z3" s="241" t="s">
        <v>122</v>
      </c>
      <c r="AA3" s="240" t="s">
        <v>54</v>
      </c>
      <c r="AB3" s="240" t="str">
        <f>P3</f>
        <v>WTI CIF Rdam</v>
      </c>
      <c r="AC3" s="240" t="s">
        <v>185</v>
      </c>
      <c r="AD3" s="242" t="s">
        <v>78</v>
      </c>
      <c r="AF3" s="244" t="s">
        <v>180</v>
      </c>
      <c r="AG3" s="116" t="s">
        <v>186</v>
      </c>
      <c r="AH3" s="117" t="s">
        <v>122</v>
      </c>
      <c r="AI3" s="116" t="s">
        <v>187</v>
      </c>
      <c r="AJ3" s="116" t="s">
        <v>188</v>
      </c>
      <c r="AL3" s="116" t="s">
        <v>176</v>
      </c>
      <c r="AM3" s="116" t="s">
        <v>189</v>
      </c>
      <c r="AN3" s="116" t="s">
        <v>186</v>
      </c>
      <c r="AO3" s="116" t="s">
        <v>122</v>
      </c>
      <c r="AP3" s="116" t="s">
        <v>187</v>
      </c>
      <c r="AQ3" s="116" t="s">
        <v>180</v>
      </c>
      <c r="AR3" s="116" t="s">
        <v>190</v>
      </c>
      <c r="AT3" s="118" t="s">
        <v>78</v>
      </c>
      <c r="AU3" s="125"/>
    </row>
    <row r="4" spans="1:59" ht="15" thickBot="1" x14ac:dyDescent="0.4">
      <c r="C4" s="168">
        <f>E4</f>
        <v>46326</v>
      </c>
      <c r="D4" s="169">
        <f>EOMONTH(E4,-1)+1</f>
        <v>46296</v>
      </c>
      <c r="E4" s="107">
        <f>EOMONTH(E5,-1)</f>
        <v>46326</v>
      </c>
      <c r="F4" s="219">
        <f>IFERROR(INDEX(Sheet1!$B$5:$N$27,MATCH(FWD!$F$3,Sheet1!$B$5:$B$27,0),MATCH(FWD!D4,Sheet1!$B$5:$N$5,0)),F5)</f>
        <v>0.75</v>
      </c>
      <c r="G4" s="90">
        <f>BBG!F5-BBG!F6</f>
        <v>2</v>
      </c>
      <c r="H4" s="90">
        <f>IF(BBG!$D$5=BBG!$J$5,BBG!F6-BBG!L6,BBG!F6-BBG!L5)</f>
        <v>-9.61</v>
      </c>
      <c r="I4" s="170">
        <f>$B$6</f>
        <v>3</v>
      </c>
      <c r="J4" s="239">
        <f>SUM(F4:I4)</f>
        <v>-3.8599999999999994</v>
      </c>
      <c r="K4" s="508"/>
      <c r="L4" s="98"/>
      <c r="M4" s="114">
        <f>EOMONTH(M5,-1)</f>
        <v>46326</v>
      </c>
      <c r="N4" s="215">
        <f>VLOOKUP($C4,Freight!$A$3:$F$17,MATCH(FWD!$N$41,Freight!$A$3:$F$3,0),FALSE)+$B$7</f>
        <v>17.188650000000003</v>
      </c>
      <c r="O4" s="216">
        <f>VLOOKUP(EOMONTH(M4,0),BBG!$N$63:$R$123,5,FALSE)</f>
        <v>9.01</v>
      </c>
      <c r="P4" s="209">
        <f t="shared" ref="P4:P40" si="0">J4+N4-O4</f>
        <v>4.3186500000000034</v>
      </c>
      <c r="Q4" s="209"/>
      <c r="R4" s="215">
        <f>VLOOKUP($C4,Freight!$A$3:$F$17,MATCH(FWD!$U$41,Freight!$A$3:$F$3,0),FALSE)</f>
        <v>3.5918571428571431</v>
      </c>
      <c r="S4" s="209" t="e">
        <f>INDEX(BBG!$H$4:$L$53,MATCH(FWD!$M4,BBG!$H$4:$H$53,0),MATCH("Settle",BBG!$H$4:$L$4,0))-INDEX(BBG!$H$4:$L$53,MATCH(FWD!$M6,BBG!$H$4:$H$53,0),MATCH("Settle",BBG!$H$4:$L$4,0))</f>
        <v>#N/A</v>
      </c>
      <c r="T4" s="209">
        <f>O4</f>
        <v>9.01</v>
      </c>
      <c r="U4" s="209" t="e">
        <f>SUM(Q4:S4)-T4</f>
        <v>#N/A</v>
      </c>
      <c r="V4" s="237" t="str">
        <f>IFERROR(U4-P4,"Expired")</f>
        <v>Expired</v>
      </c>
      <c r="W4" s="98"/>
      <c r="X4" s="114">
        <f>EOMONTH(M4,1)</f>
        <v>46356</v>
      </c>
      <c r="Y4" s="217">
        <f>IF(BBG!$D$5=BBG!$J$5,BBG!L6-BBG!L7,BBG!L5-BBG!L6)</f>
        <v>2.9399999999999977</v>
      </c>
      <c r="Z4" s="215">
        <f>VLOOKUP($C4,Freight!$A$3:$F$17,MATCH(FWD!$N$41,Freight!$A$3:$F$3,0),FALSE)+$B$7</f>
        <v>17.188650000000003</v>
      </c>
      <c r="AA4" s="216">
        <f>VLOOKUP(EOMONTH(X4,0),BBG!$N$63:$R$123,5,FALSE)</f>
        <v>3.33</v>
      </c>
      <c r="AB4" s="210">
        <f t="shared" ref="AB4:AB40" si="1">J4+Y4+Z4-AA4</f>
        <v>12.938650000000001</v>
      </c>
      <c r="AC4" s="210" t="e">
        <f>U5</f>
        <v>#N/A</v>
      </c>
      <c r="AD4" s="265" t="str">
        <f>IFERROR(AC4-AB4,"Expired")</f>
        <v>Expired</v>
      </c>
      <c r="AF4" s="121"/>
      <c r="AG4" s="122"/>
      <c r="AH4" s="122"/>
      <c r="AI4" s="122"/>
      <c r="AJ4" s="229"/>
      <c r="AL4" s="121"/>
      <c r="AM4" s="227"/>
      <c r="AN4" s="227"/>
      <c r="AO4" s="122"/>
      <c r="AP4" s="122"/>
      <c r="AQ4" s="121"/>
      <c r="AR4" s="229"/>
      <c r="AT4" s="234"/>
      <c r="AU4" s="125"/>
    </row>
    <row r="5" spans="1:59" ht="15" thickBot="1" x14ac:dyDescent="0.4">
      <c r="A5" t="s">
        <v>191</v>
      </c>
      <c r="B5" s="177">
        <v>0.03</v>
      </c>
      <c r="C5" s="168">
        <f>E5</f>
        <v>46356</v>
      </c>
      <c r="D5" s="169">
        <f t="shared" ref="D5:D16" si="2">EOMONTH(E5,-1)+1</f>
        <v>46327</v>
      </c>
      <c r="E5" s="269">
        <f>USG!E25</f>
        <v>46356</v>
      </c>
      <c r="F5" s="219">
        <f>+INDEX(Sheet1!$B$5:$N$27,MATCH(FWD!$F$3,Sheet1!$B$5:$B$27,0),MATCH(FWD!D5,Sheet1!$B$5:$N$5,0))</f>
        <v>1.35</v>
      </c>
      <c r="G5" s="90">
        <f>BBG!F5-BBG!F7</f>
        <v>3.6899999999999977</v>
      </c>
      <c r="H5" s="90">
        <f>IF(BBG!$D$5=BBG!$J$5,BBG!F7-BBG!L7,BBG!F7-BBG!L6)</f>
        <v>-8.36</v>
      </c>
      <c r="I5" s="90">
        <v>0</v>
      </c>
      <c r="J5" s="220">
        <f>SUM(F5:I5)</f>
        <v>-3.3200000000000021</v>
      </c>
      <c r="K5" s="509">
        <f>BBG!G64+FWD!F5</f>
        <v>-5.6333000000000002</v>
      </c>
      <c r="L5" s="95"/>
      <c r="M5" s="114">
        <f t="shared" ref="M5:M40" si="3">EOMONTH(E5,0)</f>
        <v>46356</v>
      </c>
      <c r="N5" s="112">
        <f>AVERAGE(VLOOKUP($C5,Freight!$A$3:$F$17,MATCH(FWD!$N$41,Freight!$A$3:$F$3,0),FALSE),VLOOKUP($C4,Freight!$A$3:$F$17,MATCH(FWD!$N$41,Freight!$A$3:$F$3,0),FALSE))+$B$7</f>
        <v>16.705575</v>
      </c>
      <c r="O5" s="113">
        <f>VLOOKUP(EOMONTH(M5,0),BBG!$N$63:$R$123,5,FALSE)</f>
        <v>3.33</v>
      </c>
      <c r="P5" s="209">
        <f t="shared" si="0"/>
        <v>10.055574999999997</v>
      </c>
      <c r="Q5" s="209">
        <f t="shared" ref="Q5:Q40" si="4">$B$5</f>
        <v>0.03</v>
      </c>
      <c r="R5" s="215">
        <f>VLOOKUP($C5,Freight!$A$3:$F$17,MATCH(FWD!$U$41,Freight!$A$3:$F$3,0),FALSE)</f>
        <v>3.1428750000000001</v>
      </c>
      <c r="S5" s="209" t="e">
        <f>INDEX(BBG!$H$4:$L$53,MATCH(FWD!$M5,BBG!$H$4:$H$53,0),MATCH("Settle",BBG!$H$4:$L$4,0))-INDEX(BBG!$H$4:$L$53,MATCH(FWD!$M7,BBG!$H$4:$H$53,0),MATCH("Settle",BBG!$H$4:$L$4,0))</f>
        <v>#N/A</v>
      </c>
      <c r="T5" s="209">
        <f t="shared" ref="T5" si="5">O5</f>
        <v>3.33</v>
      </c>
      <c r="U5" s="209" t="e">
        <f>SUM(Q5:S5)-T5</f>
        <v>#N/A</v>
      </c>
      <c r="V5" s="265" t="str">
        <f>IFERROR(U5-P5,"Expired")</f>
        <v>Expired</v>
      </c>
      <c r="W5" s="98"/>
      <c r="X5" s="114">
        <f>EOMONTH(M5,1)</f>
        <v>46387</v>
      </c>
      <c r="Y5" s="217">
        <f>IF(BBG!$D$5=BBG!$J$5,BBG!L7-BBG!L8,BBG!L6-BBG!L7)</f>
        <v>2.2399999999999949</v>
      </c>
      <c r="Z5" s="215">
        <f>VLOOKUP($C5,Freight!$A$3:$F$17,MATCH(FWD!$N$41,Freight!$A$3:$F$3,0),FALSE)+$B$7</f>
        <v>16.2225</v>
      </c>
      <c r="AA5" s="216">
        <f>VLOOKUP(EOMONTH(X5,0),BBG!$N$63:$R$123,5,FALSE)</f>
        <v>2.61</v>
      </c>
      <c r="AB5" s="210">
        <f t="shared" si="1"/>
        <v>12.532499999999994</v>
      </c>
      <c r="AC5" s="210">
        <f>U6</f>
        <v>5.2938928571428505</v>
      </c>
      <c r="AD5" s="487">
        <f t="shared" ref="AD5:AD13" si="6">IFERROR(AC5-AB5,"Expired")</f>
        <v>-7.238607142857143</v>
      </c>
      <c r="AF5" s="119">
        <f t="shared" ref="AF5:AF40" si="7">EOMONTH(E5,2)</f>
        <v>46418</v>
      </c>
      <c r="AG5" s="120">
        <f>Y5</f>
        <v>2.2399999999999949</v>
      </c>
      <c r="AH5" s="120">
        <f>VLOOKUP($C4,Freight!$A$3:$F$17,MATCH(FWD!$AH$41,Freight!$A$3:$F$3,0),FALSE)</f>
        <v>26.349086341704943</v>
      </c>
      <c r="AI5" s="120">
        <f>VLOOKUP(X5,BBG!$U$63:$Y$123,4,FALSE)</f>
        <v>0.60699999999999998</v>
      </c>
      <c r="AJ5" s="228">
        <f t="shared" ref="AJ5:AJ40" si="8">AI5+J5+AH5+AG5</f>
        <v>25.876086341704937</v>
      </c>
      <c r="AL5" s="119">
        <f t="shared" ref="AL5:AL40" si="9">EOMONTH(E5,1)</f>
        <v>46387</v>
      </c>
      <c r="AM5" s="231">
        <f>VLOOKUP(AL5,BBG!$AE$64:$AJ$100,6,FALSE)</f>
        <v>9.5545000000000044</v>
      </c>
      <c r="AN5" s="231">
        <f>Y6</f>
        <v>1.7000000000000028</v>
      </c>
      <c r="AO5" s="120">
        <f>VLOOKUP($C5,Freight!$A$3:$G$22,MATCH(FWD!$AO$41,Freight!$A$3:$G$3,0),FALSE)</f>
        <v>27.223559999999999</v>
      </c>
      <c r="AP5" s="120">
        <f>AI5</f>
        <v>0.60699999999999998</v>
      </c>
      <c r="AQ5" s="119">
        <f t="shared" ref="AQ5:AQ40" si="10">AF5</f>
        <v>46418</v>
      </c>
      <c r="AR5" s="266">
        <f>AM5+AN5+AO5+AP5</f>
        <v>39.085060000000006</v>
      </c>
      <c r="AT5" s="233">
        <f t="shared" ref="AT5:AT40" si="11">-(AJ5-AR5)</f>
        <v>13.208973658295069</v>
      </c>
      <c r="AU5" s="125"/>
    </row>
    <row r="6" spans="1:59" x14ac:dyDescent="0.35">
      <c r="A6" t="s">
        <v>192</v>
      </c>
      <c r="B6" s="71">
        <f>USG!D29</f>
        <v>3</v>
      </c>
      <c r="C6" s="171">
        <f>E6</f>
        <v>46387</v>
      </c>
      <c r="D6" s="87">
        <f t="shared" si="2"/>
        <v>46357</v>
      </c>
      <c r="E6" s="108">
        <f>EOMONTH(E5,1)</f>
        <v>46387</v>
      </c>
      <c r="F6" s="213">
        <f>+INDEX(Sheet1!$B$5:$N$27,MATCH(FWD!$F$3,Sheet1!$B$5:$B$27,0),MATCH(FWD!D6,Sheet1!$B$5:$N$5,0))</f>
        <v>1</v>
      </c>
      <c r="G6" s="214">
        <f>BBG!F6-BBG!F8</f>
        <v>3.3100000000000023</v>
      </c>
      <c r="H6" s="214">
        <f>IF(BBG!$D$5=BBG!$J$5,BBG!F8-BBG!L8,BBG!F8-BBG!L7)</f>
        <v>-7.7400000000000091</v>
      </c>
      <c r="I6" s="214">
        <f t="shared" ref="I6:I40" si="12">I5</f>
        <v>0</v>
      </c>
      <c r="J6" s="221">
        <f t="shared" ref="J6:J40" si="13">SUM(F6:I6)</f>
        <v>-3.4300000000000068</v>
      </c>
      <c r="K6" s="509">
        <f>BBG!G65+FWD!F6</f>
        <v>-5.4854999999999876</v>
      </c>
      <c r="L6" s="95"/>
      <c r="M6" s="114">
        <f t="shared" si="3"/>
        <v>46387</v>
      </c>
      <c r="N6" s="215">
        <f>AVERAGE(VLOOKUP($C6,Freight!$A$3:$F$17,MATCH(FWD!$N$41,Freight!$A$3:$F$3,0),FALSE),VLOOKUP($C5,Freight!$A$3:$F$17,MATCH(FWD!$N$41,Freight!$A$3:$F$3,0),FALSE))+$B$7</f>
        <v>14.504899999999999</v>
      </c>
      <c r="O6" s="216">
        <f>VLOOKUP(EOMONTH(M6,0),BBG!$N$63:$R$123,5,FALSE)</f>
        <v>2.61</v>
      </c>
      <c r="P6" s="209">
        <f>J6+N6-O6</f>
        <v>8.464899999999993</v>
      </c>
      <c r="Q6" s="209">
        <f t="shared" si="4"/>
        <v>0.03</v>
      </c>
      <c r="R6" s="215">
        <f>VLOOKUP($C6,Freight!$A$3:$F$17,MATCH(FWD!$U$41,Freight!$A$3:$F$3,0),FALSE)</f>
        <v>2.6938928571428575</v>
      </c>
      <c r="S6" s="209">
        <f>INDEX(BBG!$H$4:$L$53,MATCH(FWD!$M6,BBG!$H$4:$H$53,0),MATCH("Settle",BBG!$H$4:$L$4,0))-INDEX(BBG!$H$4:$L$53,MATCH(FWD!$M8,BBG!$H$4:$H$53,0),MATCH("Settle",BBG!$H$4:$L$4,0))</f>
        <v>5.1799999999999926</v>
      </c>
      <c r="T6" s="209">
        <f t="shared" ref="T6:T40" si="14">O6</f>
        <v>2.61</v>
      </c>
      <c r="U6" s="209">
        <f t="shared" ref="U6:U40" si="15">SUM(Q6:S6)-T6</f>
        <v>5.2938928571428505</v>
      </c>
      <c r="V6" s="237">
        <f t="shared" ref="V6:V13" si="16">IFERROR(U6-P6,"Expired")</f>
        <v>-3.1710071428571425</v>
      </c>
      <c r="W6" s="98"/>
      <c r="X6" s="114">
        <f t="shared" ref="X6:X40" si="17">EOMONTH(M6,1)</f>
        <v>46418</v>
      </c>
      <c r="Y6" s="217">
        <f>IF(BBG!$D$5=BBG!$J$5,BBG!L8-BBG!L9,BBG!L7-BBG!L8)</f>
        <v>1.7000000000000028</v>
      </c>
      <c r="Z6" s="215">
        <f>VLOOKUP($C6,Freight!$A$3:$F$17,MATCH(FWD!$N$41,Freight!$A$3:$F$3,0),FALSE)+$B$7</f>
        <v>12.7873</v>
      </c>
      <c r="AA6" s="216">
        <f>VLOOKUP(EOMONTH(X6,0),BBG!$N$63:$R$123,5,FALSE)</f>
        <v>2.0299999999999998</v>
      </c>
      <c r="AB6" s="210">
        <f t="shared" si="1"/>
        <v>9.0272999999999968</v>
      </c>
      <c r="AC6" s="210">
        <f t="shared" ref="AC6:AC40" si="18">U7</f>
        <v>3.845847200676912</v>
      </c>
      <c r="AD6" s="237">
        <f t="shared" si="6"/>
        <v>-5.1814527993230843</v>
      </c>
      <c r="AF6" s="121">
        <f t="shared" si="7"/>
        <v>46446</v>
      </c>
      <c r="AG6" s="122">
        <f>IF(BBG!$D$5=BBG!$J$5,BBG!L8-BBG!L10,BBG!L7-BBG!L9)*2/3</f>
        <v>2.1200000000000045</v>
      </c>
      <c r="AH6" s="122">
        <f>VLOOKUP($C6,Freight!$A$3:$F$17,MATCH(FWD!$AH$41,Freight!$A$3:$F$3,0),FALSE)+$B$7</f>
        <v>19.152013170973238</v>
      </c>
      <c r="AI6" s="122">
        <f>VLOOKUP(X6,BBG!$U$63:$Y$123,4,FALSE)</f>
        <v>0.52700000000000002</v>
      </c>
      <c r="AJ6" s="229">
        <f t="shared" si="8"/>
        <v>18.369013170973236</v>
      </c>
      <c r="AL6" s="121">
        <f t="shared" si="9"/>
        <v>46418</v>
      </c>
      <c r="AM6" s="227">
        <f>VLOOKUP(AL6,BBG!$AE$64:$AJ$100,6,FALSE)</f>
        <v>3.4440000000000026</v>
      </c>
      <c r="AN6" s="227">
        <f t="shared" ref="AN6:AN40" si="19">Y7</f>
        <v>1.480000000000004</v>
      </c>
      <c r="AO6" s="122">
        <f>VLOOKUP($C6,Freight!$A$3:$G$22,MATCH(FWD!$AO$41,Freight!$A$3:$G$3,0),FALSE)</f>
        <v>23.23164375</v>
      </c>
      <c r="AP6" s="122">
        <f t="shared" ref="AP6:AP40" si="20">AI6</f>
        <v>0.52700000000000002</v>
      </c>
      <c r="AQ6" s="121">
        <f t="shared" si="10"/>
        <v>46446</v>
      </c>
      <c r="AR6" s="267">
        <f t="shared" ref="AR6:AR40" si="21">AM6+AN6+AO6+AP6</f>
        <v>28.682643750000008</v>
      </c>
      <c r="AT6" s="234">
        <f t="shared" si="11"/>
        <v>10.313630579026771</v>
      </c>
      <c r="AU6" s="125"/>
    </row>
    <row r="7" spans="1:59" x14ac:dyDescent="0.35">
      <c r="A7" t="s">
        <v>193</v>
      </c>
      <c r="B7" s="71">
        <v>0.12</v>
      </c>
      <c r="C7" s="171">
        <f>E7</f>
        <v>46418</v>
      </c>
      <c r="D7" s="87">
        <f t="shared" si="2"/>
        <v>46388</v>
      </c>
      <c r="E7" s="108">
        <f>EOMONTH(E6,1)</f>
        <v>46418</v>
      </c>
      <c r="F7" s="213">
        <f>+INDEX(Sheet1!$B$5:$N$27,MATCH(FWD!$F$3,Sheet1!$B$5:$B$27,0),MATCH(FWD!D7,Sheet1!$B$5:$N$5,0))</f>
        <v>1.2</v>
      </c>
      <c r="G7" s="214">
        <f>BBG!F7-BBG!F9</f>
        <v>3.019999999999996</v>
      </c>
      <c r="H7" s="214">
        <f>IF(BBG!$D$5=BBG!$J$5,BBG!F9-BBG!L9,BBG!F9-BBG!L8)</f>
        <v>-7.4399999999999977</v>
      </c>
      <c r="I7" s="214">
        <f t="shared" si="12"/>
        <v>0</v>
      </c>
      <c r="J7" s="221">
        <f t="shared" si="13"/>
        <v>-3.2200000000000015</v>
      </c>
      <c r="K7" s="509">
        <f>BBG!G66+FWD!F7</f>
        <v>-5.2859999999999898</v>
      </c>
      <c r="L7" s="95"/>
      <c r="M7" s="114">
        <f t="shared" si="3"/>
        <v>46418</v>
      </c>
      <c r="N7" s="215">
        <f>AVERAGE(VLOOKUP($C7,Freight!$A$3:$F$17,MATCH(FWD!$N$41,Freight!$A$3:$F$3,0),FALSE),VLOOKUP($C6,Freight!$A$3:$F$17,MATCH(FWD!$N$41,Freight!$A$3:$F$3,0),FALSE))+$B$7</f>
        <v>10.566774702522606</v>
      </c>
      <c r="O7" s="216">
        <f>VLOOKUP(EOMONTH(M7,0),BBG!$N$63:$R$123,5,FALSE)</f>
        <v>2.0299999999999998</v>
      </c>
      <c r="P7" s="209">
        <f t="shared" si="0"/>
        <v>5.3167747025226042</v>
      </c>
      <c r="Q7" s="209">
        <f t="shared" si="4"/>
        <v>0.03</v>
      </c>
      <c r="R7" s="215">
        <f>VLOOKUP($C7,Freight!$A$3:$F$17,MATCH(FWD!$U$41,Freight!$A$3:$F$3,0),FALSE)</f>
        <v>1.9058472006769145</v>
      </c>
      <c r="S7" s="209">
        <f>INDEX(BBG!$H$4:$L$53,MATCH(FWD!$M7,BBG!$H$4:$H$53,0),MATCH("Settle",BBG!$H$4:$L$4,0))-INDEX(BBG!$H$4:$L$53,MATCH(FWD!$M9,BBG!$H$4:$H$53,0),MATCH("Settle",BBG!$H$4:$L$4,0))</f>
        <v>3.9399999999999977</v>
      </c>
      <c r="T7" s="209">
        <f t="shared" si="14"/>
        <v>2.0299999999999998</v>
      </c>
      <c r="U7" s="209">
        <f t="shared" si="15"/>
        <v>3.845847200676912</v>
      </c>
      <c r="V7" s="237">
        <f t="shared" si="16"/>
        <v>-1.4709275018456922</v>
      </c>
      <c r="W7" s="98"/>
      <c r="X7" s="114">
        <f t="shared" si="17"/>
        <v>46446</v>
      </c>
      <c r="Y7" s="217">
        <f>IF(BBG!$D$5=BBG!$J$5,BBG!L9-BBG!L10,BBG!L8-BBG!L9)</f>
        <v>1.480000000000004</v>
      </c>
      <c r="Z7" s="215">
        <f>VLOOKUP($C7,Freight!$A$3:$F$17,MATCH(FWD!$N$41,Freight!$A$3:$F$3,0),FALSE)+$B$7</f>
        <v>8.3462494050452136</v>
      </c>
      <c r="AA7" s="216">
        <f>VLOOKUP(EOMONTH(X7,0),BBG!$N$63:$R$123,5,FALSE)</f>
        <v>1.85</v>
      </c>
      <c r="AB7" s="210">
        <f t="shared" si="1"/>
        <v>4.7562494050452155</v>
      </c>
      <c r="AC7" s="210">
        <f t="shared" si="18"/>
        <v>3.2215251727542022</v>
      </c>
      <c r="AD7" s="237">
        <f t="shared" si="6"/>
        <v>-1.5347242322910133</v>
      </c>
      <c r="AF7" s="121">
        <f t="shared" si="7"/>
        <v>46477</v>
      </c>
      <c r="AG7" s="122">
        <f>IF(BBG!$D$5=BBG!$J$5,BBG!L9-BBG!L11,BBG!L8-BBG!L10)*2/3</f>
        <v>1.8733333333333348</v>
      </c>
      <c r="AH7" s="122">
        <f>VLOOKUP($C7,Freight!$A$3:$F$17,MATCH(FWD!$AH$41,Freight!$A$3:$F$3,0),FALSE)+$B$7</f>
        <v>16.712988780729333</v>
      </c>
      <c r="AI7" s="122">
        <f>VLOOKUP(X7,BBG!$U$63:$Y$123,4,FALSE)</f>
        <v>0.47799999999999998</v>
      </c>
      <c r="AJ7" s="229">
        <f t="shared" si="8"/>
        <v>15.844322114062667</v>
      </c>
      <c r="AL7" s="121">
        <f t="shared" si="9"/>
        <v>46446</v>
      </c>
      <c r="AM7" s="227">
        <f>VLOOKUP(AL7,BBG!$AE$64:$AJ$100,6,FALSE)</f>
        <v>2.1865000000000094</v>
      </c>
      <c r="AN7" s="227">
        <f t="shared" si="19"/>
        <v>1.3299999999999983</v>
      </c>
      <c r="AO7" s="122">
        <f>VLOOKUP($C7,Freight!$A$3:$G$22,MATCH(FWD!$AO$41,Freight!$A$3:$G$3,0),FALSE)</f>
        <v>23.50833621969322</v>
      </c>
      <c r="AP7" s="122">
        <f t="shared" si="20"/>
        <v>0.47799999999999998</v>
      </c>
      <c r="AQ7" s="121">
        <f t="shared" si="10"/>
        <v>46477</v>
      </c>
      <c r="AR7" s="267">
        <f t="shared" si="21"/>
        <v>27.502836219693229</v>
      </c>
      <c r="AT7" s="234">
        <f t="shared" si="11"/>
        <v>11.658514105630562</v>
      </c>
      <c r="AU7" s="125"/>
    </row>
    <row r="8" spans="1:59" x14ac:dyDescent="0.35">
      <c r="B8" s="71">
        <v>0.12</v>
      </c>
      <c r="C8" s="171">
        <f>E8</f>
        <v>46446</v>
      </c>
      <c r="D8" s="87">
        <f t="shared" si="2"/>
        <v>46419</v>
      </c>
      <c r="E8" s="108">
        <f>EOMONTH(E7,1)</f>
        <v>46446</v>
      </c>
      <c r="F8" s="213">
        <f>+INDEX(Sheet1!$B$5:$N$27,MATCH(FWD!$F$3,Sheet1!$B$5:$B$27,0),MATCH(FWD!D8,Sheet1!$B$5:$N$5,0))</f>
        <v>1.4</v>
      </c>
      <c r="G8" s="214">
        <f>BBG!F8-BBG!F10</f>
        <v>2.6599999999999966</v>
      </c>
      <c r="H8" s="214">
        <f>IF(BBG!$D$5=BBG!$J$5,BBG!F10-BBG!L10,BBG!F10-BBG!L9)</f>
        <v>-7.2199999999999989</v>
      </c>
      <c r="I8" s="214">
        <f t="shared" si="12"/>
        <v>0</v>
      </c>
      <c r="J8" s="221">
        <f t="shared" si="13"/>
        <v>-3.1600000000000019</v>
      </c>
      <c r="K8" s="509">
        <f>BBG!G67+FWD!F8</f>
        <v>-4.7634999999999987</v>
      </c>
      <c r="L8" s="95"/>
      <c r="M8" s="114">
        <f t="shared" si="3"/>
        <v>46446</v>
      </c>
      <c r="N8" s="215">
        <f>AVERAGE(VLOOKUP($C8,Freight!$A$3:$F$17,MATCH(FWD!$N$41,Freight!$A$3:$F$3,0),FALSE),VLOOKUP($C7,Freight!$A$3:$F$17,MATCH(FWD!$N$41,Freight!$A$3:$F$3,0),FALSE))+$B$7</f>
        <v>8.1929652546406455</v>
      </c>
      <c r="O8" s="216">
        <f>VLOOKUP(EOMONTH(M8,0),BBG!$N$63:$R$123,5,FALSE)</f>
        <v>1.85</v>
      </c>
      <c r="P8" s="209">
        <f t="shared" si="0"/>
        <v>3.1829652546406435</v>
      </c>
      <c r="Q8" s="209">
        <f t="shared" si="4"/>
        <v>0.03</v>
      </c>
      <c r="R8" s="215">
        <f>VLOOKUP($C8,Freight!$A$3:$F$17,MATCH(FWD!$U$41,Freight!$A$3:$F$3,0),FALSE)</f>
        <v>1.8615251727541955</v>
      </c>
      <c r="S8" s="209">
        <f>INDEX(BBG!$H$4:$L$53,MATCH(FWD!$M8,BBG!$H$4:$H$53,0),MATCH("Settle",BBG!$H$4:$L$4,0))-INDEX(BBG!$H$4:$L$53,MATCH(FWD!$M10,BBG!$H$4:$H$53,0),MATCH("Settle",BBG!$H$4:$L$4,0))</f>
        <v>3.1800000000000068</v>
      </c>
      <c r="T8" s="209">
        <f t="shared" si="14"/>
        <v>1.85</v>
      </c>
      <c r="U8" s="209">
        <f t="shared" si="15"/>
        <v>3.2215251727542022</v>
      </c>
      <c r="V8" s="237">
        <f t="shared" si="16"/>
        <v>3.8559918113558744E-2</v>
      </c>
      <c r="W8" s="98"/>
      <c r="X8" s="114">
        <f t="shared" si="17"/>
        <v>46477</v>
      </c>
      <c r="Y8" s="217">
        <f>IF(BBG!$D$5=BBG!$J$5,BBG!L10-BBG!L11,BBG!L9-BBG!L10)</f>
        <v>1.3299999999999983</v>
      </c>
      <c r="Z8" s="215">
        <f>VLOOKUP($C8,Freight!$A$3:$F$17,MATCH(FWD!$N$41,Freight!$A$3:$F$3,0),FALSE)+$B$7</f>
        <v>8.0396811042360792</v>
      </c>
      <c r="AA8" s="216">
        <f>VLOOKUP(EOMONTH(X8,0),BBG!$N$63:$R$123,5,FALSE)</f>
        <v>1.71</v>
      </c>
      <c r="AB8" s="210">
        <f t="shared" si="1"/>
        <v>4.4996811042360756</v>
      </c>
      <c r="AC8" s="210">
        <f t="shared" si="18"/>
        <v>2.9472031448314793</v>
      </c>
      <c r="AD8" s="237">
        <f t="shared" si="6"/>
        <v>-1.5524779594045963</v>
      </c>
      <c r="AF8" s="121">
        <f t="shared" si="7"/>
        <v>46507</v>
      </c>
      <c r="AG8" s="122">
        <f>IF(BBG!$D$5=BBG!$J$5,BBG!L10-BBG!L12,BBG!L9-BBG!L11)*2/3</f>
        <v>1.7199999999999989</v>
      </c>
      <c r="AH8" s="122">
        <f>VLOOKUP($C8,Freight!$A$3:$F$17,MATCH(FWD!$AH$41,Freight!$A$3:$F$3,0),FALSE)+$B$7</f>
        <v>15.737379024631769</v>
      </c>
      <c r="AI8" s="122">
        <f>VLOOKUP(X8,BBG!$U$63:$Y$123,4,FALSE)</f>
        <v>0.437</v>
      </c>
      <c r="AJ8" s="229">
        <f t="shared" si="8"/>
        <v>14.734379024631766</v>
      </c>
      <c r="AL8" s="121">
        <f t="shared" si="9"/>
        <v>46477</v>
      </c>
      <c r="AM8" s="227">
        <f>VLOOKUP(AL8,BBG!$AE$64:$AJ$100,6,FALSE)</f>
        <v>1.0068000000000126</v>
      </c>
      <c r="AN8" s="227">
        <f t="shared" si="19"/>
        <v>1.25</v>
      </c>
      <c r="AO8" s="122">
        <f>VLOOKUP($C8,Freight!$A$3:$G$22,MATCH(FWD!$AO$41,Freight!$A$3:$G$3,0),FALSE)</f>
        <v>19.622660811479463</v>
      </c>
      <c r="AP8" s="122">
        <f t="shared" si="20"/>
        <v>0.437</v>
      </c>
      <c r="AQ8" s="121">
        <f t="shared" si="10"/>
        <v>46507</v>
      </c>
      <c r="AR8" s="267">
        <f t="shared" si="21"/>
        <v>22.316460811479477</v>
      </c>
      <c r="AT8" s="234">
        <f t="shared" si="11"/>
        <v>7.5820817868477111</v>
      </c>
      <c r="AU8" s="125"/>
    </row>
    <row r="9" spans="1:59" x14ac:dyDescent="0.35">
      <c r="A9" t="s">
        <v>194</v>
      </c>
      <c r="B9" s="71"/>
      <c r="C9" s="171">
        <f t="shared" ref="C9:C40" si="22">E9</f>
        <v>46477</v>
      </c>
      <c r="D9" s="87">
        <f t="shared" si="2"/>
        <v>46447</v>
      </c>
      <c r="E9" s="108">
        <f>EOMONTH(E8,1)</f>
        <v>46477</v>
      </c>
      <c r="F9" s="213">
        <f>+INDEX(Sheet1!$B$5:$N$27,MATCH(FWD!$F$3,Sheet1!$B$5:$B$27,0),MATCH(FWD!D9,Sheet1!$B$5:$N$5,0))</f>
        <v>1.55</v>
      </c>
      <c r="G9" s="214">
        <f>BBG!F9-BBG!F11</f>
        <v>2.3900000000000006</v>
      </c>
      <c r="H9" s="214">
        <f>IF(BBG!$D$5=BBG!$J$5,BBG!F11-BBG!L11,BBG!F11-BBG!L10)</f>
        <v>-7.019999999999996</v>
      </c>
      <c r="I9" s="214">
        <f t="shared" si="12"/>
        <v>0</v>
      </c>
      <c r="J9" s="221">
        <f t="shared" si="13"/>
        <v>-3.0799999999999956</v>
      </c>
      <c r="K9" s="509">
        <f>BBG!G68+FWD!F9</f>
        <v>-4.5931999999999933</v>
      </c>
      <c r="L9" s="95"/>
      <c r="M9" s="114">
        <f t="shared" si="3"/>
        <v>46477</v>
      </c>
      <c r="N9" s="215">
        <f>AVERAGE(VLOOKUP($C9,Freight!$A$3:$F$17,MATCH(FWD!$N$41,Freight!$A$3:$F$3,0),FALSE),VLOOKUP($C8,Freight!$A$3:$F$17,MATCH(FWD!$N$41,Freight!$A$3:$F$3,0),FALSE))+$B$7</f>
        <v>7.8863969538315102</v>
      </c>
      <c r="O9" s="216">
        <f>VLOOKUP(EOMONTH(M9,0),BBG!$N$63:$R$123,5,FALSE)</f>
        <v>1.71</v>
      </c>
      <c r="P9" s="209">
        <f t="shared" si="0"/>
        <v>3.0963969538315146</v>
      </c>
      <c r="Q9" s="209">
        <f t="shared" si="4"/>
        <v>0.03</v>
      </c>
      <c r="R9" s="215">
        <f>VLOOKUP($C9,Freight!$A$3:$F$17,MATCH(FWD!$U$41,Freight!$A$3:$F$3,0),FALSE)</f>
        <v>1.8172031448314767</v>
      </c>
      <c r="S9" s="209">
        <f>INDEX(BBG!$H$4:$L$53,MATCH(FWD!$M9,BBG!$H$4:$H$53,0),MATCH("Settle",BBG!$H$4:$L$4,0))-INDEX(BBG!$H$4:$L$53,MATCH(FWD!$M11,BBG!$H$4:$H$53,0),MATCH("Settle",BBG!$H$4:$L$4,0))</f>
        <v>2.8100000000000023</v>
      </c>
      <c r="T9" s="209">
        <f t="shared" si="14"/>
        <v>1.71</v>
      </c>
      <c r="U9" s="209">
        <f t="shared" si="15"/>
        <v>2.9472031448314793</v>
      </c>
      <c r="V9" s="237">
        <f t="shared" si="16"/>
        <v>-0.14919380900003532</v>
      </c>
      <c r="W9" s="98"/>
      <c r="X9" s="114">
        <f t="shared" si="17"/>
        <v>46507</v>
      </c>
      <c r="Y9" s="217">
        <f>IF(BBG!$D$5=BBG!$J$5,BBG!L11-BBG!L12,BBG!L10-BBG!L11)</f>
        <v>1.25</v>
      </c>
      <c r="Z9" s="215">
        <f>VLOOKUP($C9,Freight!$A$3:$F$17,MATCH(FWD!$N$41,Freight!$A$3:$F$3,0),FALSE)+$B$7</f>
        <v>7.7331128034269403</v>
      </c>
      <c r="AA9" s="216">
        <f>VLOOKUP(EOMONTH(X9,0),BBG!$N$63:$R$123,5,FALSE)</f>
        <v>1.59</v>
      </c>
      <c r="AB9" s="210">
        <f t="shared" si="1"/>
        <v>4.3131128034269448</v>
      </c>
      <c r="AC9" s="210">
        <f t="shared" si="18"/>
        <v>2.5269489493724429</v>
      </c>
      <c r="AD9" s="237">
        <f t="shared" si="6"/>
        <v>-1.786163854054502</v>
      </c>
      <c r="AF9" s="121">
        <f t="shared" si="7"/>
        <v>46538</v>
      </c>
      <c r="AG9" s="122">
        <f>IF(BBG!$D$5=BBG!$J$5,BBG!L11-BBG!L13,BBG!L10-BBG!L12)*2/3</f>
        <v>1.6200000000000045</v>
      </c>
      <c r="AH9" s="122">
        <f>VLOOKUP($C9,Freight!$A$3:$F$17,MATCH(FWD!$AH$41,Freight!$A$3:$F$3,0),FALSE)+$B$7</f>
        <v>14.761769268534211</v>
      </c>
      <c r="AI9" s="122">
        <f>VLOOKUP(X9,BBG!$U$63:$Y$123,4,FALSE)</f>
        <v>0.35699999999999998</v>
      </c>
      <c r="AJ9" s="229">
        <f t="shared" si="8"/>
        <v>13.65876926853422</v>
      </c>
      <c r="AL9" s="121">
        <f t="shared" si="9"/>
        <v>46507</v>
      </c>
      <c r="AM9" s="227" t="e">
        <f>VLOOKUP(AL9,BBG!$AE$64:$AJ$100,6,FALSE)</f>
        <v>#VALUE!</v>
      </c>
      <c r="AN9" s="227">
        <f t="shared" si="19"/>
        <v>1.0999999999999943</v>
      </c>
      <c r="AO9" s="122">
        <f>VLOOKUP($C9,Freight!$A$3:$G$22,MATCH(FWD!$AO$41,Freight!$A$3:$G$3,0),FALSE)</f>
        <v>17.485539336961899</v>
      </c>
      <c r="AP9" s="122">
        <f t="shared" si="20"/>
        <v>0.35699999999999998</v>
      </c>
      <c r="AQ9" s="121">
        <f t="shared" si="10"/>
        <v>46538</v>
      </c>
      <c r="AR9" s="267" t="e">
        <f t="shared" si="21"/>
        <v>#VALUE!</v>
      </c>
      <c r="AT9" s="234" t="e">
        <f t="shared" si="11"/>
        <v>#VALUE!</v>
      </c>
      <c r="AU9" s="125"/>
    </row>
    <row r="10" spans="1:59" x14ac:dyDescent="0.35">
      <c r="B10" s="71"/>
      <c r="C10" s="171">
        <f t="shared" si="22"/>
        <v>46507</v>
      </c>
      <c r="D10" s="87">
        <f t="shared" si="2"/>
        <v>46478</v>
      </c>
      <c r="E10" s="108">
        <f t="shared" ref="E10:E17" si="23">EOMONTH(E9,1)</f>
        <v>46507</v>
      </c>
      <c r="F10" s="213">
        <f>+INDEX(Sheet1!$B$5:$N$27,MATCH(FWD!$F$3,Sheet1!$B$5:$B$27,0),MATCH(FWD!D10,Sheet1!$B$5:$N$5,0))</f>
        <v>1.75</v>
      </c>
      <c r="G10" s="214">
        <f>BBG!F10-BBG!F12</f>
        <v>2.1700000000000017</v>
      </c>
      <c r="H10" s="214">
        <f>IF(BBG!$D$5=BBG!$J$5,BBG!F12-BBG!L12,BBG!F12-BBG!L11)</f>
        <v>-6.8100000000000023</v>
      </c>
      <c r="I10" s="214">
        <f t="shared" si="12"/>
        <v>0</v>
      </c>
      <c r="J10" s="221">
        <f t="shared" si="13"/>
        <v>-2.8900000000000006</v>
      </c>
      <c r="K10" s="509">
        <f>BBG!G69+FWD!F10</f>
        <v>-4.3464000000000027</v>
      </c>
      <c r="L10" s="95"/>
      <c r="M10" s="114">
        <f t="shared" si="3"/>
        <v>46507</v>
      </c>
      <c r="N10" s="215">
        <f>AVERAGE(VLOOKUP($C10,Freight!$A$3:$F$17,MATCH(FWD!$N$41,Freight!$A$3:$F$3,0),FALSE),VLOOKUP($C9,Freight!$A$3:$F$17,MATCH(FWD!$N$41,Freight!$A$3:$F$3,0),FALSE))+$B$7</f>
        <v>7.2988077106139935</v>
      </c>
      <c r="O10" s="216">
        <f>VLOOKUP(EOMONTH(M10,0),BBG!$N$63:$R$123,5,FALSE)</f>
        <v>1.59</v>
      </c>
      <c r="P10" s="209">
        <f t="shared" si="0"/>
        <v>2.818807710613993</v>
      </c>
      <c r="Q10" s="209">
        <f t="shared" si="4"/>
        <v>0.03</v>
      </c>
      <c r="R10" s="215">
        <f>VLOOKUP($C10,Freight!$A$3:$F$17,MATCH(FWD!$U$41,Freight!$A$3:$F$3,0),FALSE)</f>
        <v>1.5069489493724439</v>
      </c>
      <c r="S10" s="209">
        <f>INDEX(BBG!$H$4:$L$53,MATCH(FWD!$M10,BBG!$H$4:$H$53,0),MATCH("Settle",BBG!$H$4:$L$4,0))-INDEX(BBG!$H$4:$L$53,MATCH(FWD!$M12,BBG!$H$4:$H$53,0),MATCH("Settle",BBG!$H$4:$L$4,0))</f>
        <v>2.5799999999999983</v>
      </c>
      <c r="T10" s="209">
        <f t="shared" si="14"/>
        <v>1.59</v>
      </c>
      <c r="U10" s="209">
        <f t="shared" si="15"/>
        <v>2.5269489493724429</v>
      </c>
      <c r="V10" s="237">
        <f t="shared" si="16"/>
        <v>-0.29185876124155019</v>
      </c>
      <c r="W10" s="98"/>
      <c r="X10" s="114">
        <f t="shared" si="17"/>
        <v>46538</v>
      </c>
      <c r="Y10" s="217">
        <f>IF(BBG!$D$5=BBG!$J$5,BBG!L13-BBG!L14,BBG!L12-BBG!L13)</f>
        <v>1.0999999999999943</v>
      </c>
      <c r="Z10" s="215">
        <f>VLOOKUP($C10,Freight!$A$3:$F$17,MATCH(FWD!$N$41,Freight!$A$3:$F$3,0),FALSE)+$B$7</f>
        <v>6.8645026178010458</v>
      </c>
      <c r="AA10" s="216">
        <f>VLOOKUP(EOMONTH(X10,0),BBG!$N$63:$R$123,5,FALSE)</f>
        <v>1.44</v>
      </c>
      <c r="AB10" s="210">
        <f t="shared" si="1"/>
        <v>3.6345026178010396</v>
      </c>
      <c r="AC10" s="210">
        <f t="shared" si="18"/>
        <v>2.5269489493724508</v>
      </c>
      <c r="AD10" s="237">
        <f t="shared" si="6"/>
        <v>-1.1075536684285887</v>
      </c>
      <c r="AF10" s="121">
        <f t="shared" si="7"/>
        <v>46568</v>
      </c>
      <c r="AG10" s="122">
        <f>IF(BBG!$D$5=BBG!$J$5,BBG!L12-BBG!L14,BBG!L11-BBG!L13)*2/3</f>
        <v>1.5200000000000007</v>
      </c>
      <c r="AH10" s="122">
        <f>VLOOKUP($C10,Freight!$A$3:$F$17,MATCH(FWD!$AH$41,Freight!$A$3:$F$3,0),FALSE)+$B$7</f>
        <v>12.322744878290306</v>
      </c>
      <c r="AI10" s="122">
        <f>VLOOKUP(X10,BBG!$U$63:$Y$123,4,FALSE)</f>
        <v>0.307</v>
      </c>
      <c r="AJ10" s="229">
        <f t="shared" si="8"/>
        <v>11.259744878290308</v>
      </c>
      <c r="AL10" s="121">
        <f t="shared" si="9"/>
        <v>46538</v>
      </c>
      <c r="AM10" s="227" t="e">
        <f>VLOOKUP(AL10,BBG!$AE$64:$AJ$100,6,FALSE)</f>
        <v>#VALUE!</v>
      </c>
      <c r="AN10" s="227">
        <f t="shared" si="19"/>
        <v>1.019999999999996</v>
      </c>
      <c r="AO10" s="122">
        <f>VLOOKUP($C10,Freight!$A$3:$G$22,MATCH(FWD!$AO$41,Freight!$A$3:$G$3,0),FALSE)</f>
        <v>15.542701632855021</v>
      </c>
      <c r="AP10" s="122">
        <f t="shared" si="20"/>
        <v>0.307</v>
      </c>
      <c r="AQ10" s="121">
        <f t="shared" si="10"/>
        <v>46568</v>
      </c>
      <c r="AR10" s="267" t="e">
        <f t="shared" si="21"/>
        <v>#VALUE!</v>
      </c>
      <c r="AT10" s="234" t="e">
        <f t="shared" si="11"/>
        <v>#VALUE!</v>
      </c>
      <c r="AU10" s="125"/>
    </row>
    <row r="11" spans="1:59" x14ac:dyDescent="0.35">
      <c r="B11" s="71" t="str">
        <f t="shared" ref="B11:B24" si="24">VLOOKUP(E11,$E$82:$I$118,5,FALSE)</f>
        <v>Q2-27</v>
      </c>
      <c r="C11" s="171">
        <f t="shared" si="22"/>
        <v>46538</v>
      </c>
      <c r="D11" s="87">
        <f t="shared" si="2"/>
        <v>46508</v>
      </c>
      <c r="E11" s="108">
        <f t="shared" si="23"/>
        <v>46538</v>
      </c>
      <c r="F11" s="213">
        <f>+INDEX(Sheet1!$B$5:$N$27,MATCH(FWD!$F$3,Sheet1!$B$5:$B$27,0),MATCH(FWD!D11,Sheet1!$B$5:$N$5,0))</f>
        <v>1.8</v>
      </c>
      <c r="G11" s="214">
        <f>BBG!F11-BBG!F13</f>
        <v>2.0100000000000051</v>
      </c>
      <c r="H11" s="214">
        <f>IF(BBG!$D$5=BBG!$J$5,BBG!F13-BBG!L13,BBG!F13-BBG!L12)</f>
        <v>-6.5999999999999943</v>
      </c>
      <c r="I11" s="214">
        <f t="shared" si="12"/>
        <v>0</v>
      </c>
      <c r="J11" s="221">
        <f t="shared" si="13"/>
        <v>-2.7899999999999894</v>
      </c>
      <c r="K11" s="509">
        <f>BBG!G70+FWD!F11</f>
        <v>-4.0152000000000045</v>
      </c>
      <c r="L11" s="95"/>
      <c r="M11" s="114">
        <f t="shared" si="3"/>
        <v>46538</v>
      </c>
      <c r="N11" s="215">
        <f>IFERROR(VLOOKUP($C11,Freight!$A$3:$F$17,MATCH(FWD!$N$41,Freight!$A$3:$F$3,0),FALSE)+$B$7,VLOOKUP($B11,Freight!$A$3:$F$17,MATCH(FWD!$N$41,Freight!$A$3:$F$3,0),FALSE)+$B$7)</f>
        <v>6.5579343169919087</v>
      </c>
      <c r="O11" s="216">
        <f>VLOOKUP(EOMONTH(M11,0),BBG!$N$63:$R$123,5,FALSE)</f>
        <v>1.44</v>
      </c>
      <c r="P11" s="209">
        <f t="shared" si="0"/>
        <v>2.3279343169919193</v>
      </c>
      <c r="Q11" s="209">
        <f t="shared" si="4"/>
        <v>0.03</v>
      </c>
      <c r="R11" s="215">
        <f>IFERROR(VLOOKUP($C11,Freight!$A$3:$F$22,MATCH(FWD!$U$41,Freight!$A$3:$F$3,0),FALSE),VLOOKUP($B11,Freight!$A$3:$F$22,MATCH(FWD!$U$41,Freight!$A$3:$F$3,0),FALSE))</f>
        <v>1.5069489493724439</v>
      </c>
      <c r="S11" s="209">
        <f>INDEX(BBG!$H$4:$L$53,MATCH(FWD!$M11,BBG!$H$4:$H$53,0),MATCH("Settle",BBG!$H$4:$L$4,0))-INDEX(BBG!$H$4:$L$53,MATCH(FWD!$M13,BBG!$H$4:$H$53,0),MATCH("Settle",BBG!$H$4:$L$4,0))</f>
        <v>2.4300000000000068</v>
      </c>
      <c r="T11" s="209">
        <f t="shared" si="14"/>
        <v>1.44</v>
      </c>
      <c r="U11" s="209">
        <f t="shared" si="15"/>
        <v>2.5269489493724508</v>
      </c>
      <c r="V11" s="237">
        <f t="shared" si="16"/>
        <v>0.19901463238053152</v>
      </c>
      <c r="W11" s="98"/>
      <c r="X11" s="114">
        <f t="shared" si="17"/>
        <v>46568</v>
      </c>
      <c r="Y11" s="217">
        <f>IF(BBG!$D$5=BBG!$J$5,BBG!L14-BBG!L15,BBG!L13-BBG!L14)</f>
        <v>1.019999999999996</v>
      </c>
      <c r="Z11" s="215">
        <f>IFERROR(VLOOKUP($C11,Freight!$A$3:$F$17,MATCH(FWD!$N$41,Freight!$A$3:$F$3,0),FALSE)+$B$7,VLOOKUP($B11,Freight!$A$3:$F$17,MATCH(FWD!$N$41,Freight!$A$3:$F$3,0),FALSE)+$B$7)</f>
        <v>6.5579343169919087</v>
      </c>
      <c r="AA11" s="216">
        <f>VLOOKUP(EOMONTH(X11,0),BBG!$N$63:$R$123,5,FALSE)</f>
        <v>1.32</v>
      </c>
      <c r="AB11" s="210">
        <f t="shared" si="1"/>
        <v>3.467934316991915</v>
      </c>
      <c r="AC11" s="210">
        <f t="shared" si="18"/>
        <v>2.4969489493724453</v>
      </c>
      <c r="AD11" s="237">
        <f t="shared" si="6"/>
        <v>-0.97098536761946974</v>
      </c>
      <c r="AF11" s="121">
        <f t="shared" si="7"/>
        <v>46599</v>
      </c>
      <c r="AG11" s="122">
        <f>IF(BBG!$D$5=BBG!$J$5,BBG!L13-BBG!L15,BBG!L12-BBG!L14)*2/3</f>
        <v>1.4133333333333269</v>
      </c>
      <c r="AH11" s="122">
        <f>VLOOKUP($C11,Freight!$A$3:$F$17,MATCH(FWD!$AH$41,Freight!$A$3:$F$3,0),FALSE)+$B$7</f>
        <v>12.322744878290306</v>
      </c>
      <c r="AI11" s="122">
        <f>VLOOKUP(X11,BBG!$U$63:$Y$123,4,FALSE)</f>
        <v>0.3</v>
      </c>
      <c r="AJ11" s="229">
        <f t="shared" si="8"/>
        <v>11.246078211623644</v>
      </c>
      <c r="AL11" s="121">
        <f t="shared" si="9"/>
        <v>46568</v>
      </c>
      <c r="AM11" s="227" t="e">
        <f>VLOOKUP(AL11,BBG!$AE$64:$AJ$100,6,FALSE)</f>
        <v>#VALUE!</v>
      </c>
      <c r="AN11" s="227">
        <f t="shared" si="19"/>
        <v>0.93000000000000682</v>
      </c>
      <c r="AO11" s="122">
        <f>VLOOKUP($C11,Freight!$A$3:$G$22,MATCH(FWD!$AO$41,Freight!$A$3:$G$3,0),FALSE)</f>
        <v>12.952251360712518</v>
      </c>
      <c r="AP11" s="122">
        <f t="shared" si="20"/>
        <v>0.3</v>
      </c>
      <c r="AQ11" s="121">
        <f t="shared" si="10"/>
        <v>46599</v>
      </c>
      <c r="AR11" s="267" t="e">
        <f t="shared" si="21"/>
        <v>#VALUE!</v>
      </c>
      <c r="AT11" s="234" t="e">
        <f t="shared" si="11"/>
        <v>#VALUE!</v>
      </c>
      <c r="AU11" s="125"/>
    </row>
    <row r="12" spans="1:59" x14ac:dyDescent="0.35">
      <c r="B12" s="71" t="str">
        <f t="shared" si="24"/>
        <v>Q2-27</v>
      </c>
      <c r="C12" s="171">
        <f t="shared" si="22"/>
        <v>46568</v>
      </c>
      <c r="D12" s="87">
        <f t="shared" si="2"/>
        <v>46539</v>
      </c>
      <c r="E12" s="108">
        <f t="shared" si="23"/>
        <v>46568</v>
      </c>
      <c r="F12" s="213">
        <f>+INDEX(Sheet1!$B$5:$N$27,MATCH(FWD!$F$3,Sheet1!$B$5:$B$27,0),MATCH(FWD!D12,Sheet1!$B$5:$N$5,0))</f>
        <v>1.85</v>
      </c>
      <c r="G12" s="214">
        <f>BBG!F12-BBG!F14</f>
        <v>1.8799999999999955</v>
      </c>
      <c r="H12" s="214">
        <f>IF(BBG!$D$5=BBG!$J$5,BBG!F14-BBG!L14,BBG!F14-BBG!L13)</f>
        <v>-6.4099999999999966</v>
      </c>
      <c r="I12" s="214">
        <f t="shared" si="12"/>
        <v>0</v>
      </c>
      <c r="J12" s="221">
        <f t="shared" si="13"/>
        <v>-2.680000000000001</v>
      </c>
      <c r="K12" s="509">
        <f>BBG!G71+FWD!F12</f>
        <v>-3.8635999999999995</v>
      </c>
      <c r="L12" s="95"/>
      <c r="M12" s="114">
        <f t="shared" si="3"/>
        <v>46568</v>
      </c>
      <c r="N12" s="215">
        <f>IFERROR(VLOOKUP($C12,Freight!$A$3:$F$17,MATCH(FWD!$N$41,Freight!$A$3:$F$3,0),FALSE)+$B$7,VLOOKUP($B12,Freight!$A$3:$F$17,MATCH(FWD!$N$41,Freight!$A$3:$F$3,0),FALSE)+$B$7)</f>
        <v>6.5579343169919087</v>
      </c>
      <c r="O12" s="216">
        <f>VLOOKUP(EOMONTH(M12,0),BBG!$N$63:$R$123,5,FALSE)</f>
        <v>1.32</v>
      </c>
      <c r="P12" s="209">
        <f t="shared" si="0"/>
        <v>2.5579343169919078</v>
      </c>
      <c r="Q12" s="209">
        <f t="shared" si="4"/>
        <v>0.03</v>
      </c>
      <c r="R12" s="215">
        <f>IFERROR(VLOOKUP($C12,Freight!$A$3:$F$22,MATCH(FWD!$U$41,Freight!$A$3:$F$3,0),FALSE),VLOOKUP($B12,Freight!$A$3:$F$22,MATCH(FWD!$U$41,Freight!$A$3:$F$3,0),FALSE))</f>
        <v>1.5069489493724439</v>
      </c>
      <c r="S12" s="209">
        <f>INDEX(BBG!$H$4:$L$53,MATCH(FWD!$M12,BBG!$H$4:$H$53,0),MATCH("Settle",BBG!$H$4:$L$4,0))-INDEX(BBG!$H$4:$L$53,MATCH(FWD!$M14,BBG!$H$4:$H$53,0),MATCH("Settle",BBG!$H$4:$L$4,0))</f>
        <v>2.2800000000000011</v>
      </c>
      <c r="T12" s="209">
        <f t="shared" si="14"/>
        <v>1.32</v>
      </c>
      <c r="U12" s="209">
        <f t="shared" si="15"/>
        <v>2.4969489493724453</v>
      </c>
      <c r="V12" s="237">
        <f t="shared" si="16"/>
        <v>-6.0985367619462494E-2</v>
      </c>
      <c r="W12" s="98"/>
      <c r="X12" s="114">
        <f t="shared" si="17"/>
        <v>46599</v>
      </c>
      <c r="Y12" s="217">
        <f>IF(BBG!$D$5=BBG!$J$5,BBG!L15-BBG!L16,BBG!L14-BBG!L15)</f>
        <v>0.93000000000000682</v>
      </c>
      <c r="Z12" s="215">
        <f>IFERROR(VLOOKUP($C12,Freight!$A$3:$F$17,MATCH(FWD!$N$41,Freight!$A$3:$F$3,0),FALSE)+$B$7,VLOOKUP($B12,Freight!$A$3:$F$17,MATCH(FWD!$N$41,Freight!$A$3:$F$3,0),FALSE)+$B$7)</f>
        <v>6.5579343169919087</v>
      </c>
      <c r="AA12" s="216">
        <f>VLOOKUP(EOMONTH(X12,0),BBG!$N$63:$R$123,5,FALSE)</f>
        <v>1.23</v>
      </c>
      <c r="AB12" s="210">
        <f t="shared" si="1"/>
        <v>3.5779343169919149</v>
      </c>
      <c r="AC12" s="210">
        <f t="shared" si="18"/>
        <v>2.3383048935269963</v>
      </c>
      <c r="AD12" s="237">
        <f t="shared" si="6"/>
        <v>-1.2396294234649186</v>
      </c>
      <c r="AF12" s="121">
        <f t="shared" si="7"/>
        <v>46630</v>
      </c>
      <c r="AG12" s="122">
        <f>IF(BBG!$D$5=BBG!$J$5,BBG!L14-BBG!L16,BBG!L13-BBG!L15)*2/3</f>
        <v>1.3000000000000018</v>
      </c>
      <c r="AH12" s="122">
        <f>IFERROR(VLOOKUP($C12,Freight!$A$3:$F$22,MATCH(FWD!$AH$41,Freight!$A$3:$F$3,0),FALSE)+$B$7,VLOOKUP($B12,Freight!$A$3:$F$22,MATCH(FWD!$AH$41,Freight!$A$3:$F$3,0),FALSE)+$B$7)</f>
        <v>12.322744878290306</v>
      </c>
      <c r="AI12" s="122">
        <f>VLOOKUP(X12,BBG!$U$63:$Y$123,4,FALSE)</f>
        <v>0.38900000000000001</v>
      </c>
      <c r="AJ12" s="229">
        <f t="shared" si="8"/>
        <v>11.331744878290307</v>
      </c>
      <c r="AL12" s="121">
        <f t="shared" si="9"/>
        <v>46599</v>
      </c>
      <c r="AM12" s="227" t="e">
        <f>VLOOKUP(AL12,BBG!$AE$64:$AJ$100,6,FALSE)</f>
        <v>#VALUE!</v>
      </c>
      <c r="AN12" s="227">
        <f t="shared" si="19"/>
        <v>0.82999999999999829</v>
      </c>
      <c r="AO12" s="122">
        <f>VLOOKUP($B12,Freight!$A$3:$G$22,MATCH(FWD!$AO$41,Freight!$A$3:$G$3,0),FALSE)</f>
        <v>12.952251360712518</v>
      </c>
      <c r="AP12" s="122">
        <f t="shared" si="20"/>
        <v>0.38900000000000001</v>
      </c>
      <c r="AQ12" s="121">
        <f t="shared" si="10"/>
        <v>46630</v>
      </c>
      <c r="AR12" s="267" t="e">
        <f t="shared" si="21"/>
        <v>#VALUE!</v>
      </c>
      <c r="AT12" s="234" t="e">
        <f t="shared" si="11"/>
        <v>#VALUE!</v>
      </c>
      <c r="AU12" s="125"/>
    </row>
    <row r="13" spans="1:59" s="92" customFormat="1" x14ac:dyDescent="0.35">
      <c r="B13" s="71" t="str">
        <f t="shared" si="24"/>
        <v>Q3-27</v>
      </c>
      <c r="C13" s="171">
        <f t="shared" si="22"/>
        <v>46599</v>
      </c>
      <c r="D13" s="87">
        <f t="shared" si="2"/>
        <v>46569</v>
      </c>
      <c r="E13" s="108">
        <f t="shared" si="23"/>
        <v>46599</v>
      </c>
      <c r="F13" s="213">
        <f>+INDEX(Sheet1!$B$5:$N$27,MATCH(FWD!$F$3,Sheet1!$B$5:$B$27,0),MATCH(FWD!D13,Sheet1!$B$5:$N$5,0))</f>
        <v>1.85</v>
      </c>
      <c r="G13" s="214">
        <f>BBG!F13-BBG!F15</f>
        <v>1.7600000000000051</v>
      </c>
      <c r="H13" s="214">
        <f>IF(BBG!$D$5=BBG!$J$5,BBG!F15-BBG!L15,BBG!F15-BBG!L14)</f>
        <v>-6.2400000000000091</v>
      </c>
      <c r="I13" s="214">
        <f t="shared" si="12"/>
        <v>0</v>
      </c>
      <c r="J13" s="221">
        <f t="shared" si="13"/>
        <v>-2.6300000000000039</v>
      </c>
      <c r="K13" s="509">
        <f>BBG!G72+FWD!F13</f>
        <v>-3.8176999999999963</v>
      </c>
      <c r="L13" s="95"/>
      <c r="M13" s="114">
        <f t="shared" si="3"/>
        <v>46599</v>
      </c>
      <c r="N13" s="215">
        <f>IFERROR(VLOOKUP($C13,Freight!$A$3:$F$17,MATCH(FWD!$N$41,Freight!$A$3:$F$3,0),FALSE)+$B$7,VLOOKUP($B13,Freight!$A$3:$F$17,MATCH(FWD!$N$41,Freight!$A$3:$F$3,0),FALSE)+$B$7)</f>
        <v>5.4849452641599239</v>
      </c>
      <c r="O13" s="216">
        <f>VLOOKUP(EOMONTH(M13,0),BBG!$N$63:$R$123,5,FALSE)</f>
        <v>1.23</v>
      </c>
      <c r="P13" s="209">
        <f t="shared" si="0"/>
        <v>1.62494526415992</v>
      </c>
      <c r="Q13" s="209">
        <f t="shared" si="4"/>
        <v>0.03</v>
      </c>
      <c r="R13" s="215">
        <f>IFERROR(VLOOKUP($C13,Freight!$A$3:$F$22,MATCH(FWD!$U$41,Freight!$A$3:$F$3,0),FALSE),VLOOKUP($B13,Freight!$A$3:$F$22,MATCH(FWD!$U$41,Freight!$A$3:$F$3,0),FALSE))</f>
        <v>1.4183048935270059</v>
      </c>
      <c r="S13" s="209">
        <f>INDEX(BBG!$H$4:$L$53,MATCH(FWD!$M13,BBG!$H$4:$H$53,0),MATCH("Settle",BBG!$H$4:$L$4,0))-INDEX(BBG!$H$4:$L$53,MATCH(FWD!$M15,BBG!$H$4:$H$53,0),MATCH("Settle",BBG!$H$4:$L$4,0))</f>
        <v>2.1199999999999903</v>
      </c>
      <c r="T13" s="209">
        <f t="shared" si="14"/>
        <v>1.23</v>
      </c>
      <c r="U13" s="209">
        <f t="shared" si="15"/>
        <v>2.3383048935269963</v>
      </c>
      <c r="V13" s="237">
        <f t="shared" si="16"/>
        <v>0.71335962936707631</v>
      </c>
      <c r="W13" s="98"/>
      <c r="X13" s="114">
        <f t="shared" si="17"/>
        <v>46630</v>
      </c>
      <c r="Y13" s="217">
        <f>IF(BBG!$D$5=BBG!$J$5,BBG!L16-BBG!L17,BBG!L15-BBG!L16)</f>
        <v>0.82999999999999829</v>
      </c>
      <c r="Z13" s="215">
        <f>IFERROR(VLOOKUP($C13,Freight!$A$3:$F$17,MATCH(FWD!$N$41,Freight!$A$3:$F$3,0),FALSE)+$B$7,VLOOKUP($B13,Freight!$A$3:$F$17,MATCH(FWD!$N$41,Freight!$A$3:$F$3,0),FALSE)+$B$7)</f>
        <v>5.4849452641599239</v>
      </c>
      <c r="AA13" s="216">
        <f>VLOOKUP(EOMONTH(X13,0),BBG!$N$63:$R$123,5,FALSE)</f>
        <v>1.1399999999999999</v>
      </c>
      <c r="AB13" s="210">
        <f t="shared" si="1"/>
        <v>2.5449452641599182</v>
      </c>
      <c r="AC13" s="210">
        <f t="shared" si="18"/>
        <v>2.2583048935270087</v>
      </c>
      <c r="AD13" s="237">
        <f t="shared" si="6"/>
        <v>-0.28664037063290948</v>
      </c>
      <c r="AE13"/>
      <c r="AF13" s="121">
        <f t="shared" si="7"/>
        <v>46660</v>
      </c>
      <c r="AG13" s="122">
        <f>IF(BBG!$D$5=BBG!$J$5,BBG!L15-BBG!L17,BBG!L14-BBG!L16)*2/3</f>
        <v>1.1733333333333367</v>
      </c>
      <c r="AH13" s="122">
        <f>IFERROR(VLOOKUP($C13,Freight!$A$3:$F$22,MATCH(FWD!$AH$41,Freight!$A$3:$F$3,0),FALSE)+$B$7,VLOOKUP($B13,Freight!$A$3:$F$22,MATCH(FWD!$AH$41,Freight!$A$3:$F$3,0),FALSE)+$B$7)</f>
        <v>10.493476585607381</v>
      </c>
      <c r="AI13" s="122">
        <f>VLOOKUP(X13,BBG!$U$63:$Y$123,4,FALSE)</f>
        <v>0.38900000000000001</v>
      </c>
      <c r="AJ13" s="229">
        <f t="shared" si="8"/>
        <v>9.425809918940713</v>
      </c>
      <c r="AK13" s="125"/>
      <c r="AL13" s="121">
        <f t="shared" si="9"/>
        <v>46630</v>
      </c>
      <c r="AM13" s="227" t="e">
        <f>VLOOKUP(AL13,BBG!$AE$64:$AJ$100,6,FALSE)</f>
        <v>#VALUE!</v>
      </c>
      <c r="AN13" s="227">
        <f t="shared" si="19"/>
        <v>0.78000000000000114</v>
      </c>
      <c r="AO13" s="122">
        <f>VLOOKUP($B13,Freight!$A$3:$G$22,MATCH(FWD!$AO$41,Freight!$A$3:$G$3,0),FALSE)</f>
        <v>6.9942157347847598</v>
      </c>
      <c r="AP13" s="122">
        <f t="shared" si="20"/>
        <v>0.38900000000000001</v>
      </c>
      <c r="AQ13" s="121">
        <f t="shared" si="10"/>
        <v>46660</v>
      </c>
      <c r="AR13" s="267" t="e">
        <f t="shared" si="21"/>
        <v>#VALUE!</v>
      </c>
      <c r="AS13" s="125"/>
      <c r="AT13" s="234" t="e">
        <f t="shared" si="11"/>
        <v>#VALUE!</v>
      </c>
      <c r="AU13" s="125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x14ac:dyDescent="0.35">
      <c r="B14" s="71" t="str">
        <f t="shared" si="24"/>
        <v>Q3-27</v>
      </c>
      <c r="C14" s="171">
        <f t="shared" si="22"/>
        <v>46630</v>
      </c>
      <c r="D14" s="87">
        <f t="shared" si="2"/>
        <v>46600</v>
      </c>
      <c r="E14" s="108">
        <f t="shared" si="23"/>
        <v>46630</v>
      </c>
      <c r="F14" s="368">
        <f>+INDEX(Sheet1!$B$5:$N$27,MATCH(FWD!$F$3,Sheet1!$B$5:$B$27,0),MATCH(FWD!D14,Sheet1!$B$5:$N$5,0))</f>
        <v>1.85</v>
      </c>
      <c r="G14" s="214">
        <f>BBG!F14-BBG!F16</f>
        <v>1.6200000000000045</v>
      </c>
      <c r="H14" s="214">
        <f>IF(BBG!$D$5=BBG!$J$5,BBG!F16-BBG!L16,BBG!F16-BBG!L15)</f>
        <v>-6.0799999999999983</v>
      </c>
      <c r="I14" s="214">
        <f t="shared" si="12"/>
        <v>0</v>
      </c>
      <c r="J14" s="221">
        <f t="shared" si="13"/>
        <v>-2.6099999999999937</v>
      </c>
      <c r="K14" s="509">
        <f>BBG!G73+FWD!F14</f>
        <v>-3.6622999999999961</v>
      </c>
      <c r="L14" s="95"/>
      <c r="M14" s="114">
        <f t="shared" si="3"/>
        <v>46630</v>
      </c>
      <c r="N14" s="215">
        <f>IFERROR(VLOOKUP($C14,Freight!$A$3:$F$17,MATCH(FWD!$N$41,Freight!$A$3:$F$3,0),FALSE)+$B$7,VLOOKUP($B14,Freight!$A$3:$F$17,MATCH(FWD!$N$41,Freight!$A$3:$F$3,0),FALSE)+$B$7)</f>
        <v>5.4849452641599239</v>
      </c>
      <c r="O14" s="216">
        <f>VLOOKUP(EOMONTH(M14,0),BBG!$N$63:$R$123,5,FALSE)</f>
        <v>1.1399999999999999</v>
      </c>
      <c r="P14" s="209">
        <f t="shared" si="0"/>
        <v>1.7349452641599303</v>
      </c>
      <c r="Q14" s="209">
        <f t="shared" si="4"/>
        <v>0.03</v>
      </c>
      <c r="R14" s="215">
        <f>IFERROR(VLOOKUP($C14,Freight!$A$3:$F$22,MATCH(FWD!$U$41,Freight!$A$3:$F$3,0),FALSE),VLOOKUP($B14,Freight!$A$3:$F$22,MATCH(FWD!$U$41,Freight!$A$3:$F$3,0),FALSE))</f>
        <v>1.4183048935270059</v>
      </c>
      <c r="S14" s="209">
        <f>INDEX(BBG!$H$4:$L$53,MATCH(FWD!$M14,BBG!$H$4:$H$53,0),MATCH("Settle",BBG!$H$4:$L$4,0))-INDEX(BBG!$H$4:$L$53,MATCH(FWD!$M16,BBG!$H$4:$H$53,0),MATCH("Settle",BBG!$H$4:$L$4,0))</f>
        <v>1.9500000000000028</v>
      </c>
      <c r="T14" s="209">
        <f t="shared" si="14"/>
        <v>1.1399999999999999</v>
      </c>
      <c r="U14" s="209">
        <f t="shared" si="15"/>
        <v>2.2583048935270087</v>
      </c>
      <c r="V14" s="237">
        <f t="shared" ref="V14:V40" si="25">U14-P14</f>
        <v>0.52335962936707836</v>
      </c>
      <c r="W14" s="98"/>
      <c r="X14" s="114">
        <f t="shared" si="17"/>
        <v>46660</v>
      </c>
      <c r="Y14" s="218">
        <f>IF(BBG!$D$5=BBG!$J$5,BBG!L17-BBG!L18,BBG!L16-BBG!L17)</f>
        <v>0.78000000000000114</v>
      </c>
      <c r="Z14" s="215">
        <f>IFERROR(VLOOKUP($C14,Freight!$A$3:$F$17,MATCH(FWD!$N$41,Freight!$A$3:$F$3,0),FALSE)+$B$7,VLOOKUP($B14,Freight!$A$3:$F$17,MATCH(FWD!$N$41,Freight!$A$3:$F$3,0),FALSE)+$B$7)</f>
        <v>5.4849452641599239</v>
      </c>
      <c r="AA14" s="216">
        <f>VLOOKUP(EOMONTH(X14,0),BBG!$N$63:$R$123,5,FALSE)</f>
        <v>1.06</v>
      </c>
      <c r="AB14" s="210">
        <f t="shared" si="1"/>
        <v>2.5949452641599313</v>
      </c>
      <c r="AC14" s="210">
        <f t="shared" si="18"/>
        <v>2.148304893527011</v>
      </c>
      <c r="AD14" s="237">
        <f t="shared" ref="AD14:AD40" si="26">AC14-AB14</f>
        <v>-0.44664037063292028</v>
      </c>
      <c r="AF14" s="121">
        <f t="shared" si="7"/>
        <v>46691</v>
      </c>
      <c r="AG14" s="122">
        <f>IF(BBG!$D$5=BBG!$J$5,BBG!L16-BBG!L18,BBG!L15-BBG!L17)*2/3</f>
        <v>1.073333333333333</v>
      </c>
      <c r="AH14" s="122">
        <f>IFERROR(VLOOKUP($C14,Freight!$A$3:$F$22,MATCH(FWD!$AH$41,Freight!$A$3:$F$3,0),FALSE)+$B$7,VLOOKUP($B14,Freight!$A$3:$F$22,MATCH(FWD!$AH$41,Freight!$A$3:$F$3,0),FALSE)+$B$7)</f>
        <v>10.493476585607381</v>
      </c>
      <c r="AI14" s="122">
        <f>VLOOKUP(X14,BBG!$U$63:$Y$123,4,FALSE)</f>
        <v>0.38900000000000001</v>
      </c>
      <c r="AJ14" s="123">
        <f t="shared" si="8"/>
        <v>9.3458099189407182</v>
      </c>
      <c r="AL14" s="121">
        <f t="shared" si="9"/>
        <v>46660</v>
      </c>
      <c r="AM14" s="227" t="e">
        <f>VLOOKUP(AL14,BBG!$AE$64:$AJ$100,6,FALSE)</f>
        <v>#VALUE!</v>
      </c>
      <c r="AN14" s="227">
        <f t="shared" si="19"/>
        <v>0.73999999999999488</v>
      </c>
      <c r="AO14" s="122">
        <f>VLOOKUP($B14,Freight!$A$3:$G$22,MATCH(FWD!$AO$41,Freight!$A$3:$G$3,0),FALSE)</f>
        <v>6.9942157347847598</v>
      </c>
      <c r="AP14" s="122">
        <f t="shared" si="20"/>
        <v>0.38900000000000001</v>
      </c>
      <c r="AQ14" s="121">
        <f t="shared" si="10"/>
        <v>46691</v>
      </c>
      <c r="AR14" s="267" t="e">
        <f t="shared" si="21"/>
        <v>#VALUE!</v>
      </c>
      <c r="AT14" s="235" t="e">
        <f t="shared" si="11"/>
        <v>#VALUE!</v>
      </c>
      <c r="AU14" s="125"/>
    </row>
    <row r="15" spans="1:59" x14ac:dyDescent="0.35">
      <c r="B15" s="71" t="str">
        <f t="shared" si="24"/>
        <v>Q3-27</v>
      </c>
      <c r="C15" s="171">
        <f t="shared" si="22"/>
        <v>46660</v>
      </c>
      <c r="D15" s="87">
        <f t="shared" si="2"/>
        <v>46631</v>
      </c>
      <c r="E15" s="108">
        <f>EOMONTH(E14,1)</f>
        <v>46660</v>
      </c>
      <c r="F15" s="213">
        <f>+INDEX(Sheet1!$B$5:$N$27,MATCH(FWD!$F$3,Sheet1!$B$5:$B$27,0),MATCH(FWD!D15,Sheet1!$B$5:$N$5,0))</f>
        <v>1.85</v>
      </c>
      <c r="G15" s="214">
        <f>BBG!F15-BBG!F17</f>
        <v>1.4499999999999886</v>
      </c>
      <c r="H15" s="214">
        <f>IF(BBG!$D$5=BBG!$J$5,BBG!F17-BBG!L17,BBG!F17-BBG!L16)</f>
        <v>-5.9299999999999926</v>
      </c>
      <c r="I15" s="214">
        <f t="shared" si="12"/>
        <v>0</v>
      </c>
      <c r="J15" s="221">
        <f t="shared" si="13"/>
        <v>-2.6300000000000039</v>
      </c>
      <c r="K15" s="509">
        <f>BBG!G74+FWD!F15</f>
        <v>-3.5945000000000049</v>
      </c>
      <c r="L15" s="95"/>
      <c r="M15" s="114">
        <f t="shared" si="3"/>
        <v>46660</v>
      </c>
      <c r="N15" s="215">
        <f>IFERROR(VLOOKUP($C15,Freight!$A$3:$F$17,MATCH(FWD!$N$41,Freight!$A$3:$F$3,0),FALSE)+$B$7,VLOOKUP($B15,Freight!$A$3:$F$17,MATCH(FWD!$N$41,Freight!$A$3:$F$3,0),FALSE)+$B$7)</f>
        <v>5.4849452641599239</v>
      </c>
      <c r="O15" s="216">
        <f>VLOOKUP(EOMONTH(M15,0),BBG!$N$63:$R$123,5,FALSE)</f>
        <v>1.06</v>
      </c>
      <c r="P15" s="209">
        <f t="shared" si="0"/>
        <v>1.79494526415992</v>
      </c>
      <c r="Q15" s="209">
        <f t="shared" si="4"/>
        <v>0.03</v>
      </c>
      <c r="R15" s="215">
        <f>IFERROR(VLOOKUP($C15,Freight!$A$3:$F$22,MATCH(FWD!$U$41,Freight!$A$3:$F$3,0),FALSE),VLOOKUP($B15,Freight!$A$3:$F$22,MATCH(FWD!$U$41,Freight!$A$3:$F$3,0),FALSE))</f>
        <v>1.4183048935270059</v>
      </c>
      <c r="S15" s="209">
        <f>INDEX(BBG!$H$4:$L$53,MATCH(FWD!$M15,BBG!$H$4:$H$53,0),MATCH("Settle",BBG!$H$4:$L$4,0))-INDEX(BBG!$H$4:$L$53,MATCH(FWD!$M17,BBG!$H$4:$H$53,0),MATCH("Settle",BBG!$H$4:$L$4,0))</f>
        <v>1.7600000000000051</v>
      </c>
      <c r="T15" s="209">
        <f t="shared" si="14"/>
        <v>1.06</v>
      </c>
      <c r="U15" s="209">
        <f t="shared" si="15"/>
        <v>2.148304893527011</v>
      </c>
      <c r="V15" s="237">
        <f t="shared" si="25"/>
        <v>0.35335962936709109</v>
      </c>
      <c r="W15" s="98"/>
      <c r="X15" s="114">
        <f t="shared" si="17"/>
        <v>46691</v>
      </c>
      <c r="Y15" s="217">
        <f>IF(BBG!$D$5=BBG!$J$5,BBG!L18-BBG!L19,BBG!L17-BBG!L18)</f>
        <v>0.73999999999999488</v>
      </c>
      <c r="Z15" s="215">
        <f>IFERROR(VLOOKUP($C15,Freight!$A$3:$F$17,MATCH(FWD!$N$41,Freight!$A$3:$F$3,0),FALSE)+$B$7,VLOOKUP($B15,Freight!$A$3:$F$17,MATCH(FWD!$N$41,Freight!$A$3:$F$3,0),FALSE)+$B$7)</f>
        <v>5.4849452641599239</v>
      </c>
      <c r="AA15" s="216">
        <f>VLOOKUP(EOMONTH(X15,0),BBG!$N$63:$R$123,5,FALSE)</f>
        <v>0.99</v>
      </c>
      <c r="AB15" s="210">
        <f t="shared" si="1"/>
        <v>2.6049452641599151</v>
      </c>
      <c r="AC15" s="210">
        <f t="shared" si="18"/>
        <v>2.2455930052178807</v>
      </c>
      <c r="AD15" s="237">
        <f t="shared" si="26"/>
        <v>-0.35935225894203437</v>
      </c>
      <c r="AF15" s="121">
        <f t="shared" si="7"/>
        <v>46721</v>
      </c>
      <c r="AG15" s="122">
        <f>IF(BBG!$D$5=BBG!$J$5,BBG!L17-BBG!L19,BBG!L16-BBG!L18)*2/3</f>
        <v>1.0133333333333308</v>
      </c>
      <c r="AH15" s="122">
        <f>IFERROR(VLOOKUP($C15,Freight!$A$3:$F$22,MATCH(FWD!$AH$41,Freight!$A$3:$F$3,0),FALSE)+$B$7,VLOOKUP($B15,Freight!$A$3:$F$22,MATCH(FWD!$AH$41,Freight!$A$3:$F$3,0),FALSE)+$B$7)</f>
        <v>10.493476585607381</v>
      </c>
      <c r="AI15" s="122">
        <f>VLOOKUP(X15,BBG!$U$63:$Y$123,4,FALSE)</f>
        <v>0.41</v>
      </c>
      <c r="AJ15" s="229">
        <f t="shared" si="8"/>
        <v>9.2868099189407065</v>
      </c>
      <c r="AL15" s="121">
        <f t="shared" si="9"/>
        <v>46691</v>
      </c>
      <c r="AM15" s="227" t="e">
        <f>VLOOKUP(AL15,BBG!$AE$64:$AJ$100,6,FALSE)</f>
        <v>#VALUE!</v>
      </c>
      <c r="AN15" s="227">
        <f t="shared" si="19"/>
        <v>0.68999999999999773</v>
      </c>
      <c r="AO15" s="122">
        <f>VLOOKUP($B15,Freight!$A$3:$G$22,MATCH(FWD!$AO$41,Freight!$A$3:$G$3,0),FALSE)</f>
        <v>6.9942157347847598</v>
      </c>
      <c r="AP15" s="122">
        <f t="shared" si="20"/>
        <v>0.41</v>
      </c>
      <c r="AQ15" s="121">
        <f t="shared" si="10"/>
        <v>46721</v>
      </c>
      <c r="AR15" s="267" t="e">
        <f t="shared" si="21"/>
        <v>#VALUE!</v>
      </c>
      <c r="AT15" s="234" t="e">
        <f t="shared" si="11"/>
        <v>#VALUE!</v>
      </c>
      <c r="AU15" s="125"/>
    </row>
    <row r="16" spans="1:59" x14ac:dyDescent="0.35">
      <c r="B16" s="71" t="str">
        <f t="shared" si="24"/>
        <v>Q4-27</v>
      </c>
      <c r="C16" s="171">
        <f t="shared" si="22"/>
        <v>46691</v>
      </c>
      <c r="D16" s="87">
        <f t="shared" si="2"/>
        <v>46661</v>
      </c>
      <c r="E16" s="108">
        <f>EOMONTH(E15,1)</f>
        <v>46691</v>
      </c>
      <c r="F16" s="213">
        <f>IFERROR(INDEX(Sheet1!$B$5:$N$27,MATCH(FWD!$F$3,Sheet1!$B$5:$B$27,0),MATCH(FWD!D16,Sheet1!$B$5:$N$5,0)),F15)</f>
        <v>1.85</v>
      </c>
      <c r="G16" s="214">
        <f>BBG!F16-BBG!F18</f>
        <v>1.3400000000000034</v>
      </c>
      <c r="H16" s="214">
        <f>IF(BBG!$D$5=BBG!$J$5,BBG!F18-BBG!L18,BBG!F18-BBG!L17)</f>
        <v>-5.8100000000000023</v>
      </c>
      <c r="I16" s="214">
        <f t="shared" si="12"/>
        <v>0</v>
      </c>
      <c r="J16" s="221">
        <f t="shared" si="13"/>
        <v>-2.6199999999999988</v>
      </c>
      <c r="K16" s="509">
        <f>BBG!G75+FWD!F16</f>
        <v>-3.4848000000000012</v>
      </c>
      <c r="L16" s="95"/>
      <c r="M16" s="114">
        <f t="shared" si="3"/>
        <v>46691</v>
      </c>
      <c r="N16" s="215">
        <f>IFERROR(VLOOKUP($C16,Freight!$A$3:$F$22,MATCH(FWD!$N$41,Freight!$A$3:$F$3,0),FALSE)+$B$7,VLOOKUP($B16,Freight!$A$3:$F$22,MATCH(FWD!$N$41,Freight!$A$3:$F$3,0),FALSE)+$B$7)</f>
        <v>5.6382294145644929</v>
      </c>
      <c r="O16" s="216">
        <f>VLOOKUP(EOMONTH(M16,0),BBG!$N$63:$R$123,5,FALSE)</f>
        <v>0.99</v>
      </c>
      <c r="P16" s="209">
        <f t="shared" si="0"/>
        <v>2.0282294145644943</v>
      </c>
      <c r="Q16" s="209">
        <f t="shared" si="4"/>
        <v>0.03</v>
      </c>
      <c r="R16" s="215">
        <f>IFERROR(VLOOKUP($C16,Freight!$A$3:$F$22,MATCH(FWD!$U$41,Freight!$A$3:$F$3,0),FALSE),VLOOKUP($B16,Freight!$A$3:$F$22,MATCH(FWD!$U$41,Freight!$A$3:$F$3,0),FALSE))</f>
        <v>1.5955930052178817</v>
      </c>
      <c r="S16" s="209">
        <f>INDEX(BBG!$H$4:$L$53,MATCH(FWD!$M16,BBG!$H$4:$H$53,0),MATCH("Settle",BBG!$H$4:$L$4,0))-INDEX(BBG!$H$4:$L$53,MATCH(FWD!$M18,BBG!$H$4:$H$53,0),MATCH("Settle",BBG!$H$4:$L$4,0))</f>
        <v>1.6099999999999994</v>
      </c>
      <c r="T16" s="209">
        <f t="shared" si="14"/>
        <v>0.99</v>
      </c>
      <c r="U16" s="209">
        <f t="shared" si="15"/>
        <v>2.2455930052178807</v>
      </c>
      <c r="V16" s="238">
        <f t="shared" si="25"/>
        <v>0.2173635906533864</v>
      </c>
      <c r="W16" s="98"/>
      <c r="X16" s="114">
        <f t="shared" si="17"/>
        <v>46721</v>
      </c>
      <c r="Y16" s="217">
        <f>IF(BBG!$D$5=BBG!$J$5,BBG!L19-BBG!L20,BBG!L18-BBG!L19)</f>
        <v>0.68999999999999773</v>
      </c>
      <c r="Z16" s="215">
        <f>IFERROR(VLOOKUP($C17,Freight!$A$3:$F$22,MATCH(FWD!$N$41,Freight!$A$3:$F$3,0),FALSE)+$B$7,VLOOKUP($B17,Freight!$A$3:$F$22,MATCH(FWD!$N$41,Freight!$A$3:$F$3,0),FALSE)+$B$7)</f>
        <v>5.6382294145644929</v>
      </c>
      <c r="AA16" s="216">
        <f>VLOOKUP(EOMONTH(X16,0),BBG!$N$63:$R$123,5,FALSE)</f>
        <v>0.93</v>
      </c>
      <c r="AB16" s="210">
        <f t="shared" si="1"/>
        <v>2.7782294145644917</v>
      </c>
      <c r="AC16" s="210">
        <f t="shared" si="18"/>
        <v>2.2155930052178774</v>
      </c>
      <c r="AD16" s="238">
        <f t="shared" si="26"/>
        <v>-0.5626364093466143</v>
      </c>
      <c r="AF16" s="121">
        <f t="shared" si="7"/>
        <v>46752</v>
      </c>
      <c r="AG16" s="122">
        <f>IF(BBG!$D$5=BBG!$J$5,BBG!L18-BBG!L20,BBG!L17-BBG!L19)*2/3</f>
        <v>0.95333333333332837</v>
      </c>
      <c r="AH16" s="122">
        <f>IFERROR(VLOOKUP($C16,Freight!$A$3:$F$22,MATCH(FWD!$AH$41,Freight!$A$3:$F$3,0),FALSE)+$B$7,VLOOKUP($B16,Freight!$A$3:$F$22,MATCH(FWD!$AH$41,Freight!$A$3:$F$3,0),FALSE)+$B$7)</f>
        <v>11.469086341704942</v>
      </c>
      <c r="AI16" s="122">
        <f>VLOOKUP(X16,BBG!$U$63:$Y$123,4,FALSE)</f>
        <v>0.41</v>
      </c>
      <c r="AJ16" s="229">
        <f t="shared" si="8"/>
        <v>10.212419675038271</v>
      </c>
      <c r="AL16" s="121">
        <f t="shared" si="9"/>
        <v>46721</v>
      </c>
      <c r="AM16" s="227" t="e">
        <f>VLOOKUP(AL16,BBG!$AE$64:$AJ$100,6,FALSE)</f>
        <v>#VALUE!</v>
      </c>
      <c r="AN16" s="227">
        <f t="shared" si="19"/>
        <v>0.60000000000000853</v>
      </c>
      <c r="AO16" s="122">
        <f>VLOOKUP($B16,Freight!$A$3:$G$22,MATCH(FWD!$AO$41,Freight!$A$3:$G$3,0),FALSE)</f>
        <v>5.1809005442850076</v>
      </c>
      <c r="AP16" s="122">
        <f t="shared" si="20"/>
        <v>0.41</v>
      </c>
      <c r="AQ16" s="121">
        <f t="shared" si="10"/>
        <v>46752</v>
      </c>
      <c r="AR16" s="267" t="e">
        <f t="shared" si="21"/>
        <v>#VALUE!</v>
      </c>
      <c r="AT16" s="234" t="e">
        <f t="shared" si="11"/>
        <v>#VALUE!</v>
      </c>
      <c r="AU16" s="226"/>
    </row>
    <row r="17" spans="1:71" x14ac:dyDescent="0.35">
      <c r="B17" s="71" t="str">
        <f t="shared" si="24"/>
        <v>Q4-27</v>
      </c>
      <c r="C17" s="171">
        <f t="shared" si="22"/>
        <v>46721</v>
      </c>
      <c r="D17" t="str">
        <f t="shared" ref="D17:D23" si="27">_xlfn.XLOOKUP(B17,$I$82:$I$125,$J$82:$J$125)</f>
        <v>2Q27</v>
      </c>
      <c r="E17" s="107">
        <f t="shared" si="23"/>
        <v>46721</v>
      </c>
      <c r="F17" s="219">
        <f>INDEX(Sheet1!$B$38:$N$49,MATCH("MEH",Sheet1!$B$38:$B$49,0),MATCH(FWD!D17,Sheet1!$B$38:$N$38,0))</f>
        <v>1.8</v>
      </c>
      <c r="G17" s="90">
        <f>BBG!F17-BBG!F19</f>
        <v>1.2600000000000051</v>
      </c>
      <c r="H17" s="90">
        <f>IF(BBG!$D$5=BBG!$J$5,BBG!F19-BBG!L19,BBG!F19-BBG!L18)</f>
        <v>-5.6700000000000017</v>
      </c>
      <c r="I17" s="90">
        <f t="shared" si="12"/>
        <v>0</v>
      </c>
      <c r="J17" s="220">
        <f t="shared" si="13"/>
        <v>-2.6099999999999968</v>
      </c>
      <c r="K17" s="509">
        <f>BBG!G76+FWD!F17</f>
        <v>-3.4086000000000043</v>
      </c>
      <c r="L17" s="95"/>
      <c r="M17" s="111">
        <f t="shared" si="3"/>
        <v>46721</v>
      </c>
      <c r="N17" s="215">
        <f>IFERROR(VLOOKUP($C17,Freight!$A$3:$F$22,MATCH(FWD!$N$41,Freight!$A$3:$F$3,0),FALSE)+$B$7,VLOOKUP($B17,Freight!$A$3:$F$22,MATCH(FWD!$N$41,Freight!$A$3:$F$3,0),FALSE)+$B$7)</f>
        <v>5.6382294145644929</v>
      </c>
      <c r="O17" s="113">
        <f>VLOOKUP(EOMONTH(M17,0),BBG!$N$63:$R$123,5,FALSE)</f>
        <v>0.93</v>
      </c>
      <c r="P17" s="209">
        <f t="shared" si="0"/>
        <v>2.098229414564496</v>
      </c>
      <c r="Q17" s="209">
        <f t="shared" si="4"/>
        <v>0.03</v>
      </c>
      <c r="R17" s="215">
        <f>IFERROR(VLOOKUP($C17,Freight!$A$3:$F$22,MATCH(FWD!$U$41,Freight!$A$3:$F$3,0),FALSE),VLOOKUP($B17,Freight!$A$3:$F$22,MATCH(FWD!$U$41,Freight!$A$3:$F$3,0),FALSE))</f>
        <v>1.5955930052178817</v>
      </c>
      <c r="S17" s="209">
        <f>INDEX(BBG!$H$4:$L$53,MATCH(FWD!$M17,BBG!$H$4:$H$53,0),MATCH("Settle",BBG!$H$4:$L$4,0))-INDEX(BBG!$H$4:$L$53,MATCH(FWD!$M19,BBG!$H$4:$H$53,0),MATCH("Settle",BBG!$H$4:$L$4,0))</f>
        <v>1.519999999999996</v>
      </c>
      <c r="T17" s="209">
        <f t="shared" si="14"/>
        <v>0.93</v>
      </c>
      <c r="U17" s="209">
        <f t="shared" si="15"/>
        <v>2.2155930052178774</v>
      </c>
      <c r="V17" s="237">
        <f t="shared" si="25"/>
        <v>0.11736359065338142</v>
      </c>
      <c r="W17" s="98"/>
      <c r="X17" s="111">
        <f t="shared" si="17"/>
        <v>46752</v>
      </c>
      <c r="Y17" s="224">
        <f>IF(BBG!$D$5=BBG!$J$5,BBG!L20-BBG!L21,BBG!L19-BBG!L20)</f>
        <v>0.60000000000000853</v>
      </c>
      <c r="Z17" s="215">
        <f>IFERROR(VLOOKUP($C18,Freight!$A$3:$F$22,MATCH(FWD!$N$41,Freight!$A$3:$F$3,0),FALSE)+$B$7,VLOOKUP($B18,Freight!$A$3:$F$22,MATCH(FWD!$N$41,Freight!$A$3:$F$3,0),FALSE)+$B$7)</f>
        <v>5.6382294145644929</v>
      </c>
      <c r="AA17" s="113">
        <f>VLOOKUP(EOMONTH(X17,0),BBG!$N$63:$R$123,5,FALSE)</f>
        <v>0.87</v>
      </c>
      <c r="AB17" s="210">
        <f t="shared" si="1"/>
        <v>2.7582294145645045</v>
      </c>
      <c r="AC17" s="211">
        <f t="shared" si="18"/>
        <v>2.185593005217874</v>
      </c>
      <c r="AD17" s="237">
        <f t="shared" si="26"/>
        <v>-0.57263640934663051</v>
      </c>
      <c r="AF17" s="119">
        <f t="shared" si="7"/>
        <v>46783</v>
      </c>
      <c r="AG17" s="120">
        <f>IF(BBG!$D$5=BBG!$J$5,BBG!L19-BBG!L21,BBG!L18-BBG!L20)*2/3</f>
        <v>0.86000000000000421</v>
      </c>
      <c r="AH17" s="120">
        <f>IFERROR(VLOOKUP($C17,Freight!$A$3:$F$22,MATCH(FWD!$AH$41,Freight!$A$3:$F$3,0),FALSE)+$B$7,VLOOKUP($B17,Freight!$A$3:$F$22,MATCH(FWD!$AH$41,Freight!$A$3:$F$3,0),FALSE)+$B$7)</f>
        <v>11.469086341704942</v>
      </c>
      <c r="AI17" s="120">
        <f>VLOOKUP(X17,BBG!$U$63:$Y$123,4,FALSE)</f>
        <v>0.41</v>
      </c>
      <c r="AJ17" s="228">
        <f t="shared" si="8"/>
        <v>10.12908634170495</v>
      </c>
      <c r="AL17" s="119">
        <f t="shared" si="9"/>
        <v>46752</v>
      </c>
      <c r="AM17" s="231" t="e">
        <f>VLOOKUP(AL17,BBG!$AE$64:$AJ$100,6,FALSE)</f>
        <v>#VALUE!</v>
      </c>
      <c r="AN17" s="231">
        <f t="shared" si="19"/>
        <v>0.53000000000000114</v>
      </c>
      <c r="AO17" s="120">
        <f>VLOOKUP($B17,Freight!$A$3:$G$22,MATCH(FWD!$AO$41,Freight!$A$3:$G$3,0),FALSE)</f>
        <v>5.1809005442850076</v>
      </c>
      <c r="AP17" s="120">
        <f t="shared" si="20"/>
        <v>0.41</v>
      </c>
      <c r="AQ17" s="119">
        <f t="shared" si="10"/>
        <v>46783</v>
      </c>
      <c r="AR17" s="266" t="e">
        <f t="shared" si="21"/>
        <v>#VALUE!</v>
      </c>
      <c r="AT17" s="233" t="e">
        <f t="shared" si="11"/>
        <v>#VALUE!</v>
      </c>
      <c r="AU17" s="125"/>
    </row>
    <row r="18" spans="1:71" x14ac:dyDescent="0.35">
      <c r="B18" s="71" t="str">
        <f t="shared" si="24"/>
        <v>Q4-27</v>
      </c>
      <c r="C18" s="171">
        <f t="shared" si="22"/>
        <v>46752</v>
      </c>
      <c r="D18" t="str">
        <f t="shared" si="27"/>
        <v>2Q27</v>
      </c>
      <c r="E18" s="108">
        <f>EOMONTH(E17,1)</f>
        <v>46752</v>
      </c>
      <c r="F18" s="213">
        <f>INDEX(Sheet1!$B$38:$N$49,MATCH("MEH",Sheet1!$B$38:$B$49,0),MATCH(FWD!D18,Sheet1!$B$38:$N$38,0))</f>
        <v>1.8</v>
      </c>
      <c r="G18" s="214">
        <f>BBG!F18-BBG!F20</f>
        <v>1.1700000000000017</v>
      </c>
      <c r="H18" s="214">
        <f>IF(BBG!$D$5=BBG!$J$5,BBG!F20-BBG!L20,BBG!F20-BBG!L19)</f>
        <v>-5.5500000000000114</v>
      </c>
      <c r="I18" s="214">
        <f t="shared" si="12"/>
        <v>0</v>
      </c>
      <c r="J18" s="221">
        <f t="shared" si="13"/>
        <v>-2.5800000000000098</v>
      </c>
      <c r="K18" s="509">
        <f>BBG!G77+FWD!F18</f>
        <v>-3.3329000000000066</v>
      </c>
      <c r="L18" s="95"/>
      <c r="M18" s="114">
        <f t="shared" si="3"/>
        <v>46752</v>
      </c>
      <c r="N18" s="215">
        <f>IFERROR(VLOOKUP($C18,Freight!$A$3:$F$22,MATCH(FWD!$N$41,Freight!$A$3:$F$3,0),FALSE)+$B$7,VLOOKUP($B18,Freight!$A$3:$F$22,MATCH(FWD!$N$41,Freight!$A$3:$F$3,0),FALSE)+$B$7)</f>
        <v>5.6382294145644929</v>
      </c>
      <c r="O18" s="216">
        <f>VLOOKUP(EOMONTH(M18,0),BBG!$N$63:$R$123,5,FALSE)</f>
        <v>0.87</v>
      </c>
      <c r="P18" s="209">
        <f t="shared" si="0"/>
        <v>2.1882294145644829</v>
      </c>
      <c r="Q18" s="209">
        <f t="shared" si="4"/>
        <v>0.03</v>
      </c>
      <c r="R18" s="215">
        <f>IFERROR(VLOOKUP($C18,Freight!$A$3:$F$22,MATCH(FWD!$U$41,Freight!$A$3:$F$3,0),FALSE),VLOOKUP($B18,Freight!$A$3:$F$22,MATCH(FWD!$U$41,Freight!$A$3:$F$3,0),FALSE))</f>
        <v>1.5955930052178817</v>
      </c>
      <c r="S18" s="209">
        <f>INDEX(BBG!$H$4:$L$53,MATCH(FWD!$M18,BBG!$H$4:$H$53,0),MATCH("Settle",BBG!$H$4:$L$4,0))-INDEX(BBG!$H$4:$L$53,MATCH(FWD!$M20,BBG!$H$4:$H$53,0),MATCH("Settle",BBG!$H$4:$L$4,0))</f>
        <v>1.4299999999999926</v>
      </c>
      <c r="T18" s="209">
        <f t="shared" si="14"/>
        <v>0.87</v>
      </c>
      <c r="U18" s="209">
        <f t="shared" si="15"/>
        <v>2.185593005217874</v>
      </c>
      <c r="V18" s="237">
        <f t="shared" si="25"/>
        <v>-2.6364093466089145E-3</v>
      </c>
      <c r="W18" s="98"/>
      <c r="X18" s="114">
        <f t="shared" si="17"/>
        <v>46783</v>
      </c>
      <c r="Y18" s="217">
        <f>IF(BBG!$D$5=BBG!$J$5,BBG!L21-BBG!L22,BBG!L20-BBG!L21)</f>
        <v>0.53000000000000114</v>
      </c>
      <c r="Z18" s="215">
        <f>IFERROR(VLOOKUP($C19,Freight!$A$3:$F$22,MATCH(FWD!$N$41,Freight!$A$3:$F$3,0),FALSE)+$B$7,VLOOKUP($B19,Freight!$A$3:$F$22,MATCH(FWD!$N$41,Freight!$A$3:$F$3,0),FALSE)+$B$7)</f>
        <v>4.6674297953355541</v>
      </c>
      <c r="AA18" s="216">
        <f>VLOOKUP(EOMONTH(X18,0),BBG!$N$63:$R$123,5,FALSE)</f>
        <v>0.82</v>
      </c>
      <c r="AB18" s="210">
        <f t="shared" si="1"/>
        <v>1.7974297953355456</v>
      </c>
      <c r="AC18" s="210">
        <f t="shared" si="18"/>
        <v>1.9626269214497314</v>
      </c>
      <c r="AD18" s="237">
        <f t="shared" si="26"/>
        <v>0.1651971261141858</v>
      </c>
      <c r="AF18" s="121">
        <f t="shared" si="7"/>
        <v>46812</v>
      </c>
      <c r="AG18" s="122">
        <f>IF(BBG!$D$5=BBG!$J$5,BBG!L20-BBG!L22,BBG!L19-BBG!L21)*2/3</f>
        <v>0.75333333333333974</v>
      </c>
      <c r="AH18" s="122">
        <f>IFERROR(VLOOKUP($C18,Freight!$A$3:$F$22,MATCH(FWD!$AH$41,Freight!$A$3:$F$3,0),FALSE)+$B$7,VLOOKUP($B18,Freight!$A$3:$F$22,MATCH(FWD!$AH$41,Freight!$A$3:$F$3,0),FALSE)+$B$7)</f>
        <v>11.469086341704942</v>
      </c>
      <c r="AI18" s="122">
        <f>VLOOKUP(X18,BBG!$U$63:$Y$123,4,FALSE)</f>
        <v>0.44</v>
      </c>
      <c r="AJ18" s="229">
        <f t="shared" si="8"/>
        <v>10.082419675038272</v>
      </c>
      <c r="AL18" s="121">
        <f t="shared" si="9"/>
        <v>46783</v>
      </c>
      <c r="AM18" s="227" t="e">
        <f>VLOOKUP(AL18,BBG!$AE$64:$AJ$100,6,FALSE)</f>
        <v>#VALUE!</v>
      </c>
      <c r="AN18" s="227">
        <f t="shared" si="19"/>
        <v>0.46999999999999886</v>
      </c>
      <c r="AO18" s="122">
        <f>VLOOKUP($B18,Freight!$A$3:$G$22,MATCH(FWD!$AO$41,Freight!$A$3:$G$3,0),FALSE)</f>
        <v>5.1809005442850076</v>
      </c>
      <c r="AP18" s="122">
        <f t="shared" si="20"/>
        <v>0.44</v>
      </c>
      <c r="AQ18" s="121">
        <f t="shared" si="10"/>
        <v>46812</v>
      </c>
      <c r="AR18" s="267" t="e">
        <f t="shared" si="21"/>
        <v>#VALUE!</v>
      </c>
      <c r="AT18" s="234" t="e">
        <f t="shared" si="11"/>
        <v>#VALUE!</v>
      </c>
      <c r="AU18" s="125"/>
    </row>
    <row r="19" spans="1:71" x14ac:dyDescent="0.35">
      <c r="B19" s="71" t="str">
        <f t="shared" si="24"/>
        <v>Q1-28</v>
      </c>
      <c r="C19" s="171">
        <f t="shared" si="22"/>
        <v>46783</v>
      </c>
      <c r="D19" t="str">
        <f t="shared" si="27"/>
        <v>3Q27</v>
      </c>
      <c r="E19" s="108">
        <f>EOMONTH(E18,1)</f>
        <v>46783</v>
      </c>
      <c r="F19" s="213">
        <f>INDEX(Sheet1!$B$38:$N$49,MATCH("MEH",Sheet1!$B$38:$B$49,0),MATCH(FWD!D19,Sheet1!$B$38:$N$38,0))</f>
        <v>1.85</v>
      </c>
      <c r="G19" s="214">
        <f>BBG!F19-BBG!F21</f>
        <v>1.0799999999999983</v>
      </c>
      <c r="H19" s="214">
        <f>IF(BBG!$D$5=BBG!$J$5,BBG!F21-BBG!L21,BBG!F21-BBG!L20)</f>
        <v>-5.4599999999999937</v>
      </c>
      <c r="I19" s="214">
        <f t="shared" si="12"/>
        <v>0</v>
      </c>
      <c r="J19" s="221">
        <f t="shared" si="13"/>
        <v>-2.5299999999999954</v>
      </c>
      <c r="K19" s="509">
        <f>BBG!G78+FWD!F19</f>
        <v>-3.2547999999999973</v>
      </c>
      <c r="L19" s="95"/>
      <c r="M19" s="114">
        <f t="shared" si="3"/>
        <v>46783</v>
      </c>
      <c r="N19" s="215">
        <f>IFERROR(VLOOKUP($C19,Freight!$A$3:$F$22,MATCH(FWD!$N$41,Freight!$A$3:$F$3,0),FALSE)+$B$7,VLOOKUP($B19,Freight!$A$3:$F$22,MATCH(FWD!$N$41,Freight!$A$3:$F$3,0),FALSE)+$B$7)</f>
        <v>4.6674297953355541</v>
      </c>
      <c r="O19" s="216">
        <f>VLOOKUP(EOMONTH(M19,0),BBG!$N$63:$R$123,5,FALSE)</f>
        <v>0.82</v>
      </c>
      <c r="P19" s="209">
        <f t="shared" si="0"/>
        <v>1.3174297953355589</v>
      </c>
      <c r="Q19" s="209">
        <f t="shared" si="4"/>
        <v>0.03</v>
      </c>
      <c r="R19" s="215">
        <f>IFERROR(VLOOKUP($C19,Freight!$A$3:$F$22,MATCH(FWD!$U$41,Freight!$A$3:$F$3,0),FALSE),VLOOKUP($B19,Freight!$A$3:$F$22,MATCH(FWD!$U$41,Freight!$A$3:$F$3,0),FALSE))</f>
        <v>1.4626269214497249</v>
      </c>
      <c r="S19" s="209">
        <f>INDEX(BBG!$H$4:$L$53,MATCH(FWD!$M19,BBG!$H$4:$H$53,0),MATCH("Settle",BBG!$H$4:$L$4,0))-INDEX(BBG!$H$4:$L$53,MATCH(FWD!$M21,BBG!$H$4:$H$53,0),MATCH("Settle",BBG!$H$4:$L$4,0))</f>
        <v>1.2900000000000063</v>
      </c>
      <c r="T19" s="209">
        <f t="shared" si="14"/>
        <v>0.82</v>
      </c>
      <c r="U19" s="209">
        <f t="shared" si="15"/>
        <v>1.9626269214497314</v>
      </c>
      <c r="V19" s="237">
        <f t="shared" si="25"/>
        <v>0.64519712611417246</v>
      </c>
      <c r="W19" s="98"/>
      <c r="X19" s="114">
        <f t="shared" si="17"/>
        <v>46812</v>
      </c>
      <c r="Y19" s="217">
        <f>IF(BBG!$D$5=BBG!$J$5,BBG!L22-BBG!L23,BBG!L21-BBG!L22)</f>
        <v>0.46999999999999886</v>
      </c>
      <c r="Z19" s="215">
        <f>IFERROR(VLOOKUP($C20,Freight!$A$3:$F$22,MATCH(FWD!$N$41,Freight!$A$3:$F$3,0),FALSE)+$B$7,VLOOKUP($B20,Freight!$A$3:$F$22,MATCH(FWD!$N$41,Freight!$A$3:$F$3,0),FALSE)+$B$7)</f>
        <v>4.6674297953355541</v>
      </c>
      <c r="AA19" s="216">
        <f>VLOOKUP(EOMONTH(X19,0),BBG!$N$63:$R$123,5,FALSE)</f>
        <v>0.76</v>
      </c>
      <c r="AB19" s="210">
        <f t="shared" si="1"/>
        <v>1.8474297953355576</v>
      </c>
      <c r="AC19" s="210">
        <f t="shared" si="18"/>
        <v>1.8626269214497346</v>
      </c>
      <c r="AD19" s="237">
        <f t="shared" si="26"/>
        <v>1.5197126114177006E-2</v>
      </c>
      <c r="AF19" s="121">
        <f t="shared" si="7"/>
        <v>46843</v>
      </c>
      <c r="AG19" s="122">
        <f>IF(BBG!$D$5=BBG!$J$5,BBG!L21-BBG!L23,BBG!L20-BBG!L22)*2/3</f>
        <v>0.66666666666666663</v>
      </c>
      <c r="AH19" s="122">
        <f>IFERROR(VLOOKUP($C19,Freight!$A$3:$F$22,MATCH(FWD!$AH$41,Freight!$A$3:$F$3,0),FALSE)+$B$7,VLOOKUP($B19,Freight!$A$3:$F$22,MATCH(FWD!$AH$41,Freight!$A$3:$F$3,0),FALSE)+$B$7)</f>
        <v>11.712988780729331</v>
      </c>
      <c r="AI19" s="122">
        <f>VLOOKUP(X19,BBG!$U$63:$Y$123,4,FALSE)</f>
        <v>0.44</v>
      </c>
      <c r="AJ19" s="229">
        <f t="shared" si="8"/>
        <v>10.289655447396003</v>
      </c>
      <c r="AL19" s="121">
        <f t="shared" si="9"/>
        <v>46812</v>
      </c>
      <c r="AM19" s="227" t="e">
        <f>VLOOKUP(AL19,BBG!$AE$64:$AJ$100,6,FALSE)</f>
        <v>#VALUE!</v>
      </c>
      <c r="AN19" s="227">
        <f t="shared" si="19"/>
        <v>0.43999999999999773</v>
      </c>
      <c r="AO19" s="122">
        <f>VLOOKUP($B19,Freight!$A$3:$G$22,MATCH(FWD!$AO$41,Freight!$A$3:$G$3,0),FALSE)</f>
        <v>3.8727231568530431</v>
      </c>
      <c r="AP19" s="122">
        <f t="shared" si="20"/>
        <v>0.44</v>
      </c>
      <c r="AQ19" s="121">
        <f t="shared" si="10"/>
        <v>46843</v>
      </c>
      <c r="AR19" s="267" t="e">
        <f t="shared" si="21"/>
        <v>#VALUE!</v>
      </c>
      <c r="AT19" s="234" t="e">
        <f t="shared" si="11"/>
        <v>#VALUE!</v>
      </c>
      <c r="AU19" s="125"/>
    </row>
    <row r="20" spans="1:71" x14ac:dyDescent="0.35">
      <c r="B20" s="71" t="str">
        <f t="shared" si="24"/>
        <v>Q1-28</v>
      </c>
      <c r="C20" s="171">
        <f t="shared" si="22"/>
        <v>46812</v>
      </c>
      <c r="D20" t="str">
        <f t="shared" si="27"/>
        <v>3Q27</v>
      </c>
      <c r="E20" s="108">
        <f>EOMONTH(E19,1)</f>
        <v>46812</v>
      </c>
      <c r="F20" s="213">
        <f>INDEX(Sheet1!$B$38:$N$49,MATCH("MEH",Sheet1!$B$38:$B$49,0),MATCH(FWD!D20,Sheet1!$B$38:$N$38,0))</f>
        <v>1.85</v>
      </c>
      <c r="G20" s="214">
        <f>BBG!F20-BBG!F22</f>
        <v>0.97999999999998977</v>
      </c>
      <c r="H20" s="214">
        <f>IF(BBG!$D$5=BBG!$J$5,BBG!F22-BBG!L22,BBG!F22-BBG!L21)</f>
        <v>-5.3999999999999915</v>
      </c>
      <c r="I20" s="214">
        <f t="shared" si="12"/>
        <v>0</v>
      </c>
      <c r="J20" s="221">
        <f t="shared" si="13"/>
        <v>-2.5700000000000016</v>
      </c>
      <c r="K20" s="509">
        <f>BBG!G79+FWD!F20</f>
        <v>-3.1775999999999924</v>
      </c>
      <c r="L20" s="95"/>
      <c r="M20" s="114">
        <f t="shared" si="3"/>
        <v>46812</v>
      </c>
      <c r="N20" s="215">
        <f>IFERROR(VLOOKUP($C20,Freight!$A$3:$F$22,MATCH(FWD!$N$41,Freight!$A$3:$F$3,0),FALSE)+$B$7,VLOOKUP($B20,Freight!$A$3:$F$22,MATCH(FWD!$N$41,Freight!$A$3:$F$3,0),FALSE)+$B$7)</f>
        <v>4.6674297953355541</v>
      </c>
      <c r="O20" s="216">
        <f>VLOOKUP(EOMONTH(M20,0),BBG!$N$63:$R$123,5,FALSE)</f>
        <v>0.76</v>
      </c>
      <c r="P20" s="209">
        <f t="shared" si="0"/>
        <v>1.3374297953355525</v>
      </c>
      <c r="Q20" s="209">
        <f t="shared" si="4"/>
        <v>0.03</v>
      </c>
      <c r="R20" s="215">
        <f>IFERROR(VLOOKUP($C20,Freight!$A$3:$F$22,MATCH(FWD!$U$41,Freight!$A$3:$F$3,0),FALSE),VLOOKUP($B20,Freight!$A$3:$F$22,MATCH(FWD!$U$41,Freight!$A$3:$F$3,0),FALSE))</f>
        <v>1.4626269214497249</v>
      </c>
      <c r="S20" s="209">
        <f>INDEX(BBG!$H$4:$L$53,MATCH(FWD!$M20,BBG!$H$4:$H$53,0),MATCH("Settle",BBG!$H$4:$L$4,0))-INDEX(BBG!$H$4:$L$53,MATCH(FWD!$M22,BBG!$H$4:$H$53,0),MATCH("Settle",BBG!$H$4:$L$4,0))</f>
        <v>1.1300000000000097</v>
      </c>
      <c r="T20" s="209">
        <f t="shared" si="14"/>
        <v>0.76</v>
      </c>
      <c r="U20" s="209">
        <f t="shared" si="15"/>
        <v>1.8626269214497346</v>
      </c>
      <c r="V20" s="237">
        <f t="shared" si="25"/>
        <v>0.52519712611418212</v>
      </c>
      <c r="W20" s="98"/>
      <c r="X20" s="114">
        <f t="shared" si="17"/>
        <v>46843</v>
      </c>
      <c r="Y20" s="217">
        <f>IF(BBG!$D$5=BBG!$J$5,BBG!L23-BBG!L24,BBG!L22-BBG!L23)</f>
        <v>0.43999999999999773</v>
      </c>
      <c r="Z20" s="215">
        <f>IFERROR(VLOOKUP($C21,Freight!$A$3:$F$22,MATCH(FWD!$N$41,Freight!$A$3:$F$3,0),FALSE)+$B$7,VLOOKUP($B21,Freight!$A$3:$F$22,MATCH(FWD!$N$41,Freight!$A$3:$F$3,0),FALSE)+$B$7)</f>
        <v>4.6674297953355541</v>
      </c>
      <c r="AA20" s="216">
        <f>VLOOKUP(EOMONTH(X20,0),BBG!$N$63:$R$123,5,FALSE)</f>
        <v>0.72</v>
      </c>
      <c r="AB20" s="210">
        <f t="shared" si="1"/>
        <v>1.8174297953355503</v>
      </c>
      <c r="AC20" s="210">
        <f t="shared" si="18"/>
        <v>1.772626921449725</v>
      </c>
      <c r="AD20" s="237">
        <f t="shared" si="26"/>
        <v>-4.4802873885825267E-2</v>
      </c>
      <c r="AF20" s="121">
        <f t="shared" si="7"/>
        <v>46873</v>
      </c>
      <c r="AG20" s="122">
        <f>IF(BBG!$D$5=BBG!$J$5,BBG!L22-BBG!L24,BBG!L21-BBG!L23)*2/3</f>
        <v>0.60666666666666436</v>
      </c>
      <c r="AH20" s="122">
        <f>IFERROR(VLOOKUP($C20,Freight!$A$3:$F$22,MATCH(FWD!$AH$41,Freight!$A$3:$F$3,0),FALSE)+$B$7,VLOOKUP($B20,Freight!$A$3:$F$22,MATCH(FWD!$AH$41,Freight!$A$3:$F$3,0),FALSE)+$B$7)</f>
        <v>11.712988780729331</v>
      </c>
      <c r="AI20" s="122">
        <f>VLOOKUP(X20,BBG!$U$63:$Y$123,4,FALSE)</f>
        <v>0.44</v>
      </c>
      <c r="AJ20" s="229">
        <f t="shared" si="8"/>
        <v>10.189655447395994</v>
      </c>
      <c r="AL20" s="121">
        <f t="shared" si="9"/>
        <v>46843</v>
      </c>
      <c r="AM20" s="227" t="e">
        <f>VLOOKUP(AL20,BBG!$AE$64:$AJ$100,6,FALSE)</f>
        <v>#VALUE!</v>
      </c>
      <c r="AN20" s="227">
        <f t="shared" si="19"/>
        <v>0.43999999999999773</v>
      </c>
      <c r="AO20" s="122">
        <f>VLOOKUP($B20,Freight!$A$3:$G$22,MATCH(FWD!$AO$41,Freight!$A$3:$G$3,0),FALSE)</f>
        <v>3.8727231568530431</v>
      </c>
      <c r="AP20" s="122">
        <f t="shared" si="20"/>
        <v>0.44</v>
      </c>
      <c r="AQ20" s="121">
        <f t="shared" si="10"/>
        <v>46873</v>
      </c>
      <c r="AR20" s="267" t="e">
        <f t="shared" si="21"/>
        <v>#VALUE!</v>
      </c>
      <c r="AT20" s="234" t="e">
        <f t="shared" si="11"/>
        <v>#VALUE!</v>
      </c>
      <c r="AU20" s="125"/>
    </row>
    <row r="21" spans="1:71" x14ac:dyDescent="0.35">
      <c r="B21" s="71" t="str">
        <f t="shared" si="24"/>
        <v>Q1-28</v>
      </c>
      <c r="C21" s="171">
        <f t="shared" si="22"/>
        <v>46843</v>
      </c>
      <c r="D21" t="str">
        <f t="shared" si="27"/>
        <v>3Q27</v>
      </c>
      <c r="E21" s="108">
        <f>EOMONTH(E20,1)</f>
        <v>46843</v>
      </c>
      <c r="F21" s="213">
        <f>INDEX(Sheet1!$B$38:$N$49,MATCH("MEH",Sheet1!$B$38:$B$49,0),MATCH(FWD!D21,Sheet1!$B$38:$N$38,0))</f>
        <v>1.85</v>
      </c>
      <c r="G21" s="214">
        <f>BBG!F21-BBG!F23</f>
        <v>0.89000000000000057</v>
      </c>
      <c r="H21" s="214">
        <f>IF(BBG!$D$5=BBG!$J$5,BBG!F23-BBG!L23,BBG!F23-BBG!L22)</f>
        <v>-5.3499999999999943</v>
      </c>
      <c r="I21" s="214">
        <f t="shared" si="12"/>
        <v>0</v>
      </c>
      <c r="J21" s="221">
        <f t="shared" si="13"/>
        <v>-2.6099999999999937</v>
      </c>
      <c r="K21" s="509">
        <f>BBG!G80+FWD!F21</f>
        <v>-3.2109000000000036</v>
      </c>
      <c r="L21" s="95"/>
      <c r="M21" s="114">
        <f t="shared" si="3"/>
        <v>46843</v>
      </c>
      <c r="N21" s="215">
        <f>IFERROR(VLOOKUP($C21,Freight!$A$3:$F$22,MATCH(FWD!$N$41,Freight!$A$3:$F$3,0),FALSE)+$B$7,VLOOKUP($B21,Freight!$A$3:$F$22,MATCH(FWD!$N$41,Freight!$A$3:$F$3,0),FALSE)+$B$7)</f>
        <v>4.6674297953355541</v>
      </c>
      <c r="O21" s="216">
        <f>VLOOKUP(EOMONTH(M21,0),BBG!$N$63:$R$123,5,FALSE)</f>
        <v>0.72</v>
      </c>
      <c r="P21" s="209">
        <f t="shared" si="0"/>
        <v>1.3374297953355605</v>
      </c>
      <c r="Q21" s="209">
        <f t="shared" si="4"/>
        <v>0.03</v>
      </c>
      <c r="R21" s="215">
        <f>IFERROR(VLOOKUP($C21,Freight!$A$3:$F$22,MATCH(FWD!$U$41,Freight!$A$3:$F$3,0),FALSE),VLOOKUP($B21,Freight!$A$3:$F$22,MATCH(FWD!$U$41,Freight!$A$3:$F$3,0),FALSE))</f>
        <v>1.4626269214497249</v>
      </c>
      <c r="S21" s="209">
        <f>INDEX(BBG!$H$4:$L$53,MATCH(FWD!$M21,BBG!$H$4:$H$53,0),MATCH("Settle",BBG!$H$4:$L$4,0))-INDEX(BBG!$H$4:$L$53,MATCH(FWD!$M23,BBG!$H$4:$H$53,0),MATCH("Settle",BBG!$H$4:$L$4,0))</f>
        <v>1</v>
      </c>
      <c r="T21" s="209">
        <f t="shared" si="14"/>
        <v>0.72</v>
      </c>
      <c r="U21" s="209">
        <f t="shared" si="15"/>
        <v>1.772626921449725</v>
      </c>
      <c r="V21" s="237">
        <f t="shared" si="25"/>
        <v>0.4351971261141645</v>
      </c>
      <c r="W21" s="98"/>
      <c r="X21" s="114">
        <f t="shared" si="17"/>
        <v>46873</v>
      </c>
      <c r="Y21" s="217">
        <f>IF(BBG!$D$5=BBG!$J$5,BBG!L24-BBG!L25,BBG!L23-BBG!L24)</f>
        <v>0.43999999999999773</v>
      </c>
      <c r="Z21" s="215">
        <f>IFERROR(VLOOKUP($C22,Freight!$A$3:$F$22,MATCH(FWD!$N$41,Freight!$A$3:$F$3,0),FALSE)+$B$7,VLOOKUP($B22,Freight!$A$3:$F$22,MATCH(FWD!$N$41,Freight!$A$3:$F$3,0),FALSE)+$B$7)</f>
        <v>4.4630509281294612</v>
      </c>
      <c r="AA21" s="216">
        <f>VLOOKUP(EOMONTH(X21,0),BBG!$N$63:$R$123,5,FALSE)</f>
        <v>0.68</v>
      </c>
      <c r="AB21" s="210">
        <f t="shared" si="1"/>
        <v>1.6130509281294652</v>
      </c>
      <c r="AC21" s="210">
        <f t="shared" si="18"/>
        <v>1.5453388097588454</v>
      </c>
      <c r="AD21" s="237">
        <f t="shared" si="26"/>
        <v>-6.7712118370619745E-2</v>
      </c>
      <c r="AF21" s="121">
        <f t="shared" si="7"/>
        <v>46904</v>
      </c>
      <c r="AG21" s="122">
        <f>IF(BBG!$D$5=BBG!$J$5,BBG!L23-BBG!L25,BBG!L22-BBG!L24)*2/3</f>
        <v>0.58666666666666367</v>
      </c>
      <c r="AH21" s="122">
        <f>IFERROR(VLOOKUP($C21,Freight!$A$3:$F$22,MATCH(FWD!$AH$41,Freight!$A$3:$F$3,0),FALSE)+$B$7,VLOOKUP($B21,Freight!$A$3:$F$22,MATCH(FWD!$AH$41,Freight!$A$3:$F$3,0),FALSE)+$B$7)</f>
        <v>11.712988780729331</v>
      </c>
      <c r="AI21" s="122">
        <f>VLOOKUP(X21,BBG!$U$63:$Y$123,4,FALSE)</f>
        <v>0.44</v>
      </c>
      <c r="AJ21" s="229">
        <f t="shared" si="8"/>
        <v>10.129655447396003</v>
      </c>
      <c r="AL21" s="121">
        <f t="shared" si="9"/>
        <v>46873</v>
      </c>
      <c r="AM21" s="227" t="e">
        <f>VLOOKUP(AL21,BBG!$AE$64:$AJ$100,6,FALSE)</f>
        <v>#VALUE!</v>
      </c>
      <c r="AN21" s="227">
        <f t="shared" si="19"/>
        <v>0.42999999999999261</v>
      </c>
      <c r="AO21" s="122">
        <f>VLOOKUP($B21,Freight!$A$3:$G$22,MATCH(FWD!$AO$41,Freight!$A$3:$G$3,0),FALSE)</f>
        <v>3.8727231568530431</v>
      </c>
      <c r="AP21" s="122">
        <f t="shared" si="20"/>
        <v>0.44</v>
      </c>
      <c r="AQ21" s="121">
        <f t="shared" si="10"/>
        <v>46904</v>
      </c>
      <c r="AR21" s="267" t="e">
        <f t="shared" si="21"/>
        <v>#VALUE!</v>
      </c>
      <c r="AT21" s="234" t="e">
        <f t="shared" si="11"/>
        <v>#VALUE!</v>
      </c>
      <c r="AU21" s="125"/>
    </row>
    <row r="22" spans="1:71" x14ac:dyDescent="0.35">
      <c r="A22" s="71"/>
      <c r="B22" s="71" t="str">
        <f t="shared" si="24"/>
        <v>Q2-28</v>
      </c>
      <c r="C22" s="171">
        <f t="shared" si="22"/>
        <v>46873</v>
      </c>
      <c r="D22" t="str">
        <f t="shared" si="27"/>
        <v>4Q27</v>
      </c>
      <c r="E22" s="108">
        <f t="shared" ref="E22:E29" si="28">EOMONTH(E21,1)</f>
        <v>46873</v>
      </c>
      <c r="F22" s="213">
        <f>INDEX(Sheet1!$B$38:$N$49,MATCH("MEH",Sheet1!$B$38:$B$49,0),MATCH(FWD!D22,Sheet1!$B$38:$N$38,0))</f>
        <v>1.9</v>
      </c>
      <c r="G22" s="214">
        <f>BBG!F22-BBG!F24</f>
        <v>0.82999999999999829</v>
      </c>
      <c r="H22" s="214">
        <f>IF(BBG!$D$5=BBG!$J$5,BBG!F24-BBG!L24,BBG!F24-BBG!L23)</f>
        <v>-5.3199999999999932</v>
      </c>
      <c r="I22" s="214">
        <f t="shared" si="12"/>
        <v>0</v>
      </c>
      <c r="J22" s="221">
        <f t="shared" si="13"/>
        <v>-2.589999999999995</v>
      </c>
      <c r="K22" s="509">
        <f>BBG!G81+FWD!F22</f>
        <v>-3.1168000000000036</v>
      </c>
      <c r="L22" s="95"/>
      <c r="M22" s="114">
        <f t="shared" si="3"/>
        <v>46873</v>
      </c>
      <c r="N22" s="215">
        <f>IFERROR(VLOOKUP($C22,Freight!$A$3:$F$22,MATCH(FWD!$N$41,Freight!$A$3:$F$3,0),FALSE)+$B$7,VLOOKUP($B22,Freight!$A$3:$F$22,MATCH(FWD!$N$41,Freight!$A$3:$F$3,0),FALSE)+$B$7)</f>
        <v>4.4630509281294612</v>
      </c>
      <c r="O22" s="216">
        <f>VLOOKUP(EOMONTH(M22,0),BBG!$N$63:$R$123,5,FALSE)</f>
        <v>0.68</v>
      </c>
      <c r="P22" s="209">
        <f t="shared" si="0"/>
        <v>1.1930509281294661</v>
      </c>
      <c r="Q22" s="209">
        <f t="shared" si="4"/>
        <v>0.03</v>
      </c>
      <c r="R22" s="215">
        <f>IFERROR(VLOOKUP($C22,Freight!$A$3:$F$22,MATCH(FWD!$U$41,Freight!$A$3:$F$3,0),FALSE),VLOOKUP($B22,Freight!$A$3:$F$22,MATCH(FWD!$U$41,Freight!$A$3:$F$3,0),FALSE))</f>
        <v>1.2853388097588492</v>
      </c>
      <c r="S22" s="209">
        <f>INDEX(BBG!$H$4:$L$53,MATCH(FWD!$M22,BBG!$H$4:$H$53,0),MATCH("Settle",BBG!$H$4:$L$4,0))-INDEX(BBG!$H$4:$L$53,MATCH(FWD!$M24,BBG!$H$4:$H$53,0),MATCH("Settle",BBG!$H$4:$L$4,0))</f>
        <v>0.90999999999999659</v>
      </c>
      <c r="T22" s="209">
        <f t="shared" si="14"/>
        <v>0.68</v>
      </c>
      <c r="U22" s="209">
        <f t="shared" si="15"/>
        <v>1.5453388097588454</v>
      </c>
      <c r="V22" s="237">
        <f t="shared" si="25"/>
        <v>0.3522878816293793</v>
      </c>
      <c r="W22" s="98"/>
      <c r="X22" s="114">
        <f t="shared" si="17"/>
        <v>46904</v>
      </c>
      <c r="Y22" s="217">
        <f>IF(BBG!$D$5=BBG!$J$5,BBG!L26-BBG!L27,BBG!L25-BBG!L26)</f>
        <v>0.42999999999999261</v>
      </c>
      <c r="Z22" s="215">
        <f>IFERROR(VLOOKUP($C23,Freight!$A$3:$F$22,MATCH(FWD!$N$41,Freight!$A$3:$F$3,0),FALSE)+$B$7,VLOOKUP($B23,Freight!$A$3:$F$22,MATCH(FWD!$N$41,Freight!$A$3:$F$3,0),FALSE)+$B$7)</f>
        <v>4.4630509281294612</v>
      </c>
      <c r="AA22" s="216">
        <f>VLOOKUP(EOMONTH(X22,0),BBG!$N$63:$R$123,5,FALSE)</f>
        <v>0.64</v>
      </c>
      <c r="AB22" s="210">
        <f t="shared" si="1"/>
        <v>1.6630509281294588</v>
      </c>
      <c r="AC22" s="210">
        <f t="shared" si="18"/>
        <v>1.5553388097588443</v>
      </c>
      <c r="AD22" s="237">
        <f t="shared" si="26"/>
        <v>-0.10771211837061445</v>
      </c>
      <c r="AF22" s="121">
        <f t="shared" si="7"/>
        <v>46934</v>
      </c>
      <c r="AG22" s="122">
        <f>IF(BBG!$D$5=BBG!$J$5,BBG!L24-BBG!L26,BBG!L23-BBG!L25)*2/3</f>
        <v>0.59333333333333371</v>
      </c>
      <c r="AH22" s="122">
        <f>IFERROR(VLOOKUP($C22,Freight!$A$3:$F$22,MATCH(FWD!$AH$41,Freight!$A$3:$F$3,0),FALSE)+$B$7,VLOOKUP($B22,Freight!$A$3:$F$22,MATCH(FWD!$AH$41,Freight!$A$3:$F$3,0),FALSE)+$B$7)</f>
        <v>10.737379024631771</v>
      </c>
      <c r="AI22" s="122">
        <f>VLOOKUP(X22,BBG!$U$63:$Y$123,4,FALSE)</f>
        <v>0.44</v>
      </c>
      <c r="AJ22" s="229">
        <f t="shared" si="8"/>
        <v>9.1807123579651098</v>
      </c>
      <c r="AL22" s="121">
        <f t="shared" si="9"/>
        <v>46904</v>
      </c>
      <c r="AM22" s="227" t="e">
        <f>VLOOKUP(AL22,BBG!$AE$64:$AJ$100,6,FALSE)</f>
        <v>#VALUE!</v>
      </c>
      <c r="AN22" s="227">
        <f t="shared" si="19"/>
        <v>0.43000000000000682</v>
      </c>
      <c r="AO22" s="122">
        <f>VLOOKUP($B22,Freight!$A$3:$G$22,MATCH(FWD!$AO$41,Freight!$A$3:$G$3,0),FALSE)</f>
        <v>3.6136781296387928</v>
      </c>
      <c r="AP22" s="122">
        <f t="shared" si="20"/>
        <v>0.44</v>
      </c>
      <c r="AQ22" s="121">
        <f t="shared" si="10"/>
        <v>46934</v>
      </c>
      <c r="AR22" s="267" t="e">
        <f t="shared" si="21"/>
        <v>#VALUE!</v>
      </c>
      <c r="AT22" s="234" t="e">
        <f t="shared" si="11"/>
        <v>#VALUE!</v>
      </c>
      <c r="AU22" s="125"/>
    </row>
    <row r="23" spans="1:71" x14ac:dyDescent="0.35">
      <c r="B23" s="71" t="str">
        <f t="shared" si="24"/>
        <v>Q2-28</v>
      </c>
      <c r="C23" s="171">
        <f t="shared" si="22"/>
        <v>46904</v>
      </c>
      <c r="D23" t="str">
        <f t="shared" si="27"/>
        <v>4Q27</v>
      </c>
      <c r="E23" s="108">
        <f t="shared" si="28"/>
        <v>46904</v>
      </c>
      <c r="F23" s="213">
        <f>INDEX(Sheet1!$B$38:$N$49,MATCH("MEH",Sheet1!$B$38:$B$49,0),MATCH(FWD!D23,Sheet1!$B$38:$N$38,0))</f>
        <v>1.9</v>
      </c>
      <c r="G23" s="214">
        <f>BBG!F23-BBG!F25</f>
        <v>0.84000000000000341</v>
      </c>
      <c r="H23" s="214">
        <f>IF(BBG!$D$5=BBG!$J$5,BBG!F25-BBG!L25,BBG!F25-BBG!L24)</f>
        <v>-5.3100000000000023</v>
      </c>
      <c r="I23" s="214">
        <f t="shared" si="12"/>
        <v>0</v>
      </c>
      <c r="J23" s="221">
        <f t="shared" si="13"/>
        <v>-2.569999999999999</v>
      </c>
      <c r="K23" s="509">
        <f>BBG!G82+FWD!F23</f>
        <v>-3.0804000000000031</v>
      </c>
      <c r="L23" s="95"/>
      <c r="M23" s="114">
        <f t="shared" si="3"/>
        <v>46904</v>
      </c>
      <c r="N23" s="215">
        <f>IFERROR(VLOOKUP($C23,Freight!$A$3:$F$22,MATCH(FWD!$N$41,Freight!$A$3:$F$3,0),FALSE)+$B$7,VLOOKUP($B23,Freight!$A$3:$F$22,MATCH(FWD!$N$41,Freight!$A$3:$F$3,0),FALSE)+$B$7)</f>
        <v>4.4630509281294612</v>
      </c>
      <c r="O23" s="216">
        <f>VLOOKUP(EOMONTH(M23,0),BBG!$N$63:$R$123,5,FALSE)</f>
        <v>0.64</v>
      </c>
      <c r="P23" s="209">
        <f t="shared" si="0"/>
        <v>1.2530509281294622</v>
      </c>
      <c r="Q23" s="209">
        <f t="shared" si="4"/>
        <v>0.03</v>
      </c>
      <c r="R23" s="215">
        <f>IFERROR(VLOOKUP($C23,Freight!$A$3:$F$22,MATCH(FWD!$U$41,Freight!$A$3:$F$3,0),FALSE),VLOOKUP($B23,Freight!$A$3:$F$22,MATCH(FWD!$U$41,Freight!$A$3:$F$3,0),FALSE))</f>
        <v>1.2853388097588492</v>
      </c>
      <c r="S23" s="209">
        <f>INDEX(BBG!$H$4:$L$53,MATCH(FWD!$M23,BBG!$H$4:$H$53,0),MATCH("Settle",BBG!$H$4:$L$4,0))-INDEX(BBG!$H$4:$L$53,MATCH(FWD!$M25,BBG!$H$4:$H$53,0),MATCH("Settle",BBG!$H$4:$L$4,0))</f>
        <v>0.87999999999999545</v>
      </c>
      <c r="T23" s="209">
        <f t="shared" si="14"/>
        <v>0.64</v>
      </c>
      <c r="U23" s="209">
        <f t="shared" si="15"/>
        <v>1.5553388097588443</v>
      </c>
      <c r="V23" s="237">
        <f t="shared" si="25"/>
        <v>0.30228788162938214</v>
      </c>
      <c r="W23" s="98"/>
      <c r="X23" s="114">
        <f t="shared" si="17"/>
        <v>46934</v>
      </c>
      <c r="Y23" s="217">
        <f>IF(BBG!$D$5=BBG!$J$5,BBG!L27-BBG!L28,BBG!L26-BBG!L27)</f>
        <v>0.43000000000000682</v>
      </c>
      <c r="Z23" s="215">
        <f>IFERROR(VLOOKUP($C24,Freight!$A$3:$F$22,MATCH(FWD!$N$41,Freight!$A$3:$F$3,0),FALSE)+$B$7,VLOOKUP($B24,Freight!$A$3:$F$22,MATCH(FWD!$N$41,Freight!$A$3:$F$3,0),FALSE)+$B$7)</f>
        <v>4.4630509281294612</v>
      </c>
      <c r="AA23" s="216">
        <f>VLOOKUP(EOMONTH(X23,0),BBG!$N$63:$R$123,5,FALSE)</f>
        <v>0.6</v>
      </c>
      <c r="AB23" s="210">
        <f t="shared" si="1"/>
        <v>1.723050928129469</v>
      </c>
      <c r="AC23" s="210">
        <f t="shared" si="18"/>
        <v>1.6053388097588495</v>
      </c>
      <c r="AD23" s="237">
        <f t="shared" si="26"/>
        <v>-0.11771211837061957</v>
      </c>
      <c r="AF23" s="121">
        <f t="shared" si="7"/>
        <v>46965</v>
      </c>
      <c r="AG23" s="122">
        <f>IF(BBG!$D$5=BBG!$J$5,BBG!L25-BBG!L27,BBG!L24-BBG!L26)*2/3</f>
        <v>0.58666666666666367</v>
      </c>
      <c r="AH23" s="122">
        <f>IFERROR(VLOOKUP($C23,Freight!$A$3:$F$22,MATCH(FWD!$AH$41,Freight!$A$3:$F$3,0),FALSE)+$B$7,VLOOKUP($B23,Freight!$A$3:$F$22,MATCH(FWD!$AH$41,Freight!$A$3:$F$3,0),FALSE)+$B$7)</f>
        <v>10.737379024631771</v>
      </c>
      <c r="AI23" s="122">
        <f>VLOOKUP(X23,BBG!$U$63:$Y$123,4,FALSE)</f>
        <v>0.44</v>
      </c>
      <c r="AJ23" s="229">
        <f t="shared" si="8"/>
        <v>9.1940456912984363</v>
      </c>
      <c r="AL23" s="121">
        <f t="shared" si="9"/>
        <v>46934</v>
      </c>
      <c r="AM23" s="227" t="e">
        <f>VLOOKUP(AL23,BBG!$AE$64:$AJ$100,6,FALSE)</f>
        <v>#VALUE!</v>
      </c>
      <c r="AN23" s="227">
        <f t="shared" si="19"/>
        <v>0.40000000000000568</v>
      </c>
      <c r="AO23" s="122">
        <f>VLOOKUP($B23,Freight!$A$3:$G$22,MATCH(FWD!$AO$41,Freight!$A$3:$G$3,0),FALSE)</f>
        <v>3.6136781296387928</v>
      </c>
      <c r="AP23" s="122">
        <f t="shared" si="20"/>
        <v>0.44</v>
      </c>
      <c r="AQ23" s="121">
        <f t="shared" si="10"/>
        <v>46965</v>
      </c>
      <c r="AR23" s="267" t="e">
        <f t="shared" si="21"/>
        <v>#VALUE!</v>
      </c>
      <c r="AT23" s="234" t="e">
        <f t="shared" si="11"/>
        <v>#VALUE!</v>
      </c>
      <c r="AU23" s="125"/>
    </row>
    <row r="24" spans="1:71" x14ac:dyDescent="0.35">
      <c r="B24" s="71" t="str">
        <f t="shared" si="24"/>
        <v>Q2-28</v>
      </c>
      <c r="C24" s="171">
        <f t="shared" si="22"/>
        <v>46934</v>
      </c>
      <c r="D24" t="str">
        <f>D25</f>
        <v>Cal 28</v>
      </c>
      <c r="E24" s="108">
        <f t="shared" si="28"/>
        <v>46934</v>
      </c>
      <c r="F24" s="213">
        <f>INDEX(Sheet1!$B$38:$N$49,MATCH("MEH",Sheet1!$B$38:$B$49,0),MATCH(FWD!D24,Sheet1!$B$38:$N$38,0))</f>
        <v>1.98</v>
      </c>
      <c r="G24" s="214">
        <f>BBG!F24-BBG!F26</f>
        <v>0.84000000000000341</v>
      </c>
      <c r="H24" s="214">
        <f>IF(BBG!$D$5=BBG!$J$5,BBG!F26-BBG!L26,BBG!F26-BBG!L25)</f>
        <v>-5.269999999999996</v>
      </c>
      <c r="I24" s="214">
        <f t="shared" si="12"/>
        <v>0</v>
      </c>
      <c r="J24" s="221">
        <f t="shared" si="13"/>
        <v>-2.4499999999999926</v>
      </c>
      <c r="K24" s="509">
        <f>BBG!G83+FWD!F24</f>
        <v>-3.0205000000000024</v>
      </c>
      <c r="L24" s="95"/>
      <c r="M24" s="114">
        <f t="shared" si="3"/>
        <v>46934</v>
      </c>
      <c r="N24" s="215">
        <f>IFERROR(VLOOKUP($C24,Freight!$A$3:$F$22,MATCH(FWD!$N$41,Freight!$A$3:$F$3,0),FALSE)+$B$7,VLOOKUP($B24,Freight!$A$3:$F$22,MATCH(FWD!$N$41,Freight!$A$3:$F$3,0),FALSE)+$B$7)</f>
        <v>4.4630509281294612</v>
      </c>
      <c r="O24" s="216">
        <f>VLOOKUP(EOMONTH(M24,0),BBG!$N$63:$R$123,5,FALSE)</f>
        <v>0.6</v>
      </c>
      <c r="P24" s="209">
        <f t="shared" si="0"/>
        <v>1.4130509281294685</v>
      </c>
      <c r="Q24" s="209">
        <f t="shared" si="4"/>
        <v>0.03</v>
      </c>
      <c r="R24" s="215">
        <f>IFERROR(VLOOKUP($C24,Freight!$A$3:$F$22,MATCH(FWD!$U$41,Freight!$A$3:$F$3,0),FALSE),VLOOKUP($B24,Freight!$A$3:$F$22,MATCH(FWD!$U$41,Freight!$A$3:$F$3,0),FALSE))</f>
        <v>1.2853388097588492</v>
      </c>
      <c r="S24" s="209">
        <f>INDEX(BBG!$H$4:$L$53,MATCH(FWD!$M24,BBG!$H$4:$H$53,0),MATCH("Settle",BBG!$H$4:$L$4,0))-INDEX(BBG!$H$4:$L$53,MATCH(FWD!$M26,BBG!$H$4:$H$53,0),MATCH("Settle",BBG!$H$4:$L$4,0))</f>
        <v>0.89000000000000057</v>
      </c>
      <c r="T24" s="209">
        <f t="shared" si="14"/>
        <v>0.6</v>
      </c>
      <c r="U24" s="209">
        <f t="shared" si="15"/>
        <v>1.6053388097588495</v>
      </c>
      <c r="V24" s="237">
        <f t="shared" si="25"/>
        <v>0.19228788162938093</v>
      </c>
      <c r="W24" s="98"/>
      <c r="X24" s="114">
        <f t="shared" si="17"/>
        <v>46965</v>
      </c>
      <c r="Y24" s="217">
        <f>IF(BBG!$D$5=BBG!$J$5,BBG!L28-BBG!L29,BBG!L27-BBG!L28)</f>
        <v>0.40000000000000568</v>
      </c>
      <c r="Z24" s="215">
        <f>IFERROR(VLOOKUP($C25,Freight!$A$3:$F$22,MATCH(FWD!$N$41,Freight!$A$3:$F$3,0),FALSE)+$B$7,VLOOKUP($B25,Freight!$A$3:$F$22,MATCH(FWD!$N$41,Freight!$A$3:$F$3,0),FALSE)+$B$7)</f>
        <v>4.4630509281294612</v>
      </c>
      <c r="AA24" s="216">
        <f>VLOOKUP(EOMONTH(X24,0),BBG!$N$63:$R$123,5,FALSE)</f>
        <v>0.55000000000000004</v>
      </c>
      <c r="AB24" s="210">
        <f t="shared" si="1"/>
        <v>1.8630509281294743</v>
      </c>
      <c r="AC24" s="210">
        <f t="shared" si="18"/>
        <v>1.6453388097588444</v>
      </c>
      <c r="AD24" s="237">
        <f t="shared" si="26"/>
        <v>-0.21771211837062987</v>
      </c>
      <c r="AF24" s="121">
        <f t="shared" si="7"/>
        <v>46996</v>
      </c>
      <c r="AG24" s="122">
        <f>IF(BBG!$D$5=BBG!$J$5,BBG!L26-BBG!L28,BBG!L25-BBG!L27)*2/3</f>
        <v>0.57333333333333292</v>
      </c>
      <c r="AH24" s="122">
        <f>IFERROR(VLOOKUP($C24,Freight!$A$3:$F$22,MATCH(FWD!$AH$41,Freight!$A$3:$F$3,0),FALSE)+$B$7,VLOOKUP($B24,Freight!$A$3:$F$22,MATCH(FWD!$AH$41,Freight!$A$3:$F$3,0),FALSE)+$B$7)</f>
        <v>10.737379024631771</v>
      </c>
      <c r="AI24" s="122">
        <f>VLOOKUP(X24,BBG!$U$63:$Y$123,4,FALSE)</f>
        <v>0.44</v>
      </c>
      <c r="AJ24" s="229">
        <f t="shared" si="8"/>
        <v>9.3007123579651108</v>
      </c>
      <c r="AL24" s="121">
        <f t="shared" si="9"/>
        <v>46965</v>
      </c>
      <c r="AM24" s="227" t="e">
        <f>VLOOKUP(AL24,BBG!$AE$64:$AJ$100,6,FALSE)</f>
        <v>#VALUE!</v>
      </c>
      <c r="AN24" s="227">
        <f t="shared" si="19"/>
        <v>0.3399999999999892</v>
      </c>
      <c r="AO24" s="122">
        <f>VLOOKUP($B24,Freight!$A$3:$G$22,MATCH(FWD!$AO$41,Freight!$A$3:$G$3,0),FALSE)</f>
        <v>3.6136781296387928</v>
      </c>
      <c r="AP24" s="122">
        <f t="shared" si="20"/>
        <v>0.44</v>
      </c>
      <c r="AQ24" s="121">
        <f t="shared" si="10"/>
        <v>46996</v>
      </c>
      <c r="AR24" s="267" t="e">
        <f t="shared" si="21"/>
        <v>#VALUE!</v>
      </c>
      <c r="AT24" s="234" t="e">
        <f t="shared" si="11"/>
        <v>#VALUE!</v>
      </c>
      <c r="AU24" s="125"/>
      <c r="BO24" s="71"/>
      <c r="BP24" s="71"/>
      <c r="BQ24" s="71"/>
      <c r="BR24" s="71"/>
      <c r="BS24" s="71"/>
    </row>
    <row r="25" spans="1:71" s="92" customFormat="1" x14ac:dyDescent="0.35">
      <c r="B25" s="71" t="s">
        <v>256</v>
      </c>
      <c r="C25" s="171">
        <f t="shared" si="22"/>
        <v>46965</v>
      </c>
      <c r="D25" t="s">
        <v>45</v>
      </c>
      <c r="E25" s="108">
        <f t="shared" si="28"/>
        <v>46965</v>
      </c>
      <c r="F25" s="213">
        <f>INDEX(Sheet1!$B$38:$N$49,MATCH("MEH",Sheet1!$B$38:$B$49,0),MATCH(FWD!D25,Sheet1!$B$38:$N$38,0))</f>
        <v>1.98</v>
      </c>
      <c r="G25" s="214">
        <f>BBG!F25-BBG!F27</f>
        <v>0.79000000000000625</v>
      </c>
      <c r="H25" s="214">
        <f>IF(BBG!$D$5=BBG!$J$5,BBG!F27-BBG!L27,BBG!F27-BBG!L26)</f>
        <v>-5.2200000000000131</v>
      </c>
      <c r="I25" s="214">
        <f t="shared" si="12"/>
        <v>0</v>
      </c>
      <c r="J25" s="221">
        <f t="shared" si="13"/>
        <v>-2.4500000000000068</v>
      </c>
      <c r="K25" s="509">
        <f>BBG!G84+FWD!F25</f>
        <v>-2.9695000000000005</v>
      </c>
      <c r="L25" s="95"/>
      <c r="M25" s="114">
        <f t="shared" si="3"/>
        <v>46965</v>
      </c>
      <c r="N25" s="215">
        <f>IFERROR(VLOOKUP($C25,Freight!$A$3:$F$22,MATCH(FWD!$N$41,Freight!$A$3:$F$3,0),FALSE)+$B$7,VLOOKUP($B25,Freight!$A$3:$F$22,MATCH(FWD!$N$41,Freight!$A$3:$F$3,0),FALSE)+$B$7)</f>
        <v>4.4630509281294612</v>
      </c>
      <c r="O25" s="216">
        <f>VLOOKUP(EOMONTH(M25,0),BBG!$N$63:$R$123,5,FALSE)</f>
        <v>0.55000000000000004</v>
      </c>
      <c r="P25" s="209">
        <f t="shared" si="0"/>
        <v>1.4630509281294544</v>
      </c>
      <c r="Q25" s="209">
        <f t="shared" si="4"/>
        <v>0.03</v>
      </c>
      <c r="R25" s="215">
        <f>IFERROR(VLOOKUP($C25,Freight!$A$3:$F$22,MATCH(FWD!$U$41,Freight!$A$3:$F$3,0),FALSE),VLOOKUP($B25,Freight!$A$3:$F$22,MATCH(FWD!$U$41,Freight!$A$3:$F$3,0),FALSE))</f>
        <v>1.2853388097588492</v>
      </c>
      <c r="S25" s="209">
        <f>INDEX(BBG!$H$4:$L$53,MATCH(FWD!$M25,BBG!$H$4:$H$53,0),MATCH("Settle",BBG!$H$4:$L$4,0))-INDEX(BBG!$H$4:$L$53,MATCH(FWD!$M27,BBG!$H$4:$H$53,0),MATCH("Settle",BBG!$H$4:$L$4,0))</f>
        <v>0.87999999999999545</v>
      </c>
      <c r="T25" s="209">
        <f t="shared" si="14"/>
        <v>0.55000000000000004</v>
      </c>
      <c r="U25" s="209">
        <f t="shared" si="15"/>
        <v>1.6453388097588444</v>
      </c>
      <c r="V25" s="237">
        <f t="shared" si="25"/>
        <v>0.18228788162939003</v>
      </c>
      <c r="W25" s="98"/>
      <c r="X25" s="114">
        <f t="shared" si="17"/>
        <v>46996</v>
      </c>
      <c r="Y25" s="217">
        <f>IF(BBG!$D$5=BBG!$J$5,BBG!L29-BBG!L30,BBG!L28-BBG!L29)</f>
        <v>0.3399999999999892</v>
      </c>
      <c r="Z25" s="215">
        <f>IFERROR(VLOOKUP($C26,Freight!$A$3:$F$22,MATCH(FWD!$N$41,Freight!$A$3:$F$3,0),FALSE)+$B$7,VLOOKUP($B26,Freight!$A$3:$F$22,MATCH(FWD!$N$41,Freight!$A$3:$F$3,0),FALSE)+$B$7)</f>
        <v>4.4630509281294612</v>
      </c>
      <c r="AA25" s="216">
        <f>VLOOKUP(EOMONTH(X25,0),BBG!$N$63:$R$123,5,FALSE)</f>
        <v>0.54</v>
      </c>
      <c r="AB25" s="210">
        <f t="shared" si="1"/>
        <v>1.8130509281294436</v>
      </c>
      <c r="AC25" s="210">
        <f t="shared" si="18"/>
        <v>1.6353388097588484</v>
      </c>
      <c r="AD25" s="237">
        <f t="shared" si="26"/>
        <v>-0.1777121183705952</v>
      </c>
      <c r="AE25"/>
      <c r="AF25" s="121">
        <f t="shared" si="7"/>
        <v>47026</v>
      </c>
      <c r="AG25" s="122">
        <f>IF(BBG!$D$5=BBG!$J$5,BBG!L27-BBG!L29,BBG!L26-BBG!L28)*2/3</f>
        <v>0.55333333333334167</v>
      </c>
      <c r="AH25" s="122">
        <f>IFERROR(VLOOKUP($C25,Freight!$A$3:$F$22,MATCH(FWD!$AH$41,Freight!$A$3:$F$3,0),FALSE)+$B$7,VLOOKUP($B25,Freight!$A$3:$F$22,MATCH(FWD!$AH$41,Freight!$A$3:$F$3,0),FALSE)+$B$7)</f>
        <v>12.5056717075586</v>
      </c>
      <c r="AI25" s="122">
        <f>VLOOKUP(X25,BBG!$U$63:$Y$123,4,FALSE)</f>
        <v>0.44</v>
      </c>
      <c r="AJ25" s="229">
        <f t="shared" si="8"/>
        <v>11.049005040891934</v>
      </c>
      <c r="AK25" s="125"/>
      <c r="AL25" s="121">
        <f t="shared" si="9"/>
        <v>46996</v>
      </c>
      <c r="AM25" s="227" t="e">
        <f>VLOOKUP(AL25,BBG!$AE$64:$AJ$100,6,FALSE)</f>
        <v>#VALUE!</v>
      </c>
      <c r="AN25" s="227">
        <f t="shared" si="19"/>
        <v>0.35000000000000853</v>
      </c>
      <c r="AO25" s="122">
        <f>VLOOKUP($B25,Freight!$A$3:$G$22,MATCH(FWD!$AO$41,Freight!$A$3:$G$3,0),FALSE)</f>
        <v>3.6136781296387928</v>
      </c>
      <c r="AP25" s="122">
        <f t="shared" si="20"/>
        <v>0.44</v>
      </c>
      <c r="AQ25" s="121">
        <f t="shared" si="10"/>
        <v>47026</v>
      </c>
      <c r="AR25" s="267" t="e">
        <f t="shared" si="21"/>
        <v>#VALUE!</v>
      </c>
      <c r="AS25" s="125"/>
      <c r="AT25" s="234" t="e">
        <f t="shared" si="11"/>
        <v>#VALUE!</v>
      </c>
      <c r="AU25" s="1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71" x14ac:dyDescent="0.35">
      <c r="B26" s="71" t="s">
        <v>256</v>
      </c>
      <c r="C26" s="171">
        <f t="shared" si="22"/>
        <v>46996</v>
      </c>
      <c r="D26" t="s">
        <v>45</v>
      </c>
      <c r="E26" s="108">
        <f t="shared" si="28"/>
        <v>46996</v>
      </c>
      <c r="F26" s="213">
        <f>INDEX(Sheet1!$B$38:$N$49,MATCH("MEH",Sheet1!$B$38:$B$49,0),MATCH(FWD!D26,Sheet1!$B$38:$N$38,0))</f>
        <v>1.98</v>
      </c>
      <c r="G26" s="214">
        <f>BBG!F26-BBG!F28</f>
        <v>0.76000000000000512</v>
      </c>
      <c r="H26" s="214">
        <f>IF(BBG!$D$5=BBG!$J$5,BBG!F28-BBG!L28,BBG!F28-BBG!L27)</f>
        <v>-5.1700000000000017</v>
      </c>
      <c r="I26" s="214">
        <f t="shared" si="12"/>
        <v>0</v>
      </c>
      <c r="J26" s="221">
        <f t="shared" si="13"/>
        <v>-2.4299999999999966</v>
      </c>
      <c r="K26" s="509">
        <f>BBG!G85+FWD!F26</f>
        <v>-2.9126000000000016</v>
      </c>
      <c r="L26" s="95"/>
      <c r="M26" s="114">
        <f t="shared" si="3"/>
        <v>46996</v>
      </c>
      <c r="N26" s="215">
        <f>IFERROR(VLOOKUP($C26,Freight!$A$3:$F$22,MATCH(FWD!$N$41,Freight!$A$3:$F$3,0),FALSE)+$B$7,VLOOKUP($B26,Freight!$A$3:$F$22,MATCH(FWD!$N$41,Freight!$A$3:$F$3,0),FALSE)+$B$7)</f>
        <v>4.4630509281294612</v>
      </c>
      <c r="O26" s="216">
        <f>VLOOKUP(EOMONTH(M26,0),BBG!$N$63:$R$123,5,FALSE)</f>
        <v>0.54</v>
      </c>
      <c r="P26" s="209">
        <f t="shared" si="0"/>
        <v>1.4930509281294646</v>
      </c>
      <c r="Q26" s="209">
        <f t="shared" si="4"/>
        <v>0.03</v>
      </c>
      <c r="R26" s="215">
        <f>IFERROR(VLOOKUP($C26,Freight!$A$3:$F$22,MATCH(FWD!$U$41,Freight!$A$3:$F$3,0),FALSE),VLOOKUP($B26,Freight!$A$3:$F$22,MATCH(FWD!$U$41,Freight!$A$3:$F$3,0),FALSE))</f>
        <v>1.2853388097588492</v>
      </c>
      <c r="S26" s="209">
        <f>INDEX(BBG!$H$4:$L$53,MATCH(FWD!$M26,BBG!$H$4:$H$53,0),MATCH("Settle",BBG!$H$4:$L$4,0))-INDEX(BBG!$H$4:$L$53,MATCH(FWD!$M28,BBG!$H$4:$H$53,0),MATCH("Settle",BBG!$H$4:$L$4,0))</f>
        <v>0.85999999999999943</v>
      </c>
      <c r="T26" s="209">
        <f t="shared" si="14"/>
        <v>0.54</v>
      </c>
      <c r="U26" s="209">
        <f t="shared" si="15"/>
        <v>1.6353388097588484</v>
      </c>
      <c r="V26" s="237">
        <f t="shared" si="25"/>
        <v>0.14228788162938377</v>
      </c>
      <c r="W26" s="98"/>
      <c r="X26" s="114">
        <f t="shared" si="17"/>
        <v>47026</v>
      </c>
      <c r="Y26" s="217">
        <f>IF(BBG!$D$5=BBG!$J$5,BBG!L30-BBG!L31,BBG!L29-BBG!L30)</f>
        <v>0.35000000000000853</v>
      </c>
      <c r="Z26" s="215">
        <f>IFERROR(VLOOKUP($C27,Freight!$A$3:$F$22,MATCH(FWD!$N$41,Freight!$A$3:$F$3,0),FALSE)+$B$7,VLOOKUP($B27,Freight!$A$3:$F$22,MATCH(FWD!$N$41,Freight!$A$3:$F$3,0),FALSE)+$B$7)</f>
        <v>4.4630509281294612</v>
      </c>
      <c r="AA26" s="216">
        <f>VLOOKUP(EOMONTH(X26,0),BBG!$N$63:$R$123,5,FALSE)</f>
        <v>0.54</v>
      </c>
      <c r="AB26" s="210">
        <f t="shared" si="1"/>
        <v>1.8430509281294731</v>
      </c>
      <c r="AC26" s="210">
        <f t="shared" si="18"/>
        <v>1.6053388097588615</v>
      </c>
      <c r="AD26" s="237">
        <f t="shared" si="26"/>
        <v>-0.23771211837061168</v>
      </c>
      <c r="AF26" s="121">
        <f t="shared" si="7"/>
        <v>47057</v>
      </c>
      <c r="AG26" s="122">
        <f>IF(BBG!$D$5=BBG!$J$5,BBG!L28-BBG!L30,BBG!L27-BBG!L29)*2/3</f>
        <v>0.4933333333333299</v>
      </c>
      <c r="AH26" s="122">
        <f>IFERROR(VLOOKUP($C26,Freight!$A$3:$F$22,MATCH(FWD!$AH$41,Freight!$A$3:$F$3,0),FALSE)+$B$7,VLOOKUP($B26,Freight!$A$3:$F$22,MATCH(FWD!$AH$41,Freight!$A$3:$F$3,0),FALSE)+$B$7)</f>
        <v>12.5056717075586</v>
      </c>
      <c r="AI26" s="122">
        <f>VLOOKUP(X26,BBG!$U$63:$Y$123,4,FALSE)</f>
        <v>0.44</v>
      </c>
      <c r="AJ26" s="229">
        <f t="shared" si="8"/>
        <v>11.009005040891934</v>
      </c>
      <c r="AL26" s="121">
        <f t="shared" si="9"/>
        <v>47026</v>
      </c>
      <c r="AM26" s="227" t="e">
        <f>VLOOKUP(AL26,BBG!$AE$64:$AJ$100,6,FALSE)</f>
        <v>#VALUE!</v>
      </c>
      <c r="AN26" s="227">
        <f t="shared" si="19"/>
        <v>0.32999999999999829</v>
      </c>
      <c r="AO26" s="122">
        <f>VLOOKUP($B26,Freight!$A$3:$G$22,MATCH(FWD!$AO$41,Freight!$A$3:$G$3,0),FALSE)</f>
        <v>3.6136781296387928</v>
      </c>
      <c r="AP26" s="122">
        <f t="shared" si="20"/>
        <v>0.44</v>
      </c>
      <c r="AQ26" s="121">
        <f t="shared" si="10"/>
        <v>47057</v>
      </c>
      <c r="AR26" s="267" t="e">
        <f t="shared" si="21"/>
        <v>#VALUE!</v>
      </c>
      <c r="AT26" s="234" t="e">
        <f t="shared" si="11"/>
        <v>#VALUE!</v>
      </c>
      <c r="AU26" s="125"/>
    </row>
    <row r="27" spans="1:71" x14ac:dyDescent="0.35">
      <c r="B27" s="71" t="s">
        <v>256</v>
      </c>
      <c r="C27" s="171">
        <f t="shared" si="22"/>
        <v>47026</v>
      </c>
      <c r="D27" t="s">
        <v>45</v>
      </c>
      <c r="E27" s="108">
        <f t="shared" si="28"/>
        <v>47026</v>
      </c>
      <c r="F27" s="213">
        <f>INDEX(Sheet1!$B$38:$N$49,MATCH("MEH",Sheet1!$B$38:$B$49,0),MATCH(FWD!D27,Sheet1!$B$38:$N$38,0))</f>
        <v>1.98</v>
      </c>
      <c r="G27" s="214">
        <f>BBG!F27-BBG!F29</f>
        <v>0.69999999999998863</v>
      </c>
      <c r="H27" s="214">
        <f>IF(BBG!$D$5=BBG!$J$5,BBG!F29-BBG!L29,BBG!F29-BBG!L28)</f>
        <v>-5.0899999999999892</v>
      </c>
      <c r="I27" s="214">
        <f t="shared" si="12"/>
        <v>0</v>
      </c>
      <c r="J27" s="221">
        <f t="shared" si="13"/>
        <v>-2.4100000000000006</v>
      </c>
      <c r="K27" s="509">
        <f>BBG!G86+FWD!F27</f>
        <v>-2.8837999999999977</v>
      </c>
      <c r="L27" s="95"/>
      <c r="M27" s="114">
        <f t="shared" si="3"/>
        <v>47026</v>
      </c>
      <c r="N27" s="215">
        <f>IFERROR(VLOOKUP($C27,Freight!$A$3:$F$22,MATCH(FWD!$N$41,Freight!$A$3:$F$3,0),FALSE)+$B$7,VLOOKUP($B27,Freight!$A$3:$F$22,MATCH(FWD!$N$41,Freight!$A$3:$F$3,0),FALSE)+$B$7)</f>
        <v>4.4630509281294612</v>
      </c>
      <c r="O27" s="216">
        <f>VLOOKUP(EOMONTH(M27,0),BBG!$N$63:$R$123,5,FALSE)</f>
        <v>0.54</v>
      </c>
      <c r="P27" s="209">
        <f t="shared" si="0"/>
        <v>1.5130509281294606</v>
      </c>
      <c r="Q27" s="209">
        <f t="shared" si="4"/>
        <v>0.03</v>
      </c>
      <c r="R27" s="215">
        <f>IFERROR(VLOOKUP($C27,Freight!$A$3:$F$22,MATCH(FWD!$U$41,Freight!$A$3:$F$3,0),FALSE),VLOOKUP($B27,Freight!$A$3:$F$22,MATCH(FWD!$U$41,Freight!$A$3:$F$3,0),FALSE))</f>
        <v>1.2853388097588492</v>
      </c>
      <c r="S27" s="209">
        <f>INDEX(BBG!$H$4:$L$53,MATCH(FWD!$M27,BBG!$H$4:$H$53,0),MATCH("Settle",BBG!$H$4:$L$4,0))-INDEX(BBG!$H$4:$L$53,MATCH(FWD!$M29,BBG!$H$4:$H$53,0),MATCH("Settle",BBG!$H$4:$L$4,0))</f>
        <v>0.83000000000001251</v>
      </c>
      <c r="T27" s="209">
        <f t="shared" si="14"/>
        <v>0.54</v>
      </c>
      <c r="U27" s="209">
        <f t="shared" si="15"/>
        <v>1.6053388097588615</v>
      </c>
      <c r="V27" s="237">
        <f t="shared" si="25"/>
        <v>9.2287881629400825E-2</v>
      </c>
      <c r="W27" s="98"/>
      <c r="X27" s="114">
        <f t="shared" si="17"/>
        <v>47057</v>
      </c>
      <c r="Y27" s="217">
        <f>IF(BBG!$D$5=BBG!$J$5,BBG!L31-BBG!L32,BBG!L30-BBG!L31)</f>
        <v>0.32999999999999829</v>
      </c>
      <c r="Z27" s="215">
        <f>IFERROR(VLOOKUP($C28,Freight!$A$3:$F$22,MATCH(FWD!$N$41,Freight!$A$3:$F$3,0),FALSE)+$B$7,VLOOKUP($B28,Freight!$A$3:$F$22,MATCH(FWD!$N$41,Freight!$A$3:$F$3,0),FALSE)+$B$7)</f>
        <v>4.4630509281294612</v>
      </c>
      <c r="AA27" s="216">
        <f>VLOOKUP(EOMONTH(X27,0),BBG!$N$63:$R$123,5,FALSE)</f>
        <v>0.53</v>
      </c>
      <c r="AB27" s="210">
        <f t="shared" si="1"/>
        <v>1.8530509281294589</v>
      </c>
      <c r="AC27" s="210">
        <f t="shared" si="18"/>
        <v>1.5253388097588438</v>
      </c>
      <c r="AD27" s="237">
        <f t="shared" si="26"/>
        <v>-0.32771211837061509</v>
      </c>
      <c r="AF27" s="121">
        <f t="shared" si="7"/>
        <v>47087</v>
      </c>
      <c r="AG27" s="122">
        <f>IF(BBG!$D$5=BBG!$J$5,BBG!L29-BBG!L31,BBG!L28-BBG!L30)*2/3</f>
        <v>0.45999999999999847</v>
      </c>
      <c r="AH27" s="122">
        <f>IFERROR(VLOOKUP($C27,Freight!$A$3:$F$22,MATCH(FWD!$AH$41,Freight!$A$3:$F$3,0),FALSE)+$B$7,VLOOKUP($B27,Freight!$A$3:$F$22,MATCH(FWD!$AH$41,Freight!$A$3:$F$3,0),FALSE)+$B$7)</f>
        <v>12.5056717075586</v>
      </c>
      <c r="AI27" s="122">
        <f>VLOOKUP(X27,BBG!$U$63:$Y$123,4,FALSE)</f>
        <v>0.44</v>
      </c>
      <c r="AJ27" s="229">
        <f t="shared" si="8"/>
        <v>10.995671707558598</v>
      </c>
      <c r="AL27" s="121">
        <f t="shared" si="9"/>
        <v>47057</v>
      </c>
      <c r="AM27" s="227" t="e">
        <f>IFERROR(VLOOKUP(AL27,BBG!$AE$64:$AJ$100,6,FALSE),AM26)</f>
        <v>#VALUE!</v>
      </c>
      <c r="AN27" s="227">
        <f t="shared" si="19"/>
        <v>0.25999999999999091</v>
      </c>
      <c r="AO27" s="122">
        <f>VLOOKUP($B27,Freight!$A$3:$G$22,MATCH(FWD!$AO$41,Freight!$A$3:$G$3,0),FALSE)</f>
        <v>3.6136781296387928</v>
      </c>
      <c r="AP27" s="122">
        <f t="shared" si="20"/>
        <v>0.44</v>
      </c>
      <c r="AQ27" s="121">
        <f t="shared" si="10"/>
        <v>47087</v>
      </c>
      <c r="AR27" s="267" t="e">
        <f t="shared" si="21"/>
        <v>#VALUE!</v>
      </c>
      <c r="AT27" s="234" t="e">
        <f t="shared" si="11"/>
        <v>#VALUE!</v>
      </c>
      <c r="AU27" s="125"/>
    </row>
    <row r="28" spans="1:71" x14ac:dyDescent="0.35">
      <c r="B28" s="71" t="s">
        <v>256</v>
      </c>
      <c r="C28" s="171">
        <f t="shared" si="22"/>
        <v>47057</v>
      </c>
      <c r="D28" t="s">
        <v>45</v>
      </c>
      <c r="E28" s="108">
        <f t="shared" si="28"/>
        <v>47057</v>
      </c>
      <c r="F28" s="213">
        <f>INDEX(Sheet1!$B$38:$N$49,MATCH("MEH",Sheet1!$B$38:$B$49,0),MATCH(FWD!D28,Sheet1!$B$38:$N$38,0))</f>
        <v>1.98</v>
      </c>
      <c r="G28" s="214">
        <f>BBG!F28-BBG!F30</f>
        <v>0.62000000000000455</v>
      </c>
      <c r="H28" s="214">
        <f>IF(BBG!$D$5=BBG!$J$5,BBG!F30-BBG!L30,BBG!F30-BBG!L29)</f>
        <v>-5.0500000000000114</v>
      </c>
      <c r="I28" s="214">
        <f t="shared" si="12"/>
        <v>0</v>
      </c>
      <c r="J28" s="221">
        <f t="shared" si="13"/>
        <v>-2.4500000000000068</v>
      </c>
      <c r="K28" s="509">
        <f>BBG!G87+FWD!F28</f>
        <v>-2.8541000000000065</v>
      </c>
      <c r="L28" s="95"/>
      <c r="M28" s="114">
        <f t="shared" si="3"/>
        <v>47057</v>
      </c>
      <c r="N28" s="215">
        <f>IFERROR(VLOOKUP($C28,Freight!$A$3:$F$22,MATCH(FWD!$N$41,Freight!$A$3:$F$3,0),FALSE)+$B$7,VLOOKUP($B28,Freight!$A$3:$F$22,MATCH(FWD!$N$41,Freight!$A$3:$F$3,0),FALSE)+$B$7)</f>
        <v>4.4630509281294612</v>
      </c>
      <c r="O28" s="216">
        <f>VLOOKUP(EOMONTH(M28,0),BBG!$N$63:$R$123,5,FALSE)</f>
        <v>0.53</v>
      </c>
      <c r="P28" s="209">
        <f t="shared" si="0"/>
        <v>1.4830509281294544</v>
      </c>
      <c r="Q28" s="209">
        <f t="shared" si="4"/>
        <v>0.03</v>
      </c>
      <c r="R28" s="215">
        <f>IFERROR(VLOOKUP($C28,Freight!$A$3:$F$22,MATCH(FWD!$U$41,Freight!$A$3:$F$3,0),FALSE),VLOOKUP($B28,Freight!$A$3:$F$22,MATCH(FWD!$U$41,Freight!$A$3:$F$3,0),FALSE))</f>
        <v>1.2853388097588492</v>
      </c>
      <c r="S28" s="209">
        <f>INDEX(BBG!$H$4:$L$53,MATCH(FWD!$M28,BBG!$H$4:$H$53,0),MATCH("Settle",BBG!$H$4:$L$4,0))-INDEX(BBG!$H$4:$L$53,MATCH(FWD!$M30,BBG!$H$4:$H$53,0),MATCH("Settle",BBG!$H$4:$L$4,0))</f>
        <v>0.73999999999999488</v>
      </c>
      <c r="T28" s="209">
        <f t="shared" si="14"/>
        <v>0.53</v>
      </c>
      <c r="U28" s="209">
        <f t="shared" si="15"/>
        <v>1.5253388097588438</v>
      </c>
      <c r="V28" s="237">
        <f t="shared" si="25"/>
        <v>4.2287881629389457E-2</v>
      </c>
      <c r="W28" s="98"/>
      <c r="X28" s="114">
        <f t="shared" si="17"/>
        <v>47087</v>
      </c>
      <c r="Y28" s="217">
        <f>IF(BBG!$D$5=BBG!$J$5,BBG!L32-BBG!L33,BBG!L31-BBG!L32)</f>
        <v>0.25999999999999091</v>
      </c>
      <c r="Z28" s="215">
        <f>IFERROR(VLOOKUP($C29,Freight!$A$3:$F$22,MATCH(FWD!$N$41,Freight!$A$3:$F$3,0),FALSE)+$B$7,VLOOKUP($B29,Freight!$A$3:$F$22,MATCH(FWD!$N$41,Freight!$A$3:$F$3,0),FALSE)+$B$7)</f>
        <v>4.4630509281294612</v>
      </c>
      <c r="AA28" s="216">
        <f>VLOOKUP(EOMONTH(X28,0),BBG!$N$63:$R$123,5,FALSE)</f>
        <v>0.53</v>
      </c>
      <c r="AB28" s="210">
        <f t="shared" si="1"/>
        <v>1.7430509281294453</v>
      </c>
      <c r="AC28" s="210">
        <f t="shared" si="18"/>
        <v>1.4753388097588467</v>
      </c>
      <c r="AD28" s="237">
        <f t="shared" si="26"/>
        <v>-0.26771211837059861</v>
      </c>
      <c r="AF28" s="121">
        <f t="shared" si="7"/>
        <v>47118</v>
      </c>
      <c r="AG28" s="122">
        <f>IF(BBG!$D$5=BBG!$J$5,BBG!L30-BBG!L32,BBG!L29-BBG!L31)*2/3</f>
        <v>0.45333333333333786</v>
      </c>
      <c r="AH28" s="122">
        <f>IFERROR(VLOOKUP($C28,Freight!$A$3:$F$22,MATCH(FWD!$AH$41,Freight!$A$3:$F$3,0),FALSE)+$B$7,VLOOKUP($B28,Freight!$A$3:$F$22,MATCH(FWD!$AH$41,Freight!$A$3:$F$3,0),FALSE)+$B$7)</f>
        <v>12.5056717075586</v>
      </c>
      <c r="AI28" s="122">
        <f>VLOOKUP(X28,BBG!$U$63:$Y$123,4,FALSE)</f>
        <v>0.44</v>
      </c>
      <c r="AJ28" s="229">
        <f t="shared" si="8"/>
        <v>10.949005040891931</v>
      </c>
      <c r="AL28" s="121">
        <f t="shared" si="9"/>
        <v>47087</v>
      </c>
      <c r="AM28" s="227" t="e">
        <f>IFERROR(VLOOKUP(AL28,BBG!$AE$64:$AJ$100,6,FALSE),AM27)</f>
        <v>#VALUE!</v>
      </c>
      <c r="AN28" s="227">
        <f t="shared" si="19"/>
        <v>0.26000000000000512</v>
      </c>
      <c r="AO28" s="122">
        <f>VLOOKUP($B28,Freight!$A$3:$G$22,MATCH(FWD!$AO$41,Freight!$A$3:$G$3,0),FALSE)</f>
        <v>3.6136781296387928</v>
      </c>
      <c r="AP28" s="122">
        <f t="shared" si="20"/>
        <v>0.44</v>
      </c>
      <c r="AQ28" s="121">
        <f t="shared" si="10"/>
        <v>47118</v>
      </c>
      <c r="AR28" s="267" t="e">
        <f t="shared" si="21"/>
        <v>#VALUE!</v>
      </c>
      <c r="AT28" s="234" t="e">
        <f t="shared" si="11"/>
        <v>#VALUE!</v>
      </c>
      <c r="AU28" s="125"/>
    </row>
    <row r="29" spans="1:71" x14ac:dyDescent="0.35">
      <c r="B29" s="71" t="s">
        <v>256</v>
      </c>
      <c r="C29" s="171">
        <f t="shared" si="22"/>
        <v>47087</v>
      </c>
      <c r="D29" t="s">
        <v>45</v>
      </c>
      <c r="E29" s="108">
        <f t="shared" si="28"/>
        <v>47087</v>
      </c>
      <c r="F29" s="213">
        <f>INDEX(Sheet1!$B$38:$N$49,MATCH("MEH",Sheet1!$B$38:$B$49,0),MATCH(FWD!D29,Sheet1!$B$38:$N$38,0))</f>
        <v>1.98</v>
      </c>
      <c r="G29" s="214">
        <f>BBG!F29-BBG!F31</f>
        <v>0.63000000000000966</v>
      </c>
      <c r="H29" s="214">
        <f>IF(BBG!$D$5=BBG!$J$5,BBG!F31-BBG!L31,BBG!F31-BBG!L30)</f>
        <v>-5.0300000000000011</v>
      </c>
      <c r="I29" s="214">
        <f t="shared" si="12"/>
        <v>0</v>
      </c>
      <c r="J29" s="221">
        <f t="shared" si="13"/>
        <v>-2.4199999999999915</v>
      </c>
      <c r="K29" s="509">
        <f>BBG!G88+FWD!F29</f>
        <v>-2.8150000000000017</v>
      </c>
      <c r="L29" s="95"/>
      <c r="M29" s="114">
        <f t="shared" si="3"/>
        <v>47087</v>
      </c>
      <c r="N29" s="215">
        <f>IFERROR(VLOOKUP($C29,Freight!$A$3:$F$22,MATCH(FWD!$N$41,Freight!$A$3:$F$3,0),FALSE)+$B$7,VLOOKUP($B29,Freight!$A$3:$F$22,MATCH(FWD!$N$41,Freight!$A$3:$F$3,0),FALSE)+$B$7)</f>
        <v>4.4630509281294612</v>
      </c>
      <c r="O29" s="216">
        <f>VLOOKUP(EOMONTH(M29,0),BBG!$N$63:$R$123,5,FALSE)</f>
        <v>0.53</v>
      </c>
      <c r="P29" s="209">
        <f t="shared" si="0"/>
        <v>1.5130509281294697</v>
      </c>
      <c r="Q29" s="209">
        <f t="shared" si="4"/>
        <v>0.03</v>
      </c>
      <c r="R29" s="215">
        <f>IFERROR(VLOOKUP($C29,Freight!$A$3:$F$22,MATCH(FWD!$U$41,Freight!$A$3:$F$3,0),FALSE),VLOOKUP($B29,Freight!$A$3:$F$22,MATCH(FWD!$U$41,Freight!$A$3:$F$3,0),FALSE))</f>
        <v>1.2853388097588492</v>
      </c>
      <c r="S29" s="209">
        <f>INDEX(BBG!$H$4:$L$53,MATCH(FWD!$M29,BBG!$H$4:$H$53,0),MATCH("Settle",BBG!$H$4:$L$4,0))-INDEX(BBG!$H$4:$L$53,MATCH(FWD!$M31,BBG!$H$4:$H$53,0),MATCH("Settle",BBG!$H$4:$L$4,0))</f>
        <v>0.68999999999999773</v>
      </c>
      <c r="T29" s="209">
        <f t="shared" si="14"/>
        <v>0.53</v>
      </c>
      <c r="U29" s="209">
        <f t="shared" si="15"/>
        <v>1.4753388097588467</v>
      </c>
      <c r="V29" s="237">
        <f t="shared" si="25"/>
        <v>-3.7712118370623049E-2</v>
      </c>
      <c r="W29" s="98"/>
      <c r="X29" s="114">
        <f t="shared" si="17"/>
        <v>47118</v>
      </c>
      <c r="Y29" s="217">
        <f>IF(BBG!$D$5=BBG!$J$5,BBG!L33-BBG!L34,BBG!L32-BBG!L33)</f>
        <v>0.26000000000000512</v>
      </c>
      <c r="Z29" s="215">
        <f>IFERROR(VLOOKUP($C30,Freight!$A$3:$F$22,MATCH(FWD!$N$41,Freight!$A$3:$F$3,0),FALSE)+$B$7,VLOOKUP($B30,Freight!$A$3:$F$22,MATCH(FWD!$N$41,Freight!$A$3:$F$3,0),FALSE)+$B$7)</f>
        <v>4.4630509281294612</v>
      </c>
      <c r="AA29" s="216">
        <f>VLOOKUP(EOMONTH(X29,0),BBG!$N$63:$R$123,5,FALSE)</f>
        <v>0.53</v>
      </c>
      <c r="AB29" s="210">
        <f t="shared" si="1"/>
        <v>1.7730509281294748</v>
      </c>
      <c r="AC29" s="210">
        <f t="shared" si="18"/>
        <v>1.465338809758856</v>
      </c>
      <c r="AD29" s="237">
        <f t="shared" si="26"/>
        <v>-0.30771211837061885</v>
      </c>
      <c r="AF29" s="121">
        <f t="shared" si="7"/>
        <v>47149</v>
      </c>
      <c r="AG29" s="122">
        <f>IF(BBG!$D$5=BBG!$J$5,BBG!L31-BBG!L33,BBG!L30-BBG!L32)*2/3</f>
        <v>0.39333333333332615</v>
      </c>
      <c r="AH29" s="122">
        <f>IFERROR(VLOOKUP($C29,Freight!$A$3:$F$22,MATCH(FWD!$AH$41,Freight!$A$3:$F$3,0),FALSE)+$B$7,VLOOKUP($B29,Freight!$A$3:$F$22,MATCH(FWD!$AH$41,Freight!$A$3:$F$3,0),FALSE)+$B$7)</f>
        <v>12.5056717075586</v>
      </c>
      <c r="AI29" s="122">
        <f>VLOOKUP(X29,BBG!$U$63:$Y$123,4,FALSE)</f>
        <v>0.44</v>
      </c>
      <c r="AJ29" s="229">
        <f t="shared" si="8"/>
        <v>10.919005040891934</v>
      </c>
      <c r="AL29" s="121">
        <f t="shared" si="9"/>
        <v>47118</v>
      </c>
      <c r="AM29" s="227" t="e">
        <f>IFERROR(VLOOKUP(AL29,BBG!$AE$64:$AJ$100,6,FALSE),AM28)</f>
        <v>#VALUE!</v>
      </c>
      <c r="AN29" s="227">
        <f t="shared" si="19"/>
        <v>0.26999999999999602</v>
      </c>
      <c r="AO29" s="122">
        <f>VLOOKUP($B29,Freight!$A$3:$G$22,MATCH(FWD!$AO$41,Freight!$A$3:$G$3,0),FALSE)</f>
        <v>3.6136781296387928</v>
      </c>
      <c r="AP29" s="122">
        <f t="shared" si="20"/>
        <v>0.44</v>
      </c>
      <c r="AQ29" s="121">
        <f t="shared" si="10"/>
        <v>47149</v>
      </c>
      <c r="AR29" s="267" t="e">
        <f t="shared" si="21"/>
        <v>#VALUE!</v>
      </c>
      <c r="AT29" s="234" t="e">
        <f t="shared" si="11"/>
        <v>#VALUE!</v>
      </c>
      <c r="AU29" s="125"/>
    </row>
    <row r="30" spans="1:71" x14ac:dyDescent="0.35">
      <c r="B30" s="71" t="s">
        <v>256</v>
      </c>
      <c r="C30" s="171">
        <f t="shared" si="22"/>
        <v>47118</v>
      </c>
      <c r="D30" t="s">
        <v>45</v>
      </c>
      <c r="E30" s="108">
        <f t="shared" ref="E30:E40" si="29">EOMONTH(E29,1)</f>
        <v>47118</v>
      </c>
      <c r="F30" s="213">
        <f>INDEX(Sheet1!$B$38:$N$49,MATCH("MEH",Sheet1!$B$38:$B$49,0),MATCH(FWD!D30,Sheet1!$B$38:$N$38,0))</f>
        <v>1.98</v>
      </c>
      <c r="G30" s="214">
        <f>BBG!F30-BBG!F32</f>
        <v>0.68999999999999773</v>
      </c>
      <c r="H30" s="214">
        <f>IF(BBG!$D$5=BBG!$J$5,BBG!F32-BBG!L32,BBG!F32-BBG!L31)</f>
        <v>-5.0600000000000023</v>
      </c>
      <c r="I30" s="214">
        <f t="shared" si="12"/>
        <v>0</v>
      </c>
      <c r="J30" s="221">
        <f t="shared" si="13"/>
        <v>-2.3900000000000046</v>
      </c>
      <c r="K30" s="509">
        <f>BBG!G89+FWD!F30</f>
        <v>-2.8240000000000021</v>
      </c>
      <c r="L30" s="95"/>
      <c r="M30" s="114">
        <f t="shared" si="3"/>
        <v>47118</v>
      </c>
      <c r="N30" s="215">
        <f>IFERROR(VLOOKUP($C30,Freight!$A$3:$F$22,MATCH(FWD!$N$41,Freight!$A$3:$F$3,0),FALSE)+$B$7,VLOOKUP($B30,Freight!$A$3:$F$22,MATCH(FWD!$N$41,Freight!$A$3:$F$3,0),FALSE)+$B$7)</f>
        <v>4.4630509281294612</v>
      </c>
      <c r="O30" s="216">
        <f>VLOOKUP(EOMONTH(M30,0),BBG!$N$63:$R$123,5,FALSE)</f>
        <v>0.53</v>
      </c>
      <c r="P30" s="209">
        <f t="shared" si="0"/>
        <v>1.5430509281294567</v>
      </c>
      <c r="Q30" s="209">
        <f t="shared" si="4"/>
        <v>0.03</v>
      </c>
      <c r="R30" s="215">
        <f>IFERROR(VLOOKUP($C30,Freight!$A$3:$F$22,MATCH(FWD!$U$41,Freight!$A$3:$F$3,0),FALSE),VLOOKUP($B30,Freight!$A$3:$F$22,MATCH(FWD!$U$41,Freight!$A$3:$F$3,0),FALSE))</f>
        <v>1.2853388097588492</v>
      </c>
      <c r="S30" s="209">
        <f>INDEX(BBG!$H$4:$L$53,MATCH(FWD!$M30,BBG!$H$4:$H$53,0),MATCH("Settle",BBG!$H$4:$L$4,0))-INDEX(BBG!$H$4:$L$53,MATCH(FWD!$M32,BBG!$H$4:$H$53,0),MATCH("Settle",BBG!$H$4:$L$4,0))</f>
        <v>0.68000000000000682</v>
      </c>
      <c r="T30" s="209">
        <f t="shared" si="14"/>
        <v>0.53</v>
      </c>
      <c r="U30" s="209">
        <f t="shared" si="15"/>
        <v>1.465338809758856</v>
      </c>
      <c r="V30" s="237">
        <f t="shared" si="25"/>
        <v>-7.7712118370600658E-2</v>
      </c>
      <c r="W30" s="98"/>
      <c r="X30" s="114">
        <f t="shared" si="17"/>
        <v>47149</v>
      </c>
      <c r="Y30" s="217">
        <f>IF(BBG!$D$5=BBG!$J$5,BBG!L34-BBG!L35,BBG!L33-BBG!L34)</f>
        <v>0.26999999999999602</v>
      </c>
      <c r="Z30" s="215">
        <f>IFERROR(VLOOKUP($C31,Freight!$A$3:$F$22,MATCH(FWD!$N$41,Freight!$A$3:$F$3,0),FALSE)+$B$7,VLOOKUP($B31,Freight!$A$3:$F$22,MATCH(FWD!$N$41,Freight!$A$3:$F$3,0),FALSE)+$B$7)</f>
        <v>4.4630509281294612</v>
      </c>
      <c r="AA30" s="216">
        <f>VLOOKUP(EOMONTH(X30,0),BBG!$N$63:$R$123,5,FALSE)</f>
        <v>0.54</v>
      </c>
      <c r="AB30" s="210">
        <f t="shared" si="1"/>
        <v>1.8030509281294527</v>
      </c>
      <c r="AC30" s="210">
        <f t="shared" si="18"/>
        <v>1.3653388097588384</v>
      </c>
      <c r="AD30" s="237">
        <f t="shared" si="26"/>
        <v>-0.4377121183706143</v>
      </c>
      <c r="AF30" s="121">
        <f t="shared" si="7"/>
        <v>47177</v>
      </c>
      <c r="AG30" s="122">
        <f>IF(BBG!$D$5=BBG!$J$5,BBG!L32-BBG!L34,BBG!L31-BBG!L33)*2/3</f>
        <v>0.34666666666666401</v>
      </c>
      <c r="AH30" s="122">
        <f>IFERROR(VLOOKUP($C30,Freight!$A$3:$F$22,MATCH(FWD!$AH$41,Freight!$A$3:$F$3,0),FALSE)+$B$7,VLOOKUP($B30,Freight!$A$3:$F$22,MATCH(FWD!$AH$41,Freight!$A$3:$F$3,0),FALSE)+$B$7)</f>
        <v>12.5056717075586</v>
      </c>
      <c r="AI30" s="122">
        <f>VLOOKUP(X30,BBG!$U$63:$Y$123,4,FALSE)</f>
        <v>0.44</v>
      </c>
      <c r="AJ30" s="229">
        <f t="shared" si="8"/>
        <v>10.902338374225259</v>
      </c>
      <c r="AL30" s="121">
        <f t="shared" si="9"/>
        <v>47149</v>
      </c>
      <c r="AM30" s="227" t="e">
        <f>IFERROR(VLOOKUP(AL30,BBG!$AE$64:$AJ$100,6,FALSE),AM29)</f>
        <v>#VALUE!</v>
      </c>
      <c r="AN30" s="227">
        <f t="shared" si="19"/>
        <v>0.28000000000000114</v>
      </c>
      <c r="AO30" s="122">
        <f>VLOOKUP($B30,Freight!$A$3:$G$22,MATCH(FWD!$AO$41,Freight!$A$3:$G$3,0),FALSE)</f>
        <v>3.6136781296387928</v>
      </c>
      <c r="AP30" s="122">
        <f t="shared" si="20"/>
        <v>0.44</v>
      </c>
      <c r="AQ30" s="121">
        <f t="shared" si="10"/>
        <v>47177</v>
      </c>
      <c r="AR30" s="267" t="e">
        <f t="shared" si="21"/>
        <v>#VALUE!</v>
      </c>
      <c r="AT30" s="234" t="e">
        <f t="shared" si="11"/>
        <v>#VALUE!</v>
      </c>
      <c r="AU30" s="125"/>
    </row>
    <row r="31" spans="1:71" x14ac:dyDescent="0.35">
      <c r="B31" s="71" t="s">
        <v>256</v>
      </c>
      <c r="C31" s="171">
        <f t="shared" si="22"/>
        <v>47149</v>
      </c>
      <c r="D31" t="s">
        <v>45</v>
      </c>
      <c r="E31" s="108">
        <f t="shared" si="29"/>
        <v>47149</v>
      </c>
      <c r="F31" s="213">
        <f>INDEX(Sheet1!$B$38:$N$49,MATCH("MEH",Sheet1!$B$38:$B$49,0),MATCH(FWD!D31,Sheet1!$B$38:$N$38,0))</f>
        <v>1.98</v>
      </c>
      <c r="G31" s="214">
        <f>BBG!F31-BBG!F33</f>
        <v>0.68999999999999773</v>
      </c>
      <c r="H31" s="214">
        <f>IF(BBG!$D$5=BBG!$J$5,BBG!F33-BBG!L33,BBG!F33-BBG!L32)</f>
        <v>-5.1300000000000097</v>
      </c>
      <c r="I31" s="214">
        <f t="shared" si="12"/>
        <v>0</v>
      </c>
      <c r="J31" s="221">
        <f t="shared" si="13"/>
        <v>-2.460000000000012</v>
      </c>
      <c r="K31" s="509">
        <f>BBG!G90+FWD!F31</f>
        <v>-2.9182000000000028</v>
      </c>
      <c r="L31" s="95"/>
      <c r="M31" s="114">
        <f t="shared" si="3"/>
        <v>47149</v>
      </c>
      <c r="N31" s="215">
        <f>IFERROR(VLOOKUP($C31,Freight!$A$3:$F$22,MATCH(FWD!$N$41,Freight!$A$3:$F$3,0),FALSE)+$B$7,VLOOKUP($B31,Freight!$A$3:$F$22,MATCH(FWD!$N$41,Freight!$A$3:$F$3,0),FALSE)+$B$7)</f>
        <v>4.4630509281294612</v>
      </c>
      <c r="O31" s="216">
        <f>VLOOKUP(EOMONTH(M31,0),BBG!$N$63:$R$123,5,FALSE)</f>
        <v>0.54</v>
      </c>
      <c r="P31" s="209">
        <f t="shared" si="0"/>
        <v>1.4630509281294493</v>
      </c>
      <c r="Q31" s="209">
        <f t="shared" si="4"/>
        <v>0.03</v>
      </c>
      <c r="R31" s="215">
        <f>IFERROR(VLOOKUP($C31,Freight!$A$3:$F$22,MATCH(FWD!$U$41,Freight!$A$3:$F$3,0),FALSE),VLOOKUP($B31,Freight!$A$3:$F$22,MATCH(FWD!$U$41,Freight!$A$3:$F$3,0),FALSE))</f>
        <v>1.2853388097588492</v>
      </c>
      <c r="S31" s="209">
        <f>INDEX(BBG!$H$4:$L$53,MATCH(FWD!$M31,BBG!$H$4:$H$53,0),MATCH("Settle",BBG!$H$4:$L$4,0))-INDEX(BBG!$H$4:$L$53,MATCH(FWD!$M33,BBG!$H$4:$H$53,0),MATCH("Settle",BBG!$H$4:$L$4,0))</f>
        <v>0.5899999999999892</v>
      </c>
      <c r="T31" s="209">
        <f t="shared" si="14"/>
        <v>0.54</v>
      </c>
      <c r="U31" s="209">
        <f t="shared" si="15"/>
        <v>1.3653388097588384</v>
      </c>
      <c r="V31" s="237">
        <f t="shared" si="25"/>
        <v>-9.771211837061089E-2</v>
      </c>
      <c r="W31" s="98"/>
      <c r="X31" s="114">
        <f t="shared" si="17"/>
        <v>47177</v>
      </c>
      <c r="Y31" s="217">
        <f>IF(BBG!$D$5=BBG!$J$5,BBG!L35-BBG!L36,BBG!L34-BBG!L35)</f>
        <v>0.28000000000000114</v>
      </c>
      <c r="Z31" s="215">
        <f>IFERROR(VLOOKUP($C32,Freight!$A$3:$F$22,MATCH(FWD!$N$41,Freight!$A$3:$F$3,0),FALSE)+$B$7,VLOOKUP($B32,Freight!$A$3:$F$22,MATCH(FWD!$N$41,Freight!$A$3:$F$3,0),FALSE)+$B$7)</f>
        <v>4.4630509281294612</v>
      </c>
      <c r="AA31" s="216">
        <f>VLOOKUP(EOMONTH(X31,0),BBG!$N$63:$R$123,5,FALSE)</f>
        <v>0.53</v>
      </c>
      <c r="AB31" s="210">
        <f t="shared" si="1"/>
        <v>1.7530509281294504</v>
      </c>
      <c r="AC31" s="210">
        <f t="shared" si="18"/>
        <v>1.3053388097588452</v>
      </c>
      <c r="AD31" s="237">
        <f t="shared" si="26"/>
        <v>-0.44771211837060521</v>
      </c>
      <c r="AF31" s="121">
        <f t="shared" si="7"/>
        <v>47208</v>
      </c>
      <c r="AG31" s="122">
        <f>IF(BBG!$D$5=BBG!$J$5,BBG!L33-BBG!L35,BBG!L32-BBG!L34)*2/3</f>
        <v>0.35333333333333411</v>
      </c>
      <c r="AH31" s="122">
        <f>IFERROR(VLOOKUP($C31,Freight!$A$3:$F$22,MATCH(FWD!$AH$41,Freight!$A$3:$F$3,0),FALSE)+$B$7,VLOOKUP($B31,Freight!$A$3:$F$22,MATCH(FWD!$AH$41,Freight!$A$3:$F$3,0),FALSE)+$B$7)</f>
        <v>12.5056717075586</v>
      </c>
      <c r="AI31" s="122">
        <f>VLOOKUP(X31,BBG!$U$63:$Y$123,4,FALSE)</f>
        <v>0.44</v>
      </c>
      <c r="AJ31" s="229">
        <f t="shared" si="8"/>
        <v>10.839005040891921</v>
      </c>
      <c r="AL31" s="121">
        <f t="shared" si="9"/>
        <v>47177</v>
      </c>
      <c r="AM31" s="227" t="e">
        <f>IFERROR(VLOOKUP(AL31,BBG!$AE$64:$AJ$100,6,FALSE),AM30)</f>
        <v>#VALUE!</v>
      </c>
      <c r="AN31" s="227">
        <f t="shared" si="19"/>
        <v>0.30000000000001137</v>
      </c>
      <c r="AO31" s="122">
        <f>VLOOKUP($B31,Freight!$A$3:$G$22,MATCH(FWD!$AO$41,Freight!$A$3:$G$3,0),FALSE)</f>
        <v>3.6136781296387928</v>
      </c>
      <c r="AP31" s="122">
        <f t="shared" si="20"/>
        <v>0.44</v>
      </c>
      <c r="AQ31" s="121">
        <f t="shared" si="10"/>
        <v>47208</v>
      </c>
      <c r="AR31" s="267" t="e">
        <f t="shared" si="21"/>
        <v>#VALUE!</v>
      </c>
      <c r="AT31" s="234" t="e">
        <f t="shared" si="11"/>
        <v>#VALUE!</v>
      </c>
      <c r="AU31" s="125"/>
    </row>
    <row r="32" spans="1:71" x14ac:dyDescent="0.35">
      <c r="B32" s="71" t="s">
        <v>256</v>
      </c>
      <c r="C32" s="171">
        <f t="shared" si="22"/>
        <v>47177</v>
      </c>
      <c r="D32" t="s">
        <v>45</v>
      </c>
      <c r="E32" s="108">
        <f t="shared" si="29"/>
        <v>47177</v>
      </c>
      <c r="F32" s="213">
        <f>INDEX(Sheet1!$B$38:$N$49,MATCH("MEH",Sheet1!$B$38:$B$49,0),MATCH(FWD!D32,Sheet1!$B$38:$N$38,0))</f>
        <v>1.98</v>
      </c>
      <c r="G32" s="214">
        <f>BBG!F32-BBG!F34</f>
        <v>0.64999999999999147</v>
      </c>
      <c r="H32" s="214">
        <f>IF(BBG!$D$5=BBG!$J$5,BBG!F34-BBG!L34,BBG!F34-BBG!L33)</f>
        <v>-5.1899999999999977</v>
      </c>
      <c r="I32" s="214">
        <f t="shared" si="12"/>
        <v>0</v>
      </c>
      <c r="J32" s="221">
        <f t="shared" si="13"/>
        <v>-2.5600000000000063</v>
      </c>
      <c r="K32" s="509">
        <f>BBG!G91+FWD!F32</f>
        <v>-2.9764999999999913</v>
      </c>
      <c r="L32" s="95"/>
      <c r="M32" s="114">
        <f t="shared" si="3"/>
        <v>47177</v>
      </c>
      <c r="N32" s="215">
        <f>IFERROR(VLOOKUP($C32,Freight!$A$3:$F$22,MATCH(FWD!$N$41,Freight!$A$3:$F$3,0),FALSE)+$B$7,VLOOKUP($B32,Freight!$A$3:$F$22,MATCH(FWD!$N$41,Freight!$A$3:$F$3,0),FALSE)+$B$7)</f>
        <v>4.4630509281294612</v>
      </c>
      <c r="O32" s="216">
        <f>VLOOKUP(EOMONTH(M32,0),BBG!$N$63:$R$123,5,FALSE)</f>
        <v>0.53</v>
      </c>
      <c r="P32" s="209">
        <f t="shared" si="0"/>
        <v>1.373050928129455</v>
      </c>
      <c r="Q32" s="209">
        <f t="shared" si="4"/>
        <v>0.03</v>
      </c>
      <c r="R32" s="215">
        <f>IFERROR(VLOOKUP($C32,Freight!$A$3:$F$22,MATCH(FWD!$U$41,Freight!$A$3:$F$3,0),FALSE),VLOOKUP($B32,Freight!$A$3:$F$22,MATCH(FWD!$U$41,Freight!$A$3:$F$3,0),FALSE))</f>
        <v>1.2853388097588492</v>
      </c>
      <c r="S32" s="209">
        <f>INDEX(BBG!$H$4:$L$53,MATCH(FWD!$M32,BBG!$H$4:$H$53,0),MATCH("Settle",BBG!$H$4:$L$4,0))-INDEX(BBG!$H$4:$L$53,MATCH(FWD!$M34,BBG!$H$4:$H$53,0),MATCH("Settle",BBG!$H$4:$L$4,0))</f>
        <v>0.51999999999999602</v>
      </c>
      <c r="T32" s="209">
        <f t="shared" si="14"/>
        <v>0.53</v>
      </c>
      <c r="U32" s="209">
        <f t="shared" si="15"/>
        <v>1.3053388097588452</v>
      </c>
      <c r="V32" s="237">
        <f t="shared" si="25"/>
        <v>-6.7712118370609753E-2</v>
      </c>
      <c r="W32" s="98"/>
      <c r="X32" s="114">
        <f t="shared" si="17"/>
        <v>47208</v>
      </c>
      <c r="Y32" s="217">
        <f>IF(BBG!$D$5=BBG!$J$5,BBG!L36-BBG!L37,BBG!L35-BBG!L36)</f>
        <v>0.30000000000001137</v>
      </c>
      <c r="Z32" s="215">
        <f>IFERROR(VLOOKUP($C33,Freight!$A$3:$F$22,MATCH(FWD!$N$41,Freight!$A$3:$F$3,0),FALSE)+$B$7,VLOOKUP($B33,Freight!$A$3:$F$22,MATCH(FWD!$N$41,Freight!$A$3:$F$3,0),FALSE)+$B$7)</f>
        <v>4.4630509281294612</v>
      </c>
      <c r="AA32" s="216">
        <f>VLOOKUP(EOMONTH(X32,0),BBG!$N$63:$R$123,5,FALSE)</f>
        <v>0.53</v>
      </c>
      <c r="AB32" s="210">
        <f t="shared" si="1"/>
        <v>1.6730509281294663</v>
      </c>
      <c r="AC32" s="210">
        <f t="shared" si="18"/>
        <v>1.3153388097588503</v>
      </c>
      <c r="AD32" s="237">
        <f t="shared" si="26"/>
        <v>-0.35771211837061601</v>
      </c>
      <c r="AF32" s="121">
        <f t="shared" si="7"/>
        <v>47238</v>
      </c>
      <c r="AG32" s="122">
        <f>IF(BBG!$D$5=BBG!$J$5,BBG!L34-BBG!L36,BBG!L33-BBG!L35)*2/3</f>
        <v>0.36666666666666475</v>
      </c>
      <c r="AH32" s="122">
        <f>IFERROR(VLOOKUP($C32,Freight!$A$3:$F$22,MATCH(FWD!$AH$41,Freight!$A$3:$F$3,0),FALSE)+$B$7,VLOOKUP($B32,Freight!$A$3:$F$22,MATCH(FWD!$AH$41,Freight!$A$3:$F$3,0),FALSE)+$B$7)</f>
        <v>12.5056717075586</v>
      </c>
      <c r="AI32" s="122">
        <f>VLOOKUP(X32,BBG!$U$63:$Y$123,4,FALSE)</f>
        <v>0.44</v>
      </c>
      <c r="AJ32" s="229">
        <f t="shared" si="8"/>
        <v>10.752338374225259</v>
      </c>
      <c r="AL32" s="121">
        <f t="shared" si="9"/>
        <v>47208</v>
      </c>
      <c r="AM32" s="227" t="e">
        <f>IFERROR(VLOOKUP(AL32,BBG!$AE$64:$AJ$100,6,FALSE),AM31)</f>
        <v>#VALUE!</v>
      </c>
      <c r="AN32" s="227">
        <f t="shared" si="19"/>
        <v>0.26999999999999602</v>
      </c>
      <c r="AO32" s="122">
        <f>VLOOKUP($B32,Freight!$A$3:$G$22,MATCH(FWD!$AO$41,Freight!$A$3:$G$3,0),FALSE)</f>
        <v>3.6136781296387928</v>
      </c>
      <c r="AP32" s="122">
        <f t="shared" si="20"/>
        <v>0.44</v>
      </c>
      <c r="AQ32" s="121">
        <f t="shared" si="10"/>
        <v>47238</v>
      </c>
      <c r="AR32" s="267" t="e">
        <f t="shared" si="21"/>
        <v>#VALUE!</v>
      </c>
      <c r="AT32" s="234" t="e">
        <f t="shared" si="11"/>
        <v>#VALUE!</v>
      </c>
      <c r="AU32" s="125"/>
    </row>
    <row r="33" spans="1:59" x14ac:dyDescent="0.35">
      <c r="B33" s="71" t="s">
        <v>256</v>
      </c>
      <c r="C33" s="171">
        <f t="shared" si="22"/>
        <v>47208</v>
      </c>
      <c r="D33" t="s">
        <v>45</v>
      </c>
      <c r="E33" s="108">
        <f t="shared" si="29"/>
        <v>47208</v>
      </c>
      <c r="F33" s="213">
        <f>INDEX(Sheet1!$B$38:$N$49,MATCH("MEH",Sheet1!$B$38:$B$49,0),MATCH(FWD!D33,Sheet1!$B$38:$N$38,0))</f>
        <v>1.98</v>
      </c>
      <c r="G33" s="214">
        <f>BBG!F33-BBG!F35</f>
        <v>0.61999999999999034</v>
      </c>
      <c r="H33" s="214">
        <f>IF(BBG!$D$5=BBG!$J$5,BBG!F35-BBG!L35,BBG!F35-BBG!L34)</f>
        <v>-5.2199999999999989</v>
      </c>
      <c r="I33" s="214">
        <f t="shared" si="12"/>
        <v>0</v>
      </c>
      <c r="J33" s="221">
        <f t="shared" si="13"/>
        <v>-2.6200000000000085</v>
      </c>
      <c r="K33" s="509">
        <f>BBG!G92+FWD!F33</f>
        <v>-3.0267000000000093</v>
      </c>
      <c r="L33" s="95"/>
      <c r="M33" s="114">
        <f t="shared" si="3"/>
        <v>47208</v>
      </c>
      <c r="N33" s="215">
        <f>IFERROR(VLOOKUP($C33,Freight!$A$3:$F$22,MATCH(FWD!$N$41,Freight!$A$3:$F$3,0),FALSE)+$B$7,VLOOKUP($B33,Freight!$A$3:$F$22,MATCH(FWD!$N$41,Freight!$A$3:$F$3,0),FALSE)+$B$7)</f>
        <v>4.4630509281294612</v>
      </c>
      <c r="O33" s="216">
        <f>VLOOKUP(EOMONTH(M33,0),BBG!$N$63:$R$123,5,FALSE)</f>
        <v>0.53</v>
      </c>
      <c r="P33" s="209">
        <f t="shared" si="0"/>
        <v>1.3130509281294527</v>
      </c>
      <c r="Q33" s="209">
        <f t="shared" si="4"/>
        <v>0.03</v>
      </c>
      <c r="R33" s="215">
        <f>IFERROR(VLOOKUP($C33,Freight!$A$3:$F$22,MATCH(FWD!$U$41,Freight!$A$3:$F$3,0),FALSE),VLOOKUP($B33,Freight!$A$3:$F$22,MATCH(FWD!$U$41,Freight!$A$3:$F$3,0),FALSE))</f>
        <v>1.2853388097588492</v>
      </c>
      <c r="S33" s="209">
        <f>INDEX(BBG!$H$4:$L$53,MATCH(FWD!$M33,BBG!$H$4:$H$53,0),MATCH("Settle",BBG!$H$4:$L$4,0))-INDEX(BBG!$H$4:$L$53,MATCH(FWD!$M35,BBG!$H$4:$H$53,0),MATCH("Settle",BBG!$H$4:$L$4,0))</f>
        <v>0.53000000000000114</v>
      </c>
      <c r="T33" s="209">
        <f t="shared" si="14"/>
        <v>0.53</v>
      </c>
      <c r="U33" s="209">
        <f t="shared" si="15"/>
        <v>1.3153388097588503</v>
      </c>
      <c r="V33" s="237">
        <f t="shared" si="25"/>
        <v>2.2878816293976367E-3</v>
      </c>
      <c r="W33" s="98"/>
      <c r="X33" s="114">
        <f t="shared" si="17"/>
        <v>47238</v>
      </c>
      <c r="Y33" s="217">
        <f>IF(BBG!$D$5=BBG!$J$5,BBG!L37-BBG!L38,BBG!L36-BBG!L37)</f>
        <v>0.26999999999999602</v>
      </c>
      <c r="Z33" s="215">
        <f>IFERROR(VLOOKUP($C34,Freight!$A$3:$F$22,MATCH(FWD!$N$41,Freight!$A$3:$F$3,0),FALSE)+$B$7,VLOOKUP($B34,Freight!$A$3:$F$22,MATCH(FWD!$N$41,Freight!$A$3:$F$3,0),FALSE)+$B$7)</f>
        <v>4.4630509281294612</v>
      </c>
      <c r="AA33" s="216">
        <f>VLOOKUP(EOMONTH(X33,0),BBG!$N$63:$R$123,5,FALSE)</f>
        <v>0.53</v>
      </c>
      <c r="AB33" s="210">
        <f t="shared" si="1"/>
        <v>1.5830509281294487</v>
      </c>
      <c r="AC33" s="210">
        <f t="shared" si="18"/>
        <v>1.3353388097588463</v>
      </c>
      <c r="AD33" s="237">
        <f t="shared" si="26"/>
        <v>-0.24771211837060236</v>
      </c>
      <c r="AF33" s="121">
        <f t="shared" si="7"/>
        <v>47269</v>
      </c>
      <c r="AG33" s="122">
        <f>IF(BBG!$D$5=BBG!$J$5,BBG!L35-BBG!L37,BBG!L34-BBG!L36)*2/3</f>
        <v>0.38666666666667499</v>
      </c>
      <c r="AH33" s="122">
        <f>IFERROR(VLOOKUP($C33,Freight!$A$3:$F$22,MATCH(FWD!$AH$41,Freight!$A$3:$F$3,0),FALSE)+$B$7,VLOOKUP($B33,Freight!$A$3:$F$22,MATCH(FWD!$AH$41,Freight!$A$3:$F$3,0),FALSE)+$B$7)</f>
        <v>12.5056717075586</v>
      </c>
      <c r="AI33" s="122">
        <f>VLOOKUP(X33,BBG!$U$63:$Y$123,4,FALSE)</f>
        <v>0.44</v>
      </c>
      <c r="AJ33" s="229">
        <f t="shared" si="8"/>
        <v>10.712338374225267</v>
      </c>
      <c r="AL33" s="121">
        <f t="shared" si="9"/>
        <v>47238</v>
      </c>
      <c r="AM33" s="227" t="e">
        <f>IFERROR(VLOOKUP(AL33,BBG!$AE$64:$AJ$100,6,FALSE),AM32)</f>
        <v>#VALUE!</v>
      </c>
      <c r="AN33" s="227">
        <f t="shared" si="19"/>
        <v>0.26999999999999602</v>
      </c>
      <c r="AO33" s="122">
        <f>VLOOKUP($B33,Freight!$A$3:$G$22,MATCH(FWD!$AO$41,Freight!$A$3:$G$3,0),FALSE)</f>
        <v>3.6136781296387928</v>
      </c>
      <c r="AP33" s="122">
        <f t="shared" si="20"/>
        <v>0.44</v>
      </c>
      <c r="AQ33" s="121">
        <f t="shared" si="10"/>
        <v>47269</v>
      </c>
      <c r="AR33" s="267" t="e">
        <f t="shared" si="21"/>
        <v>#VALUE!</v>
      </c>
      <c r="AT33" s="234" t="e">
        <f t="shared" si="11"/>
        <v>#VALUE!</v>
      </c>
      <c r="AU33" s="125"/>
    </row>
    <row r="34" spans="1:59" x14ac:dyDescent="0.35">
      <c r="B34" s="71" t="s">
        <v>256</v>
      </c>
      <c r="C34" s="171">
        <f t="shared" si="22"/>
        <v>47238</v>
      </c>
      <c r="D34" t="s">
        <v>45</v>
      </c>
      <c r="E34" s="108">
        <f t="shared" si="29"/>
        <v>47238</v>
      </c>
      <c r="F34" s="213">
        <f>INDEX(Sheet1!$B$38:$N$49,MATCH("MEH",Sheet1!$B$38:$B$49,0),MATCH(FWD!D34,Sheet1!$B$38:$N$38,0))</f>
        <v>1.98</v>
      </c>
      <c r="G34" s="214">
        <f>BBG!F34-BBG!F36</f>
        <v>0.63000000000000966</v>
      </c>
      <c r="H34" s="214">
        <f>IF(BBG!$D$5=BBG!$J$5,BBG!F36-BBG!L36,BBG!F36-BBG!L35)</f>
        <v>-5.2700000000000102</v>
      </c>
      <c r="I34" s="214">
        <f t="shared" si="12"/>
        <v>0</v>
      </c>
      <c r="J34" s="221">
        <f t="shared" si="13"/>
        <v>-2.6600000000000006</v>
      </c>
      <c r="K34" s="509">
        <f>BBG!G93+FWD!F34</f>
        <v>-3.0356999999999954</v>
      </c>
      <c r="L34" s="102"/>
      <c r="M34" s="114">
        <f t="shared" si="3"/>
        <v>47238</v>
      </c>
      <c r="N34" s="215">
        <f>IFERROR(VLOOKUP($C34,Freight!$A$3:$F$22,MATCH(FWD!$N$41,Freight!$A$3:$F$3,0),FALSE)+$B$7,VLOOKUP($B34,Freight!$A$3:$F$22,MATCH(FWD!$N$41,Freight!$A$3:$F$3,0),FALSE)+$B$7)</f>
        <v>4.4630509281294612</v>
      </c>
      <c r="O34" s="216">
        <f>VLOOKUP(EOMONTH(M34,0),BBG!$N$63:$R$123,5,FALSE)</f>
        <v>0.53</v>
      </c>
      <c r="P34" s="209">
        <f t="shared" si="0"/>
        <v>1.2730509281294606</v>
      </c>
      <c r="Q34" s="209">
        <f t="shared" si="4"/>
        <v>0.03</v>
      </c>
      <c r="R34" s="215">
        <f>IFERROR(VLOOKUP($C34,Freight!$A$3:$F$22,MATCH(FWD!$U$41,Freight!$A$3:$F$3,0),FALSE),VLOOKUP($B34,Freight!$A$3:$F$22,MATCH(FWD!$U$41,Freight!$A$3:$F$3,0),FALSE))</f>
        <v>1.2853388097588492</v>
      </c>
      <c r="S34" s="209">
        <f>INDEX(BBG!$H$4:$L$53,MATCH(FWD!$M34,BBG!$H$4:$H$53,0),MATCH("Settle",BBG!$H$4:$L$4,0))-INDEX(BBG!$H$4:$L$53,MATCH(FWD!$M36,BBG!$H$4:$H$53,0),MATCH("Settle",BBG!$H$4:$L$4,0))</f>
        <v>0.54999999999999716</v>
      </c>
      <c r="T34" s="209">
        <f t="shared" si="14"/>
        <v>0.53</v>
      </c>
      <c r="U34" s="209">
        <f t="shared" si="15"/>
        <v>1.3353388097588463</v>
      </c>
      <c r="V34" s="237">
        <f t="shared" si="25"/>
        <v>6.22878816293857E-2</v>
      </c>
      <c r="W34" s="98"/>
      <c r="X34" s="114">
        <f t="shared" si="17"/>
        <v>47269</v>
      </c>
      <c r="Y34" s="217">
        <f>IF(BBG!$D$5=BBG!$J$5,BBG!L39-BBG!L40,BBG!L38-BBG!L39)</f>
        <v>0.26999999999999602</v>
      </c>
      <c r="Z34" s="215">
        <f>IFERROR(VLOOKUP($C35,Freight!$A$3:$F$22,MATCH(FWD!$N$41,Freight!$A$3:$F$3,0),FALSE)+$B$7,VLOOKUP($B35,Freight!$A$3:$F$22,MATCH(FWD!$N$41,Freight!$A$3:$F$3,0),FALSE)+$B$7)</f>
        <v>4.4630509281294612</v>
      </c>
      <c r="AA34" s="216">
        <f>VLOOKUP(EOMONTH(X34,0),BBG!$N$63:$R$123,5,FALSE)</f>
        <v>0.53</v>
      </c>
      <c r="AB34" s="210">
        <f t="shared" si="1"/>
        <v>1.5430509281294567</v>
      </c>
      <c r="AC34" s="210">
        <f t="shared" si="18"/>
        <v>1.3653388097588617</v>
      </c>
      <c r="AD34" s="237">
        <f t="shared" si="26"/>
        <v>-0.17771211837059497</v>
      </c>
      <c r="AF34" s="121">
        <f t="shared" si="7"/>
        <v>47299</v>
      </c>
      <c r="AG34" s="122">
        <f>IF(BBG!$D$5=BBG!$J$5,BBG!L36-BBG!L38,BBG!L35-BBG!L37)*2/3</f>
        <v>0.38000000000000494</v>
      </c>
      <c r="AH34" s="122">
        <f>IFERROR(VLOOKUP($C34,Freight!$A$3:$F$22,MATCH(FWD!$AH$41,Freight!$A$3:$F$3,0),FALSE)+$B$7,VLOOKUP($B34,Freight!$A$3:$F$22,MATCH(FWD!$AH$41,Freight!$A$3:$F$3,0),FALSE)+$B$7)</f>
        <v>12.5056717075586</v>
      </c>
      <c r="AI34" s="122">
        <f>VLOOKUP(X34,BBG!$U$63:$Y$123,4,FALSE)</f>
        <v>0.44</v>
      </c>
      <c r="AJ34" s="229">
        <f t="shared" si="8"/>
        <v>10.665671707558603</v>
      </c>
      <c r="AL34" s="121">
        <f t="shared" si="9"/>
        <v>47269</v>
      </c>
      <c r="AM34" s="227" t="e">
        <f>IFERROR(VLOOKUP(AL34,BBG!$AE$64:$AJ$100,6,FALSE),AM33)</f>
        <v>#VALUE!</v>
      </c>
      <c r="AN34" s="227">
        <f t="shared" si="19"/>
        <v>0.29999999999999716</v>
      </c>
      <c r="AO34" s="122">
        <f>VLOOKUP($B34,Freight!$A$3:$G$22,MATCH(FWD!$AO$41,Freight!$A$3:$G$3,0),FALSE)</f>
        <v>3.6136781296387928</v>
      </c>
      <c r="AP34" s="122">
        <f t="shared" si="20"/>
        <v>0.44</v>
      </c>
      <c r="AQ34" s="121">
        <f t="shared" si="10"/>
        <v>47299</v>
      </c>
      <c r="AR34" s="267" t="e">
        <f t="shared" si="21"/>
        <v>#VALUE!</v>
      </c>
      <c r="AT34" s="234" t="e">
        <f t="shared" si="11"/>
        <v>#VALUE!</v>
      </c>
      <c r="AU34" s="125"/>
    </row>
    <row r="35" spans="1:59" x14ac:dyDescent="0.35">
      <c r="B35" s="71" t="s">
        <v>256</v>
      </c>
      <c r="C35" s="171">
        <f t="shared" si="22"/>
        <v>47269</v>
      </c>
      <c r="D35" t="s">
        <v>45</v>
      </c>
      <c r="E35" s="108">
        <f t="shared" si="29"/>
        <v>47269</v>
      </c>
      <c r="F35" s="213">
        <f>INDEX(Sheet1!$B$38:$N$49,MATCH("MEH",Sheet1!$B$38:$B$49,0),MATCH(FWD!D35,Sheet1!$B$38:$N$38,0))</f>
        <v>1.98</v>
      </c>
      <c r="G35" s="214">
        <f>BBG!F35-BBG!F37</f>
        <v>0.69000000000001194</v>
      </c>
      <c r="H35" s="214">
        <f>IF(BBG!$D$5=BBG!$J$5,BBG!F37-BBG!L37,BBG!F37-BBG!L36)</f>
        <v>-5.3299999999999983</v>
      </c>
      <c r="I35" s="214">
        <f t="shared" si="12"/>
        <v>0</v>
      </c>
      <c r="J35" s="221">
        <f t="shared" si="13"/>
        <v>-2.6599999999999864</v>
      </c>
      <c r="K35" s="509">
        <f>BBG!G94+FWD!F35</f>
        <v>-3.0783000000000027</v>
      </c>
      <c r="L35" s="102"/>
      <c r="M35" s="114">
        <f t="shared" si="3"/>
        <v>47269</v>
      </c>
      <c r="N35" s="215">
        <f>IFERROR(VLOOKUP($C35,Freight!$A$3:$F$22,MATCH(FWD!$N$41,Freight!$A$3:$F$3,0),FALSE)+$B$7,VLOOKUP($B35,Freight!$A$3:$F$22,MATCH(FWD!$N$41,Freight!$A$3:$F$3,0),FALSE)+$B$7)</f>
        <v>4.4630509281294612</v>
      </c>
      <c r="O35" s="216">
        <f>VLOOKUP(EOMONTH(M35,0),BBG!$N$63:$R$123,5,FALSE)</f>
        <v>0.53</v>
      </c>
      <c r="P35" s="209">
        <f t="shared" si="0"/>
        <v>1.2730509281294748</v>
      </c>
      <c r="Q35" s="209">
        <f t="shared" si="4"/>
        <v>0.03</v>
      </c>
      <c r="R35" s="215">
        <f>IFERROR(VLOOKUP($C35,Freight!$A$3:$F$22,MATCH(FWD!$U$41,Freight!$A$3:$F$3,0),FALSE),VLOOKUP($B35,Freight!$A$3:$F$22,MATCH(FWD!$U$41,Freight!$A$3:$F$3,0),FALSE))</f>
        <v>1.2853388097588492</v>
      </c>
      <c r="S35" s="209">
        <f>INDEX(BBG!$H$4:$L$53,MATCH(FWD!$M35,BBG!$H$4:$H$53,0),MATCH("Settle",BBG!$H$4:$L$4,0))-INDEX(BBG!$H$4:$L$53,MATCH(FWD!$M37,BBG!$H$4:$H$53,0),MATCH("Settle",BBG!$H$4:$L$4,0))</f>
        <v>0.58000000000001251</v>
      </c>
      <c r="T35" s="209">
        <f t="shared" si="14"/>
        <v>0.53</v>
      </c>
      <c r="U35" s="209">
        <f t="shared" si="15"/>
        <v>1.3653388097588617</v>
      </c>
      <c r="V35" s="237">
        <f t="shared" si="25"/>
        <v>9.2287881629386836E-2</v>
      </c>
      <c r="W35" s="98"/>
      <c r="X35" s="114">
        <f t="shared" si="17"/>
        <v>47299</v>
      </c>
      <c r="Y35" s="217">
        <f>IF(BBG!$D$5=BBG!$J$5,BBG!L40-BBG!L41,BBG!L39-BBG!L40)</f>
        <v>0.29999999999999716</v>
      </c>
      <c r="Z35" s="215">
        <f>IFERROR(VLOOKUP($C36,Freight!$A$3:$F$22,MATCH(FWD!$N$41,Freight!$A$3:$F$3,0),FALSE)+$B$7,VLOOKUP($B36,Freight!$A$3:$F$22,MATCH(FWD!$N$41,Freight!$A$3:$F$3,0),FALSE)+$B$7)</f>
        <v>3.5944407425035694</v>
      </c>
      <c r="AA35" s="216">
        <f>VLOOKUP(EOMONTH(X35,0),BBG!$N$63:$R$123,5,FALSE)</f>
        <v>0.53</v>
      </c>
      <c r="AB35" s="210">
        <f t="shared" si="1"/>
        <v>0.70444074250358013</v>
      </c>
      <c r="AC35" s="210">
        <f t="shared" si="18"/>
        <v>1.3342201765106372</v>
      </c>
      <c r="AD35" s="237">
        <f t="shared" si="26"/>
        <v>0.62977943400705705</v>
      </c>
      <c r="AF35" s="121">
        <f t="shared" si="7"/>
        <v>47330</v>
      </c>
      <c r="AG35" s="122">
        <f>IF(BBG!$D$5=BBG!$J$5,BBG!L37-BBG!L39,BBG!L36-BBG!L38)*2/3</f>
        <v>0.36666666666666475</v>
      </c>
      <c r="AH35" s="122">
        <f>IFERROR(VLOOKUP($C35,Freight!$A$3:$F$22,MATCH(FWD!$AH$41,Freight!$A$3:$F$3,0),FALSE)+$B$7,VLOOKUP($B35,Freight!$A$3:$F$22,MATCH(FWD!$AH$41,Freight!$A$3:$F$3,0),FALSE)+$B$7)</f>
        <v>12.5056717075586</v>
      </c>
      <c r="AI35" s="122">
        <f>VLOOKUP(X35,BBG!$U$63:$Y$123,4,FALSE)</f>
        <v>0.44</v>
      </c>
      <c r="AJ35" s="229">
        <f t="shared" si="8"/>
        <v>10.652338374225279</v>
      </c>
      <c r="AL35" s="121">
        <f t="shared" si="9"/>
        <v>47299</v>
      </c>
      <c r="AM35" s="227" t="e">
        <f>IFERROR(VLOOKUP(AL35,BBG!$AE$64:$AJ$100,6,FALSE),AM34)</f>
        <v>#VALUE!</v>
      </c>
      <c r="AN35" s="227">
        <f t="shared" si="19"/>
        <v>0.28000000000000114</v>
      </c>
      <c r="AO35" s="122">
        <f>VLOOKUP($B35,Freight!$A$3:$G$22,MATCH(FWD!$AO$41,Freight!$A$3:$G$3,0),FALSE)</f>
        <v>3.6136781296387928</v>
      </c>
      <c r="AP35" s="122">
        <f t="shared" si="20"/>
        <v>0.44</v>
      </c>
      <c r="AQ35" s="121">
        <f t="shared" si="10"/>
        <v>47330</v>
      </c>
      <c r="AR35" s="267" t="e">
        <f t="shared" si="21"/>
        <v>#VALUE!</v>
      </c>
      <c r="AT35" s="234" t="e">
        <f t="shared" si="11"/>
        <v>#VALUE!</v>
      </c>
      <c r="AU35" s="125"/>
    </row>
    <row r="36" spans="1:59" s="92" customFormat="1" x14ac:dyDescent="0.35">
      <c r="B36" s="71" t="s">
        <v>257</v>
      </c>
      <c r="C36" s="171">
        <f t="shared" si="22"/>
        <v>47299</v>
      </c>
      <c r="D36" t="s">
        <v>46</v>
      </c>
      <c r="E36" s="108">
        <f t="shared" si="29"/>
        <v>47299</v>
      </c>
      <c r="F36" s="213">
        <f>INDEX(Sheet1!$B$38:$N$49,MATCH("MEH",Sheet1!$B$38:$B$49,0),MATCH(FWD!D36,Sheet1!$B$38:$N$38,0))</f>
        <v>2.0299999999999998</v>
      </c>
      <c r="G36" s="214">
        <f>BBG!F36-BBG!F38</f>
        <v>0.65999999999999659</v>
      </c>
      <c r="H36" s="214">
        <f>IF(BBG!$D$5=BBG!$J$5,BBG!F38-BBG!L38,BBG!F38-BBG!L37)</f>
        <v>-5.3599999999999994</v>
      </c>
      <c r="I36" s="214">
        <f t="shared" si="12"/>
        <v>0</v>
      </c>
      <c r="J36" s="221">
        <f t="shared" si="13"/>
        <v>-2.670000000000003</v>
      </c>
      <c r="K36" s="509">
        <f>BBG!G95+FWD!F36</f>
        <v>-3.1166999999999958</v>
      </c>
      <c r="L36" s="102"/>
      <c r="M36" s="114">
        <f t="shared" si="3"/>
        <v>47299</v>
      </c>
      <c r="N36" s="215">
        <f>IFERROR(VLOOKUP($C36,Freight!$A$3:$F$22,MATCH(FWD!$N$41,Freight!$A$3:$F$3,0),FALSE)+$B$7,VLOOKUP($B36,Freight!$A$3:$F$22,MATCH(FWD!$N$41,Freight!$A$3:$F$3,0),FALSE)+$B$7)</f>
        <v>3.5944407425035694</v>
      </c>
      <c r="O36" s="216">
        <f>VLOOKUP(EOMONTH(M36,0),BBG!$N$63:$R$123,5,FALSE)</f>
        <v>0.53</v>
      </c>
      <c r="P36" s="209">
        <f t="shared" si="0"/>
        <v>0.39444074250356631</v>
      </c>
      <c r="Q36" s="209">
        <f t="shared" si="4"/>
        <v>0.03</v>
      </c>
      <c r="R36" s="215">
        <f>IFERROR(VLOOKUP($C36,Freight!$A$3:$F$22,MATCH(FWD!$U$41,Freight!$A$3:$F$3,0),FALSE),VLOOKUP($B36,Freight!$A$3:$F$22,MATCH(FWD!$U$41,Freight!$A$3:$F$3,0),FALSE))</f>
        <v>1.2642201765106298</v>
      </c>
      <c r="S36" s="209">
        <f>INDEX(BBG!$H$4:$L$53,MATCH(FWD!$M36,BBG!$H$4:$H$53,0),MATCH("Settle",BBG!$H$4:$L$4,0))-INDEX(BBG!$H$4:$L$53,MATCH(FWD!$M38,BBG!$H$4:$H$53,0),MATCH("Settle",BBG!$H$4:$L$4,0))</f>
        <v>0.57000000000000739</v>
      </c>
      <c r="T36" s="209">
        <f t="shared" si="14"/>
        <v>0.53</v>
      </c>
      <c r="U36" s="209">
        <f t="shared" si="15"/>
        <v>1.3342201765106372</v>
      </c>
      <c r="V36" s="237">
        <f t="shared" si="25"/>
        <v>0.93977943400707087</v>
      </c>
      <c r="W36" s="98"/>
      <c r="X36" s="114">
        <f t="shared" si="17"/>
        <v>47330</v>
      </c>
      <c r="Y36" s="217">
        <f>IF(BBG!$D$5=BBG!$J$5,BBG!L41-BBG!L42,BBG!L40-BBG!L41)</f>
        <v>0.28000000000000114</v>
      </c>
      <c r="Z36" s="215">
        <f>IFERROR(VLOOKUP($C37,Freight!$A$3:$F$22,MATCH(FWD!$N$41,Freight!$A$3:$F$3,0),FALSE)+$B$7,VLOOKUP($B37,Freight!$A$3:$F$22,MATCH(FWD!$N$41,Freight!$A$3:$F$3,0),FALSE)+$B$7)</f>
        <v>3.5944407425035694</v>
      </c>
      <c r="AA36" s="216">
        <f>VLOOKUP(EOMONTH(X36,0),BBG!$N$63:$R$123,5,FALSE)</f>
        <v>0.53</v>
      </c>
      <c r="AB36" s="210">
        <f t="shared" si="1"/>
        <v>0.67444074250356745</v>
      </c>
      <c r="AC36" s="210">
        <f t="shared" si="18"/>
        <v>1.3142201765106269</v>
      </c>
      <c r="AD36" s="237">
        <f t="shared" si="26"/>
        <v>0.6397794340070595</v>
      </c>
      <c r="AE36"/>
      <c r="AF36" s="121">
        <f t="shared" si="7"/>
        <v>47361</v>
      </c>
      <c r="AG36" s="122">
        <f>IF(BBG!$D$5=BBG!$J$5,BBG!L38-BBG!L40,BBG!L37-BBG!L39)*2/3</f>
        <v>0.36666666666666475</v>
      </c>
      <c r="AH36" s="122">
        <f>IFERROR(VLOOKUP($C36,Freight!$A$3:$F$22,MATCH(FWD!$AH$41,Freight!$A$3:$F$3,0),FALSE)+$B$7,VLOOKUP($B36,Freight!$A$3:$F$22,MATCH(FWD!$AH$41,Freight!$A$3:$F$3,0),FALSE)+$B$7)</f>
        <v>10.737379024631771</v>
      </c>
      <c r="AI36" s="122">
        <f>VLOOKUP(X36,BBG!$U$63:$Y$123,4,FALSE)</f>
        <v>0.44</v>
      </c>
      <c r="AJ36" s="229">
        <f t="shared" si="8"/>
        <v>8.8740456912984325</v>
      </c>
      <c r="AK36" s="125"/>
      <c r="AL36" s="121">
        <f t="shared" si="9"/>
        <v>47330</v>
      </c>
      <c r="AM36" s="227" t="e">
        <f>IFERROR(VLOOKUP(AL36,BBG!$AE$64:$AJ$100,6,FALSE),AM35)</f>
        <v>#VALUE!</v>
      </c>
      <c r="AN36" s="227">
        <f t="shared" si="19"/>
        <v>0.29999999999999716</v>
      </c>
      <c r="AO36" s="122">
        <f>VLOOKUP($B36,Freight!$A$3:$G$22,MATCH(FWD!$AO$41,Freight!$A$3:$G$3,0),FALSE)</f>
        <v>2.5904502721425038</v>
      </c>
      <c r="AP36" s="122">
        <f t="shared" si="20"/>
        <v>0.44</v>
      </c>
      <c r="AQ36" s="121">
        <f t="shared" si="10"/>
        <v>47361</v>
      </c>
      <c r="AR36" s="267" t="e">
        <f t="shared" si="21"/>
        <v>#VALUE!</v>
      </c>
      <c r="AS36" s="125"/>
      <c r="AT36" s="234" t="e">
        <f t="shared" si="11"/>
        <v>#VALUE!</v>
      </c>
      <c r="AU36" s="125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x14ac:dyDescent="0.35">
      <c r="B37" s="71" t="s">
        <v>257</v>
      </c>
      <c r="C37" s="171">
        <f t="shared" si="22"/>
        <v>47330</v>
      </c>
      <c r="D37" t="s">
        <v>46</v>
      </c>
      <c r="E37" s="108">
        <f t="shared" si="29"/>
        <v>47330</v>
      </c>
      <c r="F37" s="213">
        <f>INDEX(Sheet1!$B$38:$N$49,MATCH("MEH",Sheet1!$B$38:$B$49,0),MATCH(FWD!D37,Sheet1!$B$38:$N$38,0))</f>
        <v>2.0299999999999998</v>
      </c>
      <c r="G37" s="214">
        <f>BBG!F37-BBG!F39</f>
        <v>0.60999999999999943</v>
      </c>
      <c r="H37" s="214">
        <f>IF(BBG!$D$5=BBG!$J$5,BBG!F39-BBG!L39,BBG!F39-BBG!L38)</f>
        <v>-5.3900000000000006</v>
      </c>
      <c r="I37" s="214">
        <f t="shared" si="12"/>
        <v>0</v>
      </c>
      <c r="J37" s="221">
        <f t="shared" si="13"/>
        <v>-2.7500000000000013</v>
      </c>
      <c r="K37" s="509">
        <f>BBG!G96+FWD!F37</f>
        <v>-3.1376999999999966</v>
      </c>
      <c r="L37" s="102"/>
      <c r="M37" s="114">
        <f t="shared" si="3"/>
        <v>47330</v>
      </c>
      <c r="N37" s="215">
        <f>IFERROR(VLOOKUP($C37,Freight!$A$3:$F$22,MATCH(FWD!$N$41,Freight!$A$3:$F$3,0),FALSE)+$B$7,VLOOKUP($B37,Freight!$A$3:$F$22,MATCH(FWD!$N$41,Freight!$A$3:$F$3,0),FALSE)+$B$7)</f>
        <v>3.5944407425035694</v>
      </c>
      <c r="O37" s="216">
        <f>VLOOKUP(EOMONTH(M37,0),BBG!$N$63:$R$123,5,FALSE)</f>
        <v>0.53</v>
      </c>
      <c r="P37" s="209">
        <f t="shared" si="0"/>
        <v>0.31444074250356802</v>
      </c>
      <c r="Q37" s="209">
        <f t="shared" si="4"/>
        <v>0.03</v>
      </c>
      <c r="R37" s="215">
        <f>IFERROR(VLOOKUP($C37,Freight!$A$3:$F$22,MATCH(FWD!$U$41,Freight!$A$3:$F$3,0),FALSE),VLOOKUP($B37,Freight!$A$3:$F$22,MATCH(FWD!$U$41,Freight!$A$3:$F$3,0),FALSE))</f>
        <v>1.2642201765106298</v>
      </c>
      <c r="S37" s="209">
        <f>INDEX(BBG!$H$4:$L$53,MATCH(FWD!$M37,BBG!$H$4:$H$53,0),MATCH("Settle",BBG!$H$4:$L$4,0))-INDEX(BBG!$H$4:$L$53,MATCH(FWD!$M39,BBG!$H$4:$H$53,0),MATCH("Settle",BBG!$H$4:$L$4,0))</f>
        <v>0.54999999999999716</v>
      </c>
      <c r="T37" s="209">
        <f t="shared" si="14"/>
        <v>0.53</v>
      </c>
      <c r="U37" s="209">
        <f t="shared" si="15"/>
        <v>1.3142201765106269</v>
      </c>
      <c r="V37" s="237">
        <f t="shared" si="25"/>
        <v>0.99977943400705893</v>
      </c>
      <c r="W37" s="98"/>
      <c r="X37" s="114">
        <f t="shared" si="17"/>
        <v>47361</v>
      </c>
      <c r="Y37" s="217">
        <f>IF(BBG!$D$5=BBG!$J$5,BBG!L42-BBG!L43,BBG!L41-BBG!L42)</f>
        <v>0.29999999999999716</v>
      </c>
      <c r="Z37" s="215">
        <f>IFERROR(VLOOKUP($C38,Freight!$A$3:$F$22,MATCH(FWD!$N$41,Freight!$A$3:$F$3,0),FALSE)+$B$7,VLOOKUP($B38,Freight!$A$3:$F$22,MATCH(FWD!$N$41,Freight!$A$3:$F$3,0),FALSE)+$B$7)</f>
        <v>3.5944407425035694</v>
      </c>
      <c r="AA37" s="216">
        <f>VLOOKUP(EOMONTH(X37,0),BBG!$N$63:$R$123,5,FALSE)</f>
        <v>0.53</v>
      </c>
      <c r="AB37" s="210">
        <f t="shared" si="1"/>
        <v>0.61444074250356517</v>
      </c>
      <c r="AC37" s="210">
        <f t="shared" si="18"/>
        <v>1.3142201765106269</v>
      </c>
      <c r="AD37" s="237">
        <f t="shared" si="26"/>
        <v>0.69977943400706177</v>
      </c>
      <c r="AF37" s="121">
        <f t="shared" si="7"/>
        <v>47391</v>
      </c>
      <c r="AG37" s="122">
        <f>IF(BBG!$D$5=BBG!$J$5,BBG!L39-BBG!L41,BBG!L38-BBG!L40)*2/3</f>
        <v>0.37999999999999545</v>
      </c>
      <c r="AH37" s="122">
        <f>IFERROR(VLOOKUP($C37,Freight!$A$3:$F$22,MATCH(FWD!$AH$41,Freight!$A$3:$F$3,0),FALSE)+$B$7,VLOOKUP($B37,Freight!$A$3:$F$22,MATCH(FWD!$AH$41,Freight!$A$3:$F$3,0),FALSE)+$B$7)</f>
        <v>10.737379024631771</v>
      </c>
      <c r="AI37" s="122">
        <f>VLOOKUP(X37,BBG!$U$63:$Y$123,4,FALSE)</f>
        <v>0.44</v>
      </c>
      <c r="AJ37" s="229">
        <f t="shared" si="8"/>
        <v>8.8073790246317643</v>
      </c>
      <c r="AL37" s="121">
        <f t="shared" si="9"/>
        <v>47361</v>
      </c>
      <c r="AM37" s="227" t="e">
        <f>IFERROR(VLOOKUP(AL37,BBG!$AE$64:$AJ$100,6,FALSE),AM36)</f>
        <v>#VALUE!</v>
      </c>
      <c r="AN37" s="227">
        <f t="shared" si="19"/>
        <v>0.15000000000000568</v>
      </c>
      <c r="AO37" s="122">
        <f>VLOOKUP($B37,Freight!$A$3:$G$22,MATCH(FWD!$AO$41,Freight!$A$3:$G$3,0),FALSE)</f>
        <v>2.5904502721425038</v>
      </c>
      <c r="AP37" s="122">
        <f t="shared" si="20"/>
        <v>0.44</v>
      </c>
      <c r="AQ37" s="121">
        <f t="shared" si="10"/>
        <v>47391</v>
      </c>
      <c r="AR37" s="267" t="e">
        <f t="shared" si="21"/>
        <v>#VALUE!</v>
      </c>
      <c r="AT37" s="234" t="e">
        <f t="shared" si="11"/>
        <v>#VALUE!</v>
      </c>
      <c r="AU37" s="125"/>
    </row>
    <row r="38" spans="1:59" x14ac:dyDescent="0.35">
      <c r="B38" s="71" t="s">
        <v>257</v>
      </c>
      <c r="C38" s="171">
        <f t="shared" si="22"/>
        <v>47361</v>
      </c>
      <c r="D38" t="s">
        <v>46</v>
      </c>
      <c r="E38" s="108">
        <f t="shared" si="29"/>
        <v>47361</v>
      </c>
      <c r="F38" s="213">
        <f>INDEX(Sheet1!$B$38:$N$49,MATCH("MEH",Sheet1!$B$38:$B$49,0),MATCH(FWD!D38,Sheet1!$B$38:$N$38,0))</f>
        <v>2.0299999999999998</v>
      </c>
      <c r="G38" s="214">
        <f>BBG!F38-BBG!F40</f>
        <v>0.60999999999999943</v>
      </c>
      <c r="H38" s="214">
        <f>IF(BBG!$D$5=BBG!$J$5,BBG!F40-BBG!L40,BBG!F40-BBG!L39)</f>
        <v>-5.4200000000000017</v>
      </c>
      <c r="I38" s="214">
        <f t="shared" si="12"/>
        <v>0</v>
      </c>
      <c r="J38" s="221">
        <f t="shared" si="13"/>
        <v>-2.7800000000000025</v>
      </c>
      <c r="K38" s="509">
        <f>BBG!G97+FWD!F38</f>
        <v>-3.1769999999999938</v>
      </c>
      <c r="L38" s="102"/>
      <c r="M38" s="114">
        <f t="shared" si="3"/>
        <v>47361</v>
      </c>
      <c r="N38" s="215">
        <f>IFERROR(VLOOKUP($C38,Freight!$A$3:$F$22,MATCH(FWD!$N$41,Freight!$A$3:$F$3,0),FALSE)+$B$7,VLOOKUP($B38,Freight!$A$3:$F$22,MATCH(FWD!$N$41,Freight!$A$3:$F$3,0),FALSE)+$B$7)</f>
        <v>3.5944407425035694</v>
      </c>
      <c r="O38" s="216">
        <f>VLOOKUP(EOMONTH(M38,0),BBG!$N$63:$R$123,5,FALSE)</f>
        <v>0.53</v>
      </c>
      <c r="P38" s="209">
        <f t="shared" si="0"/>
        <v>0.28444074250356688</v>
      </c>
      <c r="Q38" s="209">
        <f t="shared" si="4"/>
        <v>0.03</v>
      </c>
      <c r="R38" s="215">
        <f>IFERROR(VLOOKUP($C38,Freight!$A$3:$F$22,MATCH(FWD!$U$41,Freight!$A$3:$F$3,0),FALSE),VLOOKUP($B38,Freight!$A$3:$F$22,MATCH(FWD!$U$41,Freight!$A$3:$F$3,0),FALSE))</f>
        <v>1.2642201765106298</v>
      </c>
      <c r="S38" s="209">
        <f>INDEX(BBG!$H$4:$L$53,MATCH(FWD!$M38,BBG!$H$4:$H$53,0),MATCH("Settle",BBG!$H$4:$L$4,0))-INDEX(BBG!$H$4:$L$53,MATCH(FWD!$M40,BBG!$H$4:$H$53,0),MATCH("Settle",BBG!$H$4:$L$4,0))</f>
        <v>0.54999999999999716</v>
      </c>
      <c r="T38" s="209">
        <f t="shared" si="14"/>
        <v>0.53</v>
      </c>
      <c r="U38" s="209">
        <f t="shared" si="15"/>
        <v>1.3142201765106269</v>
      </c>
      <c r="V38" s="237">
        <f t="shared" si="25"/>
        <v>1.0297794340070601</v>
      </c>
      <c r="W38" s="98"/>
      <c r="X38" s="114">
        <f t="shared" si="17"/>
        <v>47391</v>
      </c>
      <c r="Y38" s="217">
        <f>IF(BBG!$D$5=BBG!$J$5,BBG!L43-BBG!L44,BBG!L42-BBG!L43)</f>
        <v>0.15000000000000568</v>
      </c>
      <c r="Z38" s="215">
        <f>IFERROR(VLOOKUP($C39,Freight!$A$3:$F$22,MATCH(FWD!$N$41,Freight!$A$3:$F$3,0),FALSE)+$B$7,VLOOKUP($B39,Freight!$A$3:$F$22,MATCH(FWD!$N$41,Freight!$A$3:$F$3,0),FALSE)+$B$7)</f>
        <v>3.5944407425035694</v>
      </c>
      <c r="AA38" s="216">
        <f>VLOOKUP(EOMONTH(X38,0),BBG!$N$63:$R$123,5,FALSE)</f>
        <v>0.53</v>
      </c>
      <c r="AB38" s="210">
        <f t="shared" si="1"/>
        <v>0.43444074250357256</v>
      </c>
      <c r="AC38" s="210" t="e">
        <f t="shared" si="18"/>
        <v>#N/A</v>
      </c>
      <c r="AD38" s="237" t="e">
        <f t="shared" si="26"/>
        <v>#N/A</v>
      </c>
      <c r="AF38" s="121">
        <f t="shared" si="7"/>
        <v>47422</v>
      </c>
      <c r="AG38" s="122">
        <f>IF(BBG!$D$5=BBG!$J$5,BBG!L40-BBG!L42,BBG!L39-BBG!L41)*2/3</f>
        <v>0.38666666666666555</v>
      </c>
      <c r="AH38" s="122">
        <f>IFERROR(VLOOKUP($C38,Freight!$A$3:$F$22,MATCH(FWD!$AH$41,Freight!$A$3:$F$3,0),FALSE)+$B$7,VLOOKUP($B38,Freight!$A$3:$F$22,MATCH(FWD!$AH$41,Freight!$A$3:$F$3,0),FALSE)+$B$7)</f>
        <v>10.737379024631771</v>
      </c>
      <c r="AI38" s="122">
        <f>VLOOKUP(X38,BBG!$U$63:$Y$123,4,FALSE)</f>
        <v>0.44</v>
      </c>
      <c r="AJ38" s="229">
        <f t="shared" si="8"/>
        <v>8.7840456912984326</v>
      </c>
      <c r="AL38" s="121">
        <f t="shared" si="9"/>
        <v>47391</v>
      </c>
      <c r="AM38" s="227" t="e">
        <f>IFERROR(VLOOKUP(AL38,BBG!$AE$64:$AJ$100,6,FALSE),AM37)</f>
        <v>#VALUE!</v>
      </c>
      <c r="AN38" s="227">
        <f t="shared" si="19"/>
        <v>0.15000000000000568</v>
      </c>
      <c r="AO38" s="122">
        <f>VLOOKUP($B38,Freight!$A$3:$G$22,MATCH(FWD!$AO$41,Freight!$A$3:$G$3,0),FALSE)</f>
        <v>2.5904502721425038</v>
      </c>
      <c r="AP38" s="122">
        <f t="shared" si="20"/>
        <v>0.44</v>
      </c>
      <c r="AQ38" s="121">
        <f t="shared" si="10"/>
        <v>47422</v>
      </c>
      <c r="AR38" s="267" t="e">
        <f t="shared" si="21"/>
        <v>#VALUE!</v>
      </c>
      <c r="AT38" s="234" t="e">
        <f t="shared" si="11"/>
        <v>#VALUE!</v>
      </c>
      <c r="AU38" s="125"/>
    </row>
    <row r="39" spans="1:59" x14ac:dyDescent="0.35">
      <c r="B39" s="71" t="s">
        <v>257</v>
      </c>
      <c r="C39" s="171">
        <f t="shared" si="22"/>
        <v>47391</v>
      </c>
      <c r="D39" t="s">
        <v>46</v>
      </c>
      <c r="E39" s="108">
        <f t="shared" si="29"/>
        <v>47391</v>
      </c>
      <c r="F39" s="213">
        <f>INDEX(Sheet1!$B$38:$N$49,MATCH("MEH",Sheet1!$B$38:$B$49,0),MATCH(FWD!D39,Sheet1!$B$38:$N$38,0))</f>
        <v>2.0299999999999998</v>
      </c>
      <c r="G39" s="214">
        <f>BBG!F39-BBG!F41</f>
        <v>0.57999999999999829</v>
      </c>
      <c r="H39" s="214">
        <f>IF(BBG!$D$5=BBG!$J$5,BBG!F41-BBG!L41,BBG!F41-BBG!L40)</f>
        <v>-5.4000000000000057</v>
      </c>
      <c r="I39" s="214">
        <f t="shared" si="12"/>
        <v>0</v>
      </c>
      <c r="J39" s="221">
        <f t="shared" si="13"/>
        <v>-2.7900000000000076</v>
      </c>
      <c r="K39" s="509">
        <f>BBG!G98+FWD!F39</f>
        <v>-3.1659999999999981</v>
      </c>
      <c r="L39" s="102"/>
      <c r="M39" s="114">
        <f t="shared" si="3"/>
        <v>47391</v>
      </c>
      <c r="N39" s="215">
        <f>IFERROR(VLOOKUP($C39,Freight!$A$3:$F$22,MATCH(FWD!$N$41,Freight!$A$3:$F$3,0),FALSE)+$B$7,VLOOKUP($B39,Freight!$A$3:$F$22,MATCH(FWD!$N$41,Freight!$A$3:$F$3,0),FALSE)+$B$7)</f>
        <v>3.5944407425035694</v>
      </c>
      <c r="O39" s="216">
        <f>VLOOKUP(EOMONTH(M39,0),BBG!$N$63:$R$123,5,FALSE)</f>
        <v>0.53</v>
      </c>
      <c r="P39" s="209">
        <f t="shared" si="0"/>
        <v>0.27444074250356176</v>
      </c>
      <c r="Q39" s="209">
        <f t="shared" si="4"/>
        <v>0.03</v>
      </c>
      <c r="R39" s="215">
        <f>IFERROR(VLOOKUP($C39,Freight!$A$3:$F$22,MATCH(FWD!$U$41,Freight!$A$3:$F$3,0),FALSE),VLOOKUP($B39,Freight!$A$3:$F$22,MATCH(FWD!$U$41,Freight!$A$3:$F$3,0),FALSE))</f>
        <v>1.2642201765106298</v>
      </c>
      <c r="S39" s="209" t="e">
        <f>INDEX(BBG!$H$4:$L$53,MATCH(FWD!$M39,BBG!$H$4:$H$53,0),MATCH("Settle",BBG!$H$4:$L$4,0))-INDEX(BBG!$H$4:$L$53,MATCH(FWD!$M41,BBG!$H$4:$H$53,0),MATCH("Settle",BBG!$H$4:$L$4,0))</f>
        <v>#N/A</v>
      </c>
      <c r="T39" s="209">
        <f t="shared" si="14"/>
        <v>0.53</v>
      </c>
      <c r="U39" s="209" t="e">
        <f t="shared" si="15"/>
        <v>#N/A</v>
      </c>
      <c r="V39" s="237" t="e">
        <f t="shared" si="25"/>
        <v>#N/A</v>
      </c>
      <c r="W39" s="98"/>
      <c r="X39" s="114">
        <f t="shared" si="17"/>
        <v>47422</v>
      </c>
      <c r="Y39" s="217">
        <f>IF(BBG!$D$5=BBG!$J$5,BBG!L44-BBG!L45,BBG!L43-BBG!L44)</f>
        <v>0.15000000000000568</v>
      </c>
      <c r="Z39" s="215">
        <f>IFERROR(VLOOKUP($C40,Freight!$A$3:$F$22,MATCH(FWD!$N$41,Freight!$A$3:$F$3,0),FALSE)+$B$7,VLOOKUP($B40,Freight!$A$3:$F$22,MATCH(FWD!$N$41,Freight!$A$3:$F$3,0),FALSE)+$B$7)</f>
        <v>3.5944407425035694</v>
      </c>
      <c r="AA39" s="216">
        <f>VLOOKUP(EOMONTH(X39,0),BBG!$N$63:$R$123,5,FALSE)</f>
        <v>0.53</v>
      </c>
      <c r="AB39" s="210">
        <f t="shared" si="1"/>
        <v>0.42444074250356745</v>
      </c>
      <c r="AC39" s="210" t="e">
        <f t="shared" si="18"/>
        <v>#N/A</v>
      </c>
      <c r="AD39" s="237" t="e">
        <f t="shared" si="26"/>
        <v>#N/A</v>
      </c>
      <c r="AF39" s="121">
        <f t="shared" si="7"/>
        <v>47452</v>
      </c>
      <c r="AG39" s="122">
        <f>IF(BBG!$D$5=BBG!$J$5,BBG!L41-BBG!L43,BBG!L40-BBG!L42)*2/3</f>
        <v>0.38666666666666555</v>
      </c>
      <c r="AH39" s="122">
        <f>IFERROR(VLOOKUP($C39,Freight!$A$3:$F$22,MATCH(FWD!$AH$41,Freight!$A$3:$F$3,0),FALSE)+$B$7,VLOOKUP($B39,Freight!$A$3:$F$22,MATCH(FWD!$AH$41,Freight!$A$3:$F$3,0),FALSE)+$B$7)</f>
        <v>10.737379024631771</v>
      </c>
      <c r="AI39" s="122">
        <f>VLOOKUP(X39,BBG!$U$63:$Y$123,4,FALSE)</f>
        <v>0.44</v>
      </c>
      <c r="AJ39" s="229">
        <f t="shared" si="8"/>
        <v>8.7740456912984275</v>
      </c>
      <c r="AL39" s="121">
        <f t="shared" si="9"/>
        <v>47422</v>
      </c>
      <c r="AM39" s="227" t="e">
        <f>IFERROR(VLOOKUP(AL39,BBG!$AE$64:$AJ$100,6,FALSE),AM38)</f>
        <v>#VALUE!</v>
      </c>
      <c r="AN39" s="227">
        <f t="shared" si="19"/>
        <v>0.15999999999999659</v>
      </c>
      <c r="AO39" s="122">
        <f>VLOOKUP($B39,Freight!$A$3:$G$22,MATCH(FWD!$AO$41,Freight!$A$3:$G$3,0),FALSE)</f>
        <v>2.5904502721425038</v>
      </c>
      <c r="AP39" s="122">
        <f t="shared" si="20"/>
        <v>0.44</v>
      </c>
      <c r="AQ39" s="121">
        <f t="shared" si="10"/>
        <v>47452</v>
      </c>
      <c r="AR39" s="267" t="e">
        <f t="shared" si="21"/>
        <v>#VALUE!</v>
      </c>
      <c r="AT39" s="234" t="e">
        <f t="shared" si="11"/>
        <v>#VALUE!</v>
      </c>
      <c r="AU39" s="125"/>
    </row>
    <row r="40" spans="1:59" x14ac:dyDescent="0.35">
      <c r="B40" s="71" t="s">
        <v>257</v>
      </c>
      <c r="C40" s="171">
        <f t="shared" si="22"/>
        <v>47422</v>
      </c>
      <c r="D40" t="s">
        <v>46</v>
      </c>
      <c r="E40" s="172">
        <f t="shared" si="29"/>
        <v>47422</v>
      </c>
      <c r="F40" s="222">
        <f>INDEX(Sheet1!$B$38:$N$49,MATCH("MEH",Sheet1!$B$38:$B$49,0),MATCH(FWD!D40,Sheet1!$B$38:$N$38,0))</f>
        <v>2.0299999999999998</v>
      </c>
      <c r="G40" s="173">
        <f>BBG!F40-BBG!F42</f>
        <v>0.57999999999999829</v>
      </c>
      <c r="H40" s="173">
        <f>IF(BBG!$D$5=BBG!$J$5,BBG!F42-BBG!L42,BBG!F42-BBG!L41)</f>
        <v>-5.4200000000000017</v>
      </c>
      <c r="I40" s="173">
        <f t="shared" si="12"/>
        <v>0</v>
      </c>
      <c r="J40" s="223">
        <f t="shared" si="13"/>
        <v>-2.8100000000000036</v>
      </c>
      <c r="K40" s="509">
        <f>BBG!G99+FWD!F40</f>
        <v>-3.1670000000000029</v>
      </c>
      <c r="L40" s="102"/>
      <c r="M40" s="174">
        <f t="shared" si="3"/>
        <v>47422</v>
      </c>
      <c r="N40" s="215">
        <f>IFERROR(VLOOKUP($C40,Freight!$A$3:$F$22,MATCH(FWD!$N$41,Freight!$A$3:$F$3,0),FALSE)+$B$7,VLOOKUP($B40,Freight!$A$3:$F$22,MATCH(FWD!$N$41,Freight!$A$3:$F$3,0),FALSE)+$B$7)</f>
        <v>3.5944407425035694</v>
      </c>
      <c r="O40" s="115">
        <f>VLOOKUP(EOMONTH(M40,0),BBG!$N$63:$R$123,5,FALSE)</f>
        <v>0.53</v>
      </c>
      <c r="P40" s="209">
        <f t="shared" si="0"/>
        <v>0.25444074250356574</v>
      </c>
      <c r="Q40" s="209">
        <f t="shared" si="4"/>
        <v>0.03</v>
      </c>
      <c r="R40" s="215">
        <f>IFERROR(VLOOKUP($C40,Freight!$A$3:$F$22,MATCH(FWD!$U$41,Freight!$A$3:$F$3,0),FALSE),VLOOKUP($B40,Freight!$A$3:$F$22,MATCH(FWD!$U$41,Freight!$A$3:$F$3,0),FALSE))</f>
        <v>1.2642201765106298</v>
      </c>
      <c r="S40" s="209" t="e">
        <f>INDEX(BBG!$H$4:$L$53,MATCH(FWD!$M40,BBG!$H$4:$H$53,0),MATCH("Settle",BBG!$H$4:$L$4,0))-INDEX(BBG!$H$4:$L$53,MATCH(FWD!$M74,BBG!$H$4:$H$53,0),MATCH("Settle",BBG!$H$4:$L$4,0))</f>
        <v>#N/A</v>
      </c>
      <c r="T40" s="209">
        <f t="shared" si="14"/>
        <v>0.53</v>
      </c>
      <c r="U40" s="209" t="e">
        <f t="shared" si="15"/>
        <v>#N/A</v>
      </c>
      <c r="V40" s="238" t="e">
        <f t="shared" si="25"/>
        <v>#N/A</v>
      </c>
      <c r="W40" s="98"/>
      <c r="X40" s="174">
        <f t="shared" si="17"/>
        <v>47452</v>
      </c>
      <c r="Y40" s="225">
        <f>IF(BBG!$D$5=BBG!$J$5,BBG!L45-BBG!L46,BBG!L44-BBG!L45)</f>
        <v>0.15999999999999659</v>
      </c>
      <c r="Z40" s="215" t="e">
        <f>IFERROR(VLOOKUP($C41,Freight!$A$3:$F$22,MATCH(FWD!$N$41,Freight!$A$3:$F$3,0),FALSE)+$B$7,VLOOKUP($B41,Freight!$A$3:$F$22,MATCH(FWD!$N$41,Freight!$A$3:$F$3,0),FALSE)+$B$7)</f>
        <v>#N/A</v>
      </c>
      <c r="AA40" s="115">
        <f>VLOOKUP(EOMONTH(X40,0),BBG!$N$63:$R$123,5,FALSE)</f>
        <v>0.54</v>
      </c>
      <c r="AB40" s="210" t="e">
        <f t="shared" si="1"/>
        <v>#N/A</v>
      </c>
      <c r="AC40" s="212" t="str">
        <f t="shared" si="18"/>
        <v>TD9</v>
      </c>
      <c r="AD40" s="238" t="e">
        <f t="shared" si="26"/>
        <v>#VALUE!</v>
      </c>
      <c r="AF40" s="175">
        <f t="shared" si="7"/>
        <v>47483</v>
      </c>
      <c r="AG40" s="124">
        <f>IF(BBG!$D$5=BBG!$J$5,BBG!L42-BBG!L44,BBG!L41-BBG!L43)*2/3</f>
        <v>0.30000000000000188</v>
      </c>
      <c r="AH40" s="124">
        <f>IFERROR(VLOOKUP($C40,Freight!$A$3:$F$22,MATCH(FWD!$AH$41,Freight!$A$3:$F$3,0),FALSE)+$B$7,VLOOKUP($B40,Freight!$A$3:$F$22,MATCH(FWD!$AH$41,Freight!$A$3:$F$3,0),FALSE)+$B$7)</f>
        <v>10.737379024631771</v>
      </c>
      <c r="AI40" s="124">
        <f>VLOOKUP(X40,BBG!$U$63:$Y$123,4,FALSE)</f>
        <v>0.44</v>
      </c>
      <c r="AJ40" s="230">
        <f t="shared" si="8"/>
        <v>8.667379024631769</v>
      </c>
      <c r="AL40" s="175">
        <f t="shared" si="9"/>
        <v>47452</v>
      </c>
      <c r="AM40" s="227" t="e">
        <f>IFERROR(VLOOKUP(AL40,BBG!$AE$64:$AJ$100,6,FALSE),AM39)</f>
        <v>#VALUE!</v>
      </c>
      <c r="AN40" s="232">
        <f t="shared" si="19"/>
        <v>0</v>
      </c>
      <c r="AO40" s="124">
        <f>VLOOKUP($B40,Freight!$A$3:$G$22,MATCH(FWD!$AO$41,Freight!$A$3:$G$3,0),FALSE)</f>
        <v>2.5904502721425038</v>
      </c>
      <c r="AP40" s="124">
        <f t="shared" si="20"/>
        <v>0.44</v>
      </c>
      <c r="AQ40" s="175">
        <f t="shared" si="10"/>
        <v>47483</v>
      </c>
      <c r="AR40" s="268" t="e">
        <f t="shared" si="21"/>
        <v>#VALUE!</v>
      </c>
      <c r="AT40" s="236" t="e">
        <f t="shared" si="11"/>
        <v>#VALUE!</v>
      </c>
      <c r="AU40" s="125"/>
    </row>
    <row r="41" spans="1:59" x14ac:dyDescent="0.35">
      <c r="N41" t="s">
        <v>197</v>
      </c>
      <c r="U41" s="209" t="s">
        <v>198</v>
      </c>
      <c r="AC41" s="210" t="str">
        <f>U41</f>
        <v>TD9</v>
      </c>
      <c r="AH41" t="s">
        <v>199</v>
      </c>
      <c r="AO41" t="s">
        <v>200</v>
      </c>
      <c r="AU41" s="125"/>
    </row>
    <row r="42" spans="1:59" x14ac:dyDescent="0.35">
      <c r="AC42" s="210"/>
      <c r="AU42" s="125"/>
    </row>
    <row r="43" spans="1:59" x14ac:dyDescent="0.35">
      <c r="AC43" s="210"/>
      <c r="AU43" s="125"/>
    </row>
    <row r="44" spans="1:59" x14ac:dyDescent="0.35">
      <c r="AJ44">
        <v>75</v>
      </c>
      <c r="AU44" s="125"/>
    </row>
    <row r="45" spans="1:59" x14ac:dyDescent="0.35">
      <c r="A45" t="s">
        <v>194</v>
      </c>
      <c r="AJ45">
        <v>35</v>
      </c>
      <c r="AU45" s="125"/>
    </row>
    <row r="46" spans="1:59" x14ac:dyDescent="0.35">
      <c r="A46" t="s">
        <v>201</v>
      </c>
      <c r="AJ46">
        <v>0</v>
      </c>
      <c r="AU46" s="125"/>
    </row>
    <row r="47" spans="1:59" x14ac:dyDescent="0.35">
      <c r="AU47" s="125"/>
    </row>
    <row r="48" spans="1:59" x14ac:dyDescent="0.35">
      <c r="AU48" s="125"/>
    </row>
    <row r="49" spans="47:47" x14ac:dyDescent="0.35">
      <c r="AU49" s="125"/>
    </row>
    <row r="50" spans="47:47" x14ac:dyDescent="0.35">
      <c r="AU50" s="125"/>
    </row>
    <row r="51" spans="47:47" x14ac:dyDescent="0.35">
      <c r="AU51" s="125"/>
    </row>
    <row r="52" spans="47:47" x14ac:dyDescent="0.35">
      <c r="AU52" s="125"/>
    </row>
    <row r="53" spans="47:47" x14ac:dyDescent="0.35">
      <c r="AU53" s="125"/>
    </row>
    <row r="54" spans="47:47" x14ac:dyDescent="0.35">
      <c r="AU54" s="125"/>
    </row>
    <row r="55" spans="47:47" x14ac:dyDescent="0.35">
      <c r="AU55" s="125"/>
    </row>
    <row r="56" spans="47:47" x14ac:dyDescent="0.35">
      <c r="AU56" s="125"/>
    </row>
    <row r="57" spans="47:47" x14ac:dyDescent="0.35">
      <c r="AU57" s="125"/>
    </row>
    <row r="58" spans="47:47" x14ac:dyDescent="0.35">
      <c r="AU58" s="125"/>
    </row>
    <row r="59" spans="47:47" x14ac:dyDescent="0.35">
      <c r="AU59" s="125"/>
    </row>
    <row r="60" spans="47:47" x14ac:dyDescent="0.35">
      <c r="AU60" s="125"/>
    </row>
    <row r="61" spans="47:47" x14ac:dyDescent="0.35">
      <c r="AU61" s="125"/>
    </row>
    <row r="62" spans="47:47" x14ac:dyDescent="0.35">
      <c r="AU62" s="125"/>
    </row>
    <row r="63" spans="47:47" x14ac:dyDescent="0.35">
      <c r="AU63" s="125"/>
    </row>
    <row r="64" spans="47:47" x14ac:dyDescent="0.35">
      <c r="AU64" s="125"/>
    </row>
    <row r="65" spans="13:47" x14ac:dyDescent="0.35">
      <c r="AU65" s="125"/>
    </row>
    <row r="66" spans="13:47" x14ac:dyDescent="0.35">
      <c r="AU66" s="125"/>
    </row>
    <row r="67" spans="13:47" x14ac:dyDescent="0.35">
      <c r="AU67" s="125"/>
    </row>
    <row r="68" spans="13:47" x14ac:dyDescent="0.35">
      <c r="AU68" s="125"/>
    </row>
    <row r="69" spans="13:47" x14ac:dyDescent="0.35">
      <c r="AU69" s="125"/>
    </row>
    <row r="70" spans="13:47" x14ac:dyDescent="0.35">
      <c r="AU70" s="125"/>
    </row>
    <row r="71" spans="13:47" x14ac:dyDescent="0.35">
      <c r="AU71" s="125"/>
    </row>
    <row r="72" spans="13:47" x14ac:dyDescent="0.35">
      <c r="AU72" s="125"/>
    </row>
    <row r="73" spans="13:47" x14ac:dyDescent="0.35">
      <c r="AU73" s="125"/>
    </row>
    <row r="74" spans="13:47" x14ac:dyDescent="0.35">
      <c r="AU74" s="125"/>
    </row>
    <row r="76" spans="13:47" x14ac:dyDescent="0.35">
      <c r="AB76" s="71"/>
    </row>
    <row r="78" spans="13:47" x14ac:dyDescent="0.35">
      <c r="M78" s="71"/>
    </row>
    <row r="81" spans="5:34" x14ac:dyDescent="0.35">
      <c r="AH81" s="71"/>
    </row>
    <row r="82" spans="5:34" x14ac:dyDescent="0.35">
      <c r="E82" s="86">
        <f t="shared" ref="E82:E118" si="30">E4</f>
        <v>46326</v>
      </c>
      <c r="F82">
        <f>MONTH(E82)</f>
        <v>10</v>
      </c>
      <c r="G82" s="251">
        <f t="shared" ref="G82:G118" si="31">VLOOKUP(MONTH(E82),$P$105:$Q$116,2,FALSE)</f>
        <v>4</v>
      </c>
      <c r="H82" t="str">
        <f>RIGHT(YEAR(E82),2)</f>
        <v>26</v>
      </c>
      <c r="I82" t="str">
        <f>"Q"&amp;G82&amp;"-"&amp;H82</f>
        <v>Q4-26</v>
      </c>
      <c r="J82" s="176"/>
      <c r="K82" s="176"/>
      <c r="AB82" s="71"/>
      <c r="AC82" s="71"/>
      <c r="AD82" s="71"/>
      <c r="AH82" s="71"/>
    </row>
    <row r="83" spans="5:34" x14ac:dyDescent="0.35">
      <c r="E83" s="86">
        <f t="shared" si="30"/>
        <v>46356</v>
      </c>
      <c r="F83">
        <f t="shared" ref="F83:F118" si="32">MONTH(E83)</f>
        <v>11</v>
      </c>
      <c r="G83" s="251">
        <f t="shared" si="31"/>
        <v>4</v>
      </c>
      <c r="H83" t="str">
        <f t="shared" ref="H83:H118" si="33">RIGHT(YEAR(E83),2)</f>
        <v>26</v>
      </c>
      <c r="I83" t="str">
        <f t="shared" ref="I83:I118" si="34">"Q"&amp;G83&amp;"-"&amp;H83</f>
        <v>Q4-26</v>
      </c>
      <c r="AB83" s="84"/>
      <c r="AC83" s="84"/>
      <c r="AD83" s="84"/>
      <c r="AH83" s="84"/>
    </row>
    <row r="84" spans="5:34" x14ac:dyDescent="0.35">
      <c r="E84" s="86">
        <f t="shared" si="30"/>
        <v>46387</v>
      </c>
      <c r="F84">
        <f t="shared" si="32"/>
        <v>12</v>
      </c>
      <c r="G84" s="251">
        <f t="shared" si="31"/>
        <v>4</v>
      </c>
      <c r="H84" t="str">
        <f t="shared" si="33"/>
        <v>26</v>
      </c>
      <c r="I84" t="str">
        <f t="shared" si="34"/>
        <v>Q4-26</v>
      </c>
    </row>
    <row r="85" spans="5:34" x14ac:dyDescent="0.35">
      <c r="E85" s="86">
        <f t="shared" si="30"/>
        <v>46418</v>
      </c>
      <c r="F85">
        <f t="shared" si="32"/>
        <v>1</v>
      </c>
      <c r="G85" s="251">
        <f t="shared" si="31"/>
        <v>1</v>
      </c>
      <c r="H85" t="str">
        <f t="shared" si="33"/>
        <v>27</v>
      </c>
      <c r="I85" t="str">
        <f t="shared" si="34"/>
        <v>Q1-27</v>
      </c>
    </row>
    <row r="86" spans="5:34" x14ac:dyDescent="0.35">
      <c r="E86" s="86">
        <f t="shared" si="30"/>
        <v>46446</v>
      </c>
      <c r="F86">
        <f t="shared" si="32"/>
        <v>2</v>
      </c>
      <c r="G86" s="251">
        <f t="shared" si="31"/>
        <v>1</v>
      </c>
      <c r="H86" t="str">
        <f t="shared" si="33"/>
        <v>27</v>
      </c>
      <c r="I86" t="str">
        <f t="shared" si="34"/>
        <v>Q1-27</v>
      </c>
      <c r="AB86" s="71"/>
      <c r="AC86" s="71"/>
      <c r="AD86" s="71"/>
      <c r="AH86" s="71"/>
    </row>
    <row r="87" spans="5:34" x14ac:dyDescent="0.35">
      <c r="E87" s="86">
        <f t="shared" si="30"/>
        <v>46477</v>
      </c>
      <c r="F87">
        <f t="shared" si="32"/>
        <v>3</v>
      </c>
      <c r="G87" s="251">
        <f t="shared" si="31"/>
        <v>1</v>
      </c>
      <c r="H87" t="str">
        <f t="shared" si="33"/>
        <v>27</v>
      </c>
      <c r="I87" t="str">
        <f t="shared" si="34"/>
        <v>Q1-27</v>
      </c>
    </row>
    <row r="88" spans="5:34" x14ac:dyDescent="0.35">
      <c r="E88" s="86">
        <f t="shared" si="30"/>
        <v>46507</v>
      </c>
      <c r="F88">
        <f t="shared" si="32"/>
        <v>4</v>
      </c>
      <c r="G88" s="251">
        <f t="shared" si="31"/>
        <v>2</v>
      </c>
      <c r="H88" t="str">
        <f t="shared" si="33"/>
        <v>27</v>
      </c>
      <c r="I88" t="str">
        <f t="shared" si="34"/>
        <v>Q2-27</v>
      </c>
    </row>
    <row r="89" spans="5:34" x14ac:dyDescent="0.35">
      <c r="E89" s="86">
        <f t="shared" si="30"/>
        <v>46538</v>
      </c>
      <c r="F89">
        <f t="shared" si="32"/>
        <v>5</v>
      </c>
      <c r="G89" s="251">
        <f t="shared" si="31"/>
        <v>2</v>
      </c>
      <c r="H89" t="str">
        <f t="shared" si="33"/>
        <v>27</v>
      </c>
      <c r="I89" t="str">
        <f t="shared" si="34"/>
        <v>Q2-27</v>
      </c>
    </row>
    <row r="90" spans="5:34" x14ac:dyDescent="0.35">
      <c r="E90" s="86">
        <f t="shared" si="30"/>
        <v>46568</v>
      </c>
      <c r="F90">
        <f t="shared" si="32"/>
        <v>6</v>
      </c>
      <c r="G90" s="251">
        <f t="shared" si="31"/>
        <v>2</v>
      </c>
      <c r="H90" t="str">
        <f t="shared" si="33"/>
        <v>27</v>
      </c>
      <c r="I90" t="str">
        <f t="shared" si="34"/>
        <v>Q2-27</v>
      </c>
      <c r="J90" s="84" t="s">
        <v>39</v>
      </c>
      <c r="P90" t="s">
        <v>202</v>
      </c>
      <c r="U90" t="s">
        <v>203</v>
      </c>
      <c r="V90" t="s">
        <v>204</v>
      </c>
      <c r="X90" t="s">
        <v>205</v>
      </c>
      <c r="AC90" t="s">
        <v>206</v>
      </c>
    </row>
    <row r="91" spans="5:34" x14ac:dyDescent="0.35">
      <c r="E91" s="86">
        <f t="shared" si="30"/>
        <v>46599</v>
      </c>
      <c r="F91">
        <f t="shared" si="32"/>
        <v>7</v>
      </c>
      <c r="G91" s="251">
        <f t="shared" si="31"/>
        <v>3</v>
      </c>
      <c r="H91" t="str">
        <f t="shared" si="33"/>
        <v>27</v>
      </c>
      <c r="I91" t="str">
        <f t="shared" si="34"/>
        <v>Q3-27</v>
      </c>
      <c r="J91" s="84" t="s">
        <v>39</v>
      </c>
      <c r="P91" t="s">
        <v>1</v>
      </c>
      <c r="U91">
        <v>-0.1</v>
      </c>
      <c r="V91" s="71">
        <f t="shared" ref="V91:V95" si="35">U91+$T$6</f>
        <v>2.5099999999999998</v>
      </c>
      <c r="X91">
        <v>0.05</v>
      </c>
      <c r="AC91" s="71">
        <f>X91-V91</f>
        <v>-2.46</v>
      </c>
    </row>
    <row r="92" spans="5:34" x14ac:dyDescent="0.35">
      <c r="E92" s="86">
        <f t="shared" si="30"/>
        <v>46630</v>
      </c>
      <c r="F92">
        <f t="shared" si="32"/>
        <v>8</v>
      </c>
      <c r="G92" s="251">
        <f t="shared" si="31"/>
        <v>3</v>
      </c>
      <c r="H92" t="str">
        <f t="shared" si="33"/>
        <v>27</v>
      </c>
      <c r="I92" t="str">
        <f t="shared" si="34"/>
        <v>Q3-27</v>
      </c>
      <c r="J92" s="84" t="s">
        <v>39</v>
      </c>
      <c r="P92" t="s">
        <v>207</v>
      </c>
      <c r="U92">
        <v>-0.74</v>
      </c>
      <c r="V92" s="71">
        <f t="shared" si="35"/>
        <v>1.8699999999999999</v>
      </c>
      <c r="X92">
        <v>0.05</v>
      </c>
      <c r="AC92" s="71">
        <f t="shared" ref="AC92:AC95" si="36">X92-V92</f>
        <v>-1.8199999999999998</v>
      </c>
    </row>
    <row r="93" spans="5:34" x14ac:dyDescent="0.35">
      <c r="E93" s="86">
        <f t="shared" si="30"/>
        <v>46660</v>
      </c>
      <c r="F93">
        <f t="shared" si="32"/>
        <v>9</v>
      </c>
      <c r="G93" s="251">
        <f t="shared" si="31"/>
        <v>3</v>
      </c>
      <c r="H93" t="str">
        <f t="shared" si="33"/>
        <v>27</v>
      </c>
      <c r="I93" t="str">
        <f t="shared" si="34"/>
        <v>Q3-27</v>
      </c>
      <c r="J93" s="84" t="s">
        <v>40</v>
      </c>
      <c r="P93" t="s">
        <v>208</v>
      </c>
      <c r="U93">
        <v>1.375</v>
      </c>
      <c r="V93" s="71">
        <f t="shared" si="35"/>
        <v>3.9849999999999999</v>
      </c>
      <c r="X93">
        <v>0.05</v>
      </c>
      <c r="AC93" s="71">
        <f t="shared" si="36"/>
        <v>-3.9350000000000001</v>
      </c>
    </row>
    <row r="94" spans="5:34" x14ac:dyDescent="0.35">
      <c r="E94" s="86">
        <f t="shared" si="30"/>
        <v>46691</v>
      </c>
      <c r="F94">
        <f t="shared" si="32"/>
        <v>10</v>
      </c>
      <c r="G94" s="251">
        <f t="shared" si="31"/>
        <v>4</v>
      </c>
      <c r="H94" t="str">
        <f t="shared" si="33"/>
        <v>27</v>
      </c>
      <c r="I94" t="str">
        <f t="shared" si="34"/>
        <v>Q4-27</v>
      </c>
      <c r="J94" s="84" t="s">
        <v>40</v>
      </c>
      <c r="P94" t="s">
        <v>209</v>
      </c>
      <c r="U94">
        <v>0.72499999999999998</v>
      </c>
      <c r="V94" s="71">
        <f t="shared" si="35"/>
        <v>3.335</v>
      </c>
      <c r="X94">
        <v>0.05</v>
      </c>
      <c r="AC94" s="71">
        <f t="shared" si="36"/>
        <v>-3.2850000000000001</v>
      </c>
    </row>
    <row r="95" spans="5:34" x14ac:dyDescent="0.35">
      <c r="E95" s="86">
        <f t="shared" si="30"/>
        <v>46721</v>
      </c>
      <c r="F95">
        <f t="shared" si="32"/>
        <v>11</v>
      </c>
      <c r="G95" s="251">
        <f t="shared" si="31"/>
        <v>4</v>
      </c>
      <c r="H95" t="str">
        <f t="shared" si="33"/>
        <v>27</v>
      </c>
      <c r="I95" t="str">
        <f t="shared" si="34"/>
        <v>Q4-27</v>
      </c>
      <c r="J95" s="84" t="s">
        <v>40</v>
      </c>
      <c r="P95" t="s">
        <v>210</v>
      </c>
      <c r="U95">
        <v>1.675</v>
      </c>
      <c r="V95" s="71">
        <f t="shared" si="35"/>
        <v>4.2850000000000001</v>
      </c>
      <c r="X95">
        <v>0.05</v>
      </c>
      <c r="AC95" s="71">
        <f t="shared" si="36"/>
        <v>-4.2350000000000003</v>
      </c>
    </row>
    <row r="96" spans="5:34" x14ac:dyDescent="0.35">
      <c r="E96" s="86">
        <f t="shared" si="30"/>
        <v>46752</v>
      </c>
      <c r="F96">
        <f t="shared" si="32"/>
        <v>12</v>
      </c>
      <c r="G96" s="251">
        <f t="shared" si="31"/>
        <v>4</v>
      </c>
      <c r="H96" t="str">
        <f t="shared" si="33"/>
        <v>27</v>
      </c>
      <c r="I96" t="str">
        <f t="shared" si="34"/>
        <v>Q4-27</v>
      </c>
      <c r="J96" s="84" t="s">
        <v>41</v>
      </c>
    </row>
    <row r="97" spans="5:17" x14ac:dyDescent="0.35">
      <c r="E97" s="86">
        <f t="shared" si="30"/>
        <v>46783</v>
      </c>
      <c r="F97">
        <f t="shared" si="32"/>
        <v>1</v>
      </c>
      <c r="G97" s="251">
        <f t="shared" si="31"/>
        <v>1</v>
      </c>
      <c r="H97" t="str">
        <f t="shared" si="33"/>
        <v>28</v>
      </c>
      <c r="I97" t="str">
        <f t="shared" si="34"/>
        <v>Q1-28</v>
      </c>
      <c r="J97" s="84" t="s">
        <v>41</v>
      </c>
    </row>
    <row r="98" spans="5:17" x14ac:dyDescent="0.35">
      <c r="E98" s="86">
        <f t="shared" si="30"/>
        <v>46812</v>
      </c>
      <c r="F98">
        <f t="shared" si="32"/>
        <v>2</v>
      </c>
      <c r="G98" s="251">
        <f t="shared" si="31"/>
        <v>1</v>
      </c>
      <c r="H98" t="str">
        <f t="shared" si="33"/>
        <v>28</v>
      </c>
      <c r="I98" t="str">
        <f t="shared" si="34"/>
        <v>Q1-28</v>
      </c>
      <c r="J98" s="84" t="s">
        <v>41</v>
      </c>
    </row>
    <row r="99" spans="5:17" x14ac:dyDescent="0.35">
      <c r="E99" s="86">
        <f t="shared" si="30"/>
        <v>46843</v>
      </c>
      <c r="F99">
        <f t="shared" si="32"/>
        <v>3</v>
      </c>
      <c r="G99" s="251">
        <f t="shared" si="31"/>
        <v>1</v>
      </c>
      <c r="H99" t="str">
        <f t="shared" si="33"/>
        <v>28</v>
      </c>
      <c r="I99" t="str">
        <f t="shared" si="34"/>
        <v>Q1-28</v>
      </c>
      <c r="J99" s="84" t="s">
        <v>425</v>
      </c>
    </row>
    <row r="100" spans="5:17" x14ac:dyDescent="0.35">
      <c r="E100" s="86">
        <f t="shared" si="30"/>
        <v>46873</v>
      </c>
      <c r="F100">
        <f t="shared" si="32"/>
        <v>4</v>
      </c>
      <c r="G100" s="251">
        <f t="shared" si="31"/>
        <v>2</v>
      </c>
      <c r="H100" t="str">
        <f t="shared" si="33"/>
        <v>28</v>
      </c>
      <c r="I100" t="str">
        <f t="shared" si="34"/>
        <v>Q2-28</v>
      </c>
      <c r="J100" s="84" t="s">
        <v>425</v>
      </c>
    </row>
    <row r="101" spans="5:17" x14ac:dyDescent="0.35">
      <c r="E101" s="86">
        <f t="shared" si="30"/>
        <v>46904</v>
      </c>
      <c r="F101">
        <f t="shared" si="32"/>
        <v>5</v>
      </c>
      <c r="G101" s="251">
        <f t="shared" si="31"/>
        <v>2</v>
      </c>
      <c r="H101" t="str">
        <f t="shared" si="33"/>
        <v>28</v>
      </c>
      <c r="I101" t="str">
        <f t="shared" si="34"/>
        <v>Q2-28</v>
      </c>
      <c r="J101" s="84" t="s">
        <v>425</v>
      </c>
    </row>
    <row r="102" spans="5:17" x14ac:dyDescent="0.35">
      <c r="E102" s="86">
        <f t="shared" si="30"/>
        <v>46934</v>
      </c>
      <c r="F102">
        <f t="shared" si="32"/>
        <v>6</v>
      </c>
      <c r="G102" s="251">
        <f t="shared" si="31"/>
        <v>2</v>
      </c>
      <c r="H102" t="str">
        <f t="shared" si="33"/>
        <v>28</v>
      </c>
      <c r="I102" t="str">
        <f t="shared" si="34"/>
        <v>Q2-28</v>
      </c>
      <c r="J102" s="84" t="s">
        <v>434</v>
      </c>
    </row>
    <row r="103" spans="5:17" x14ac:dyDescent="0.35">
      <c r="E103" s="86">
        <f t="shared" si="30"/>
        <v>46965</v>
      </c>
      <c r="F103">
        <f t="shared" si="32"/>
        <v>7</v>
      </c>
      <c r="G103" s="251">
        <f t="shared" si="31"/>
        <v>3</v>
      </c>
      <c r="H103" t="str">
        <f t="shared" si="33"/>
        <v>28</v>
      </c>
      <c r="I103" t="str">
        <f t="shared" si="34"/>
        <v>Q3-28</v>
      </c>
      <c r="J103" s="84" t="s">
        <v>434</v>
      </c>
    </row>
    <row r="104" spans="5:17" x14ac:dyDescent="0.35">
      <c r="E104" s="86">
        <f t="shared" si="30"/>
        <v>46996</v>
      </c>
      <c r="F104">
        <f t="shared" si="32"/>
        <v>8</v>
      </c>
      <c r="G104" s="251">
        <f t="shared" si="31"/>
        <v>3</v>
      </c>
      <c r="H104" t="str">
        <f t="shared" si="33"/>
        <v>28</v>
      </c>
      <c r="I104" t="str">
        <f t="shared" si="34"/>
        <v>Q3-28</v>
      </c>
      <c r="J104" s="84" t="s">
        <v>434</v>
      </c>
    </row>
    <row r="105" spans="5:17" x14ac:dyDescent="0.35">
      <c r="E105" s="86">
        <f t="shared" si="30"/>
        <v>47026</v>
      </c>
      <c r="F105">
        <f t="shared" si="32"/>
        <v>9</v>
      </c>
      <c r="G105" s="251">
        <f t="shared" si="31"/>
        <v>3</v>
      </c>
      <c r="H105" t="str">
        <f t="shared" si="33"/>
        <v>28</v>
      </c>
      <c r="I105" t="str">
        <f t="shared" si="34"/>
        <v>Q3-28</v>
      </c>
      <c r="J105" s="84" t="s">
        <v>428</v>
      </c>
      <c r="P105">
        <v>1</v>
      </c>
      <c r="Q105">
        <v>1</v>
      </c>
    </row>
    <row r="106" spans="5:17" x14ac:dyDescent="0.35">
      <c r="E106" s="86">
        <f t="shared" si="30"/>
        <v>47057</v>
      </c>
      <c r="F106">
        <f t="shared" si="32"/>
        <v>10</v>
      </c>
      <c r="G106" s="251">
        <f t="shared" si="31"/>
        <v>4</v>
      </c>
      <c r="H106" t="str">
        <f t="shared" si="33"/>
        <v>28</v>
      </c>
      <c r="I106" t="str">
        <f t="shared" si="34"/>
        <v>Q4-28</v>
      </c>
      <c r="J106" s="84" t="s">
        <v>428</v>
      </c>
      <c r="P106">
        <f>+P105+1</f>
        <v>2</v>
      </c>
      <c r="Q106">
        <v>1</v>
      </c>
    </row>
    <row r="107" spans="5:17" x14ac:dyDescent="0.35">
      <c r="E107" s="86">
        <f t="shared" si="30"/>
        <v>47087</v>
      </c>
      <c r="F107">
        <f t="shared" si="32"/>
        <v>11</v>
      </c>
      <c r="G107" s="251">
        <f t="shared" si="31"/>
        <v>4</v>
      </c>
      <c r="H107" t="str">
        <f t="shared" si="33"/>
        <v>28</v>
      </c>
      <c r="I107" t="str">
        <f t="shared" si="34"/>
        <v>Q4-28</v>
      </c>
      <c r="J107" s="84" t="s">
        <v>428</v>
      </c>
      <c r="P107">
        <f t="shared" ref="P107:P116" si="37">+P106+1</f>
        <v>3</v>
      </c>
      <c r="Q107">
        <v>1</v>
      </c>
    </row>
    <row r="108" spans="5:17" x14ac:dyDescent="0.35">
      <c r="E108" s="86">
        <f t="shared" si="30"/>
        <v>47118</v>
      </c>
      <c r="F108">
        <f t="shared" si="32"/>
        <v>12</v>
      </c>
      <c r="G108" s="251">
        <f t="shared" si="31"/>
        <v>4</v>
      </c>
      <c r="H108" t="str">
        <f t="shared" si="33"/>
        <v>28</v>
      </c>
      <c r="I108" t="str">
        <f t="shared" si="34"/>
        <v>Q4-28</v>
      </c>
      <c r="J108" s="84" t="s">
        <v>429</v>
      </c>
      <c r="P108">
        <f t="shared" si="37"/>
        <v>4</v>
      </c>
      <c r="Q108">
        <v>2</v>
      </c>
    </row>
    <row r="109" spans="5:17" x14ac:dyDescent="0.35">
      <c r="E109" s="86">
        <f t="shared" si="30"/>
        <v>47149</v>
      </c>
      <c r="F109">
        <f t="shared" si="32"/>
        <v>1</v>
      </c>
      <c r="G109" s="251">
        <f t="shared" si="31"/>
        <v>1</v>
      </c>
      <c r="H109" t="str">
        <f t="shared" si="33"/>
        <v>29</v>
      </c>
      <c r="I109" t="str">
        <f t="shared" si="34"/>
        <v>Q1-29</v>
      </c>
      <c r="J109" s="84" t="s">
        <v>429</v>
      </c>
      <c r="P109">
        <f t="shared" si="37"/>
        <v>5</v>
      </c>
      <c r="Q109">
        <v>2</v>
      </c>
    </row>
    <row r="110" spans="5:17" x14ac:dyDescent="0.35">
      <c r="E110" s="86">
        <f t="shared" si="30"/>
        <v>47177</v>
      </c>
      <c r="F110">
        <f t="shared" si="32"/>
        <v>2</v>
      </c>
      <c r="G110" s="251">
        <f t="shared" si="31"/>
        <v>1</v>
      </c>
      <c r="H110" t="str">
        <f t="shared" si="33"/>
        <v>29</v>
      </c>
      <c r="I110" t="str">
        <f t="shared" si="34"/>
        <v>Q1-29</v>
      </c>
      <c r="J110" s="84" t="s">
        <v>429</v>
      </c>
      <c r="P110">
        <f t="shared" si="37"/>
        <v>6</v>
      </c>
      <c r="Q110">
        <v>2</v>
      </c>
    </row>
    <row r="111" spans="5:17" x14ac:dyDescent="0.35">
      <c r="E111" s="86">
        <f t="shared" si="30"/>
        <v>47208</v>
      </c>
      <c r="F111">
        <f t="shared" si="32"/>
        <v>3</v>
      </c>
      <c r="G111" s="251">
        <f t="shared" si="31"/>
        <v>1</v>
      </c>
      <c r="H111" t="str">
        <f t="shared" si="33"/>
        <v>29</v>
      </c>
      <c r="I111" t="str">
        <f t="shared" si="34"/>
        <v>Q1-29</v>
      </c>
      <c r="J111" s="84" t="s">
        <v>430</v>
      </c>
      <c r="P111">
        <f t="shared" si="37"/>
        <v>7</v>
      </c>
      <c r="Q111">
        <v>3</v>
      </c>
    </row>
    <row r="112" spans="5:17" x14ac:dyDescent="0.35">
      <c r="E112" s="86">
        <f t="shared" si="30"/>
        <v>47238</v>
      </c>
      <c r="F112">
        <f t="shared" si="32"/>
        <v>4</v>
      </c>
      <c r="G112" s="251">
        <f t="shared" si="31"/>
        <v>2</v>
      </c>
      <c r="H112" t="str">
        <f t="shared" si="33"/>
        <v>29</v>
      </c>
      <c r="I112" t="str">
        <f t="shared" si="34"/>
        <v>Q2-29</v>
      </c>
      <c r="J112" s="84" t="s">
        <v>430</v>
      </c>
      <c r="P112">
        <f t="shared" si="37"/>
        <v>8</v>
      </c>
      <c r="Q112">
        <v>3</v>
      </c>
    </row>
    <row r="113" spans="5:17" x14ac:dyDescent="0.35">
      <c r="E113" s="86">
        <f t="shared" si="30"/>
        <v>47269</v>
      </c>
      <c r="F113">
        <f t="shared" si="32"/>
        <v>5</v>
      </c>
      <c r="G113" s="251">
        <f t="shared" si="31"/>
        <v>2</v>
      </c>
      <c r="H113" t="str">
        <f t="shared" si="33"/>
        <v>29</v>
      </c>
      <c r="I113" t="str">
        <f t="shared" si="34"/>
        <v>Q2-29</v>
      </c>
      <c r="J113" s="84" t="s">
        <v>430</v>
      </c>
      <c r="P113">
        <f t="shared" si="37"/>
        <v>9</v>
      </c>
      <c r="Q113">
        <v>3</v>
      </c>
    </row>
    <row r="114" spans="5:17" x14ac:dyDescent="0.35">
      <c r="E114" s="86">
        <f t="shared" si="30"/>
        <v>47299</v>
      </c>
      <c r="F114">
        <f t="shared" si="32"/>
        <v>6</v>
      </c>
      <c r="G114" s="251">
        <f t="shared" si="31"/>
        <v>2</v>
      </c>
      <c r="H114" t="str">
        <f t="shared" si="33"/>
        <v>29</v>
      </c>
      <c r="I114" t="str">
        <f t="shared" si="34"/>
        <v>Q2-29</v>
      </c>
      <c r="J114" s="84" t="s">
        <v>427</v>
      </c>
      <c r="P114">
        <f t="shared" si="37"/>
        <v>10</v>
      </c>
      <c r="Q114">
        <v>4</v>
      </c>
    </row>
    <row r="115" spans="5:17" x14ac:dyDescent="0.35">
      <c r="E115" s="86">
        <f t="shared" si="30"/>
        <v>47330</v>
      </c>
      <c r="F115">
        <f t="shared" si="32"/>
        <v>7</v>
      </c>
      <c r="G115" s="251">
        <f t="shared" si="31"/>
        <v>3</v>
      </c>
      <c r="H115" t="str">
        <f t="shared" si="33"/>
        <v>29</v>
      </c>
      <c r="I115" t="str">
        <f t="shared" si="34"/>
        <v>Q3-29</v>
      </c>
      <c r="J115" s="84" t="s">
        <v>427</v>
      </c>
      <c r="P115">
        <f t="shared" si="37"/>
        <v>11</v>
      </c>
      <c r="Q115">
        <v>4</v>
      </c>
    </row>
    <row r="116" spans="5:17" x14ac:dyDescent="0.35">
      <c r="E116" s="86">
        <f t="shared" si="30"/>
        <v>47361</v>
      </c>
      <c r="F116">
        <f t="shared" si="32"/>
        <v>8</v>
      </c>
      <c r="G116" s="251">
        <f t="shared" si="31"/>
        <v>3</v>
      </c>
      <c r="H116" t="str">
        <f t="shared" si="33"/>
        <v>29</v>
      </c>
      <c r="I116" t="str">
        <f t="shared" si="34"/>
        <v>Q3-29</v>
      </c>
      <c r="J116" s="84" t="s">
        <v>427</v>
      </c>
      <c r="P116">
        <f t="shared" si="37"/>
        <v>12</v>
      </c>
      <c r="Q116">
        <v>4</v>
      </c>
    </row>
    <row r="117" spans="5:17" x14ac:dyDescent="0.35">
      <c r="E117" s="86">
        <f t="shared" si="30"/>
        <v>47391</v>
      </c>
      <c r="F117">
        <f t="shared" si="32"/>
        <v>9</v>
      </c>
      <c r="G117" s="251">
        <f t="shared" si="31"/>
        <v>3</v>
      </c>
      <c r="H117" t="str">
        <f t="shared" si="33"/>
        <v>29</v>
      </c>
      <c r="I117" t="str">
        <f t="shared" si="34"/>
        <v>Q3-29</v>
      </c>
      <c r="J117" s="84" t="s">
        <v>431</v>
      </c>
    </row>
    <row r="118" spans="5:17" x14ac:dyDescent="0.35">
      <c r="E118" s="86">
        <f t="shared" si="30"/>
        <v>47422</v>
      </c>
      <c r="F118">
        <f t="shared" si="32"/>
        <v>10</v>
      </c>
      <c r="G118" s="251">
        <f t="shared" si="31"/>
        <v>4</v>
      </c>
      <c r="H118" t="str">
        <f t="shared" si="33"/>
        <v>29</v>
      </c>
      <c r="I118" t="str">
        <f t="shared" si="34"/>
        <v>Q4-29</v>
      </c>
      <c r="J118" s="84" t="s">
        <v>431</v>
      </c>
    </row>
    <row r="119" spans="5:17" x14ac:dyDescent="0.35">
      <c r="J119" s="84" t="s">
        <v>431</v>
      </c>
    </row>
    <row r="120" spans="5:17" x14ac:dyDescent="0.35">
      <c r="J120" s="84" t="s">
        <v>432</v>
      </c>
    </row>
    <row r="121" spans="5:17" x14ac:dyDescent="0.35">
      <c r="J121" s="84" t="s">
        <v>432</v>
      </c>
    </row>
    <row r="122" spans="5:17" x14ac:dyDescent="0.35">
      <c r="J122" s="84" t="s">
        <v>432</v>
      </c>
    </row>
    <row r="123" spans="5:17" x14ac:dyDescent="0.35">
      <c r="J123" s="84" t="s">
        <v>433</v>
      </c>
    </row>
    <row r="124" spans="5:17" x14ac:dyDescent="0.35">
      <c r="J124" s="84" t="s">
        <v>433</v>
      </c>
    </row>
    <row r="125" spans="5:17" x14ac:dyDescent="0.35">
      <c r="J125" s="84" t="s">
        <v>433</v>
      </c>
    </row>
  </sheetData>
  <mergeCells count="2">
    <mergeCell ref="M1:AD1"/>
    <mergeCell ref="AF1:AT1"/>
  </mergeCells>
  <phoneticPr fontId="10" type="noConversion"/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19A9-4E89-489D-8B2C-04EA8718C7AB}">
  <sheetPr codeName="Sheet10"/>
  <dimension ref="A1:BR107"/>
  <sheetViews>
    <sheetView showGridLines="0" zoomScale="85" zoomScaleNormal="85" workbookViewId="0">
      <selection activeCell="U6" sqref="U6"/>
    </sheetView>
  </sheetViews>
  <sheetFormatPr defaultColWidth="8.54296875" defaultRowHeight="14.5" outlineLevelCol="1" x14ac:dyDescent="0.35"/>
  <cols>
    <col min="3" max="3" width="7.453125" hidden="1" customWidth="1" outlineLevel="1"/>
    <col min="4" max="4" width="9.54296875" hidden="1" customWidth="1" outlineLevel="1"/>
    <col min="5" max="5" width="8.54296875" bestFit="1" customWidth="1" collapsed="1"/>
    <col min="6" max="6" width="5.54296875" hidden="1" customWidth="1" outlineLevel="1"/>
    <col min="7" max="7" width="10" hidden="1" customWidth="1" outlineLevel="1"/>
    <col min="8" max="8" width="6" hidden="1" customWidth="1" outlineLevel="1"/>
    <col min="9" max="9" width="10.54296875" customWidth="1" collapsed="1"/>
    <col min="10" max="10" width="13.453125" style="84" customWidth="1"/>
    <col min="11" max="11" width="4" customWidth="1"/>
    <col min="12" max="12" width="7.54296875" customWidth="1"/>
    <col min="13" max="13" width="9.453125" hidden="1" customWidth="1" outlineLevel="1"/>
    <col min="14" max="14" width="6" hidden="1" customWidth="1" outlineLevel="1"/>
    <col min="15" max="15" width="13.54296875" bestFit="1" customWidth="1" collapsed="1"/>
    <col min="16" max="16" width="13.54296875" hidden="1" customWidth="1" outlineLevel="1"/>
    <col min="17" max="17" width="14.453125" hidden="1" customWidth="1" outlineLevel="1"/>
    <col min="18" max="19" width="17.54296875" hidden="1" customWidth="1" outlineLevel="1"/>
    <col min="20" max="20" width="13.453125" bestFit="1" customWidth="1" collapsed="1"/>
    <col min="21" max="21" width="14.453125" bestFit="1" customWidth="1"/>
    <col min="22" max="22" width="2" customWidth="1"/>
    <col min="23" max="23" width="7.54296875" customWidth="1"/>
    <col min="24" max="24" width="10.54296875" hidden="1" customWidth="1" outlineLevel="1"/>
    <col min="25" max="25" width="7.453125" hidden="1" customWidth="1" outlineLevel="1"/>
    <col min="26" max="26" width="6" hidden="1" customWidth="1" outlineLevel="1"/>
    <col min="27" max="27" width="13.54296875" customWidth="1" collapsed="1"/>
    <col min="28" max="28" width="13.453125" bestFit="1" customWidth="1"/>
    <col min="29" max="29" width="14.453125" bestFit="1" customWidth="1"/>
    <col min="30" max="30" width="4.54296875" customWidth="1"/>
    <col min="31" max="31" width="7.54296875" bestFit="1" customWidth="1"/>
    <col min="32" max="32" width="11.54296875" hidden="1" customWidth="1" outlineLevel="1"/>
    <col min="33" max="33" width="7.54296875" hidden="1" customWidth="1" outlineLevel="1"/>
    <col min="34" max="34" width="6.54296875" hidden="1" customWidth="1" outlineLevel="1"/>
    <col min="35" max="35" width="22.26953125" bestFit="1" customWidth="1" collapsed="1"/>
    <col min="36" max="36" width="1.453125" customWidth="1"/>
    <col min="37" max="37" width="8.54296875" hidden="1" customWidth="1" outlineLevel="1"/>
    <col min="38" max="39" width="11.453125" hidden="1" customWidth="1" outlineLevel="1"/>
    <col min="40" max="40" width="7.453125" hidden="1" customWidth="1" outlineLevel="1"/>
    <col min="41" max="41" width="6.54296875" hidden="1" customWidth="1" outlineLevel="1"/>
    <col min="42" max="42" width="8.54296875" collapsed="1"/>
    <col min="43" max="43" width="26.453125" bestFit="1" customWidth="1"/>
    <col min="44" max="44" width="1.453125" customWidth="1"/>
    <col min="45" max="45" width="14.453125" customWidth="1"/>
    <col min="46" max="46" width="6" customWidth="1"/>
    <col min="47" max="47" width="7.54296875" customWidth="1"/>
    <col min="48" max="48" width="9.453125" customWidth="1"/>
    <col min="49" max="49" width="13.453125" customWidth="1"/>
    <col min="50" max="50" width="3.453125" customWidth="1"/>
    <col min="51" max="53" width="13.453125" hidden="1" customWidth="1" outlineLevel="1"/>
    <col min="54" max="54" width="16.453125" customWidth="1" collapsed="1"/>
    <col min="55" max="59" width="8.7265625" customWidth="1"/>
  </cols>
  <sheetData>
    <row r="1" spans="1:59" ht="15" thickBot="1" x14ac:dyDescent="0.4">
      <c r="A1" s="125">
        <v>0</v>
      </c>
      <c r="B1" s="177">
        <v>1</v>
      </c>
      <c r="C1" s="177"/>
      <c r="D1" s="177">
        <v>0.7</v>
      </c>
      <c r="K1" s="98"/>
      <c r="L1" s="583" t="s">
        <v>171</v>
      </c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5"/>
    </row>
    <row r="2" spans="1:59" s="125" customFormat="1" x14ac:dyDescent="0.35">
      <c r="A2" s="202"/>
      <c r="J2" s="126">
        <f>J5-0.81</f>
        <v>-9.4</v>
      </c>
      <c r="L2" s="125" t="s">
        <v>173</v>
      </c>
      <c r="T2" s="250"/>
      <c r="V2"/>
      <c r="W2" s="125" t="s">
        <v>174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ht="29" x14ac:dyDescent="0.35">
      <c r="C3" t="s">
        <v>122</v>
      </c>
      <c r="D3" t="s">
        <v>104</v>
      </c>
      <c r="E3" s="89" t="s">
        <v>176</v>
      </c>
      <c r="F3" s="89" t="s">
        <v>10</v>
      </c>
      <c r="G3" s="89" t="s">
        <v>177</v>
      </c>
      <c r="H3" s="89" t="s">
        <v>178</v>
      </c>
      <c r="I3" s="249" t="s">
        <v>107</v>
      </c>
      <c r="J3" s="248" t="s">
        <v>179</v>
      </c>
      <c r="K3" s="98"/>
      <c r="L3" s="243" t="s">
        <v>180</v>
      </c>
      <c r="M3" s="241" t="s">
        <v>122</v>
      </c>
      <c r="N3" s="240" t="s">
        <v>54</v>
      </c>
      <c r="O3" s="240" t="s">
        <v>181</v>
      </c>
      <c r="P3" s="240" t="s">
        <v>182</v>
      </c>
      <c r="Q3" s="240" t="s">
        <v>183</v>
      </c>
      <c r="R3" s="240" t="s">
        <v>184</v>
      </c>
      <c r="S3" s="240" t="s">
        <v>54</v>
      </c>
      <c r="T3" s="240" t="s">
        <v>185</v>
      </c>
      <c r="U3" s="242" t="s">
        <v>78</v>
      </c>
      <c r="V3" s="214"/>
      <c r="W3" s="243" t="s">
        <v>180</v>
      </c>
      <c r="X3" s="240" t="s">
        <v>186</v>
      </c>
      <c r="Y3" s="241" t="s">
        <v>122</v>
      </c>
      <c r="Z3" s="240" t="s">
        <v>54</v>
      </c>
      <c r="AA3" s="240" t="str">
        <f>O3</f>
        <v>WTI CIF Rdam</v>
      </c>
      <c r="AB3" s="240" t="s">
        <v>185</v>
      </c>
      <c r="AC3" s="242" t="s">
        <v>78</v>
      </c>
    </row>
    <row r="4" spans="1:59" ht="15" thickBot="1" x14ac:dyDescent="0.4">
      <c r="C4" s="168">
        <f>E4</f>
        <v>46326</v>
      </c>
      <c r="D4" s="169">
        <f>EOMONTH(E4,-1)+1</f>
        <v>46296</v>
      </c>
      <c r="E4" s="107">
        <f>EOMONTH(E5,-1)</f>
        <v>46326</v>
      </c>
      <c r="F4" s="219">
        <f>IFERROR(INDEX(Sheet1!$B$5:$N$27,MATCH(EFPs!$F$3,Sheet1!$B$5:$B$27,0),MATCH(EFPs!D4,Sheet1!$B$5:$N$5,0)),F5)</f>
        <v>0.75</v>
      </c>
      <c r="G4" s="90"/>
      <c r="H4" s="90"/>
      <c r="I4" s="170">
        <v>0</v>
      </c>
      <c r="J4" s="239">
        <f>_xlfn.XLOOKUP(EOMONTH(E4,2),BBG!$X$5:$X$28,BBG!$AB$5:$AB$28)</f>
        <v>-8.59</v>
      </c>
      <c r="K4" s="98"/>
      <c r="L4" s="114">
        <f>EOMONTH(L5,-1)</f>
        <v>46326</v>
      </c>
      <c r="M4" s="215">
        <f>VLOOKUP($C4,Freight!$A$3:$F$17,MATCH(EFPs!$M$30,Freight!$A$3:$F$3,0),FALSE)+$B$7</f>
        <v>17.188650000000003</v>
      </c>
      <c r="N4" s="216"/>
      <c r="O4" s="209">
        <f t="shared" ref="O4:O29" si="0">J4+M4-N4</f>
        <v>8.5986500000000028</v>
      </c>
      <c r="P4" s="209" t="e">
        <v>#N/A</v>
      </c>
      <c r="Q4" s="215">
        <f>VLOOKUP($C4,Freight!$A$3:$F$17,MATCH(EFPs!$T$30,Freight!$A$3:$F$3,0),FALSE)</f>
        <v>3.5918571428571431</v>
      </c>
      <c r="R4" s="209"/>
      <c r="S4" s="209">
        <f>N4</f>
        <v>0</v>
      </c>
      <c r="T4" s="209" t="str">
        <f>IFERROR(P4+Q4,"Expired")</f>
        <v>Expired</v>
      </c>
      <c r="U4" s="237" t="str">
        <f>IFERROR(T4-O4,"Expired")</f>
        <v>Expired</v>
      </c>
      <c r="V4" s="98"/>
      <c r="W4" s="114">
        <f>EOMONTH(L4,1)</f>
        <v>46356</v>
      </c>
      <c r="X4" s="217"/>
      <c r="Y4" s="215">
        <f>VLOOKUP($C4,Freight!$A$3:$F$17,MATCH(EFPs!$M$30,Freight!$A$3:$F$3,0),FALSE)+$B$7</f>
        <v>17.188650000000003</v>
      </c>
      <c r="Z4" s="216"/>
      <c r="AA4" s="210">
        <f>J4+X4+Y4-Z4</f>
        <v>8.5986500000000028</v>
      </c>
      <c r="AB4" s="210" t="str">
        <f>T5</f>
        <v>Expired</v>
      </c>
      <c r="AC4" s="265" t="s">
        <v>211</v>
      </c>
    </row>
    <row r="5" spans="1:59" ht="15" thickBot="1" x14ac:dyDescent="0.4">
      <c r="A5" t="s">
        <v>191</v>
      </c>
      <c r="B5" s="177">
        <v>0</v>
      </c>
      <c r="C5" s="168">
        <f>E5</f>
        <v>46356</v>
      </c>
      <c r="D5" s="169">
        <f t="shared" ref="D5:D13" si="1">EOMONTH(E5,-1)+1</f>
        <v>46327</v>
      </c>
      <c r="E5" s="269">
        <f>USG!E25</f>
        <v>46356</v>
      </c>
      <c r="F5" s="219">
        <f>+INDEX(Sheet1!$B$5:$N$27,MATCH(EFPs!$F$3,Sheet1!$B$5:$B$27,0),MATCH(EFPs!D5,Sheet1!$B$5:$N$5,0))</f>
        <v>1.35</v>
      </c>
      <c r="G5" s="90"/>
      <c r="H5" s="90"/>
      <c r="I5" s="90">
        <v>0</v>
      </c>
      <c r="J5" s="220">
        <f>_xlfn.XLOOKUP(EOMONTH(E5,1),BBG!$X$5:$X$28,BBG!$AB$5:$AB$28)</f>
        <v>-8.59</v>
      </c>
      <c r="K5" s="95"/>
      <c r="L5" s="114">
        <f t="shared" ref="L5:L29" si="2">EOMONTH(E5,0)</f>
        <v>46356</v>
      </c>
      <c r="M5" s="112">
        <f>VLOOKUP($C4,Freight!$A$3:$F$17,MATCH(EFPs!$M$30,Freight!$A$3:$F$3,0),FALSE)+$B$7</f>
        <v>17.188650000000003</v>
      </c>
      <c r="N5" s="113"/>
      <c r="O5" s="209">
        <f t="shared" si="0"/>
        <v>8.5986500000000028</v>
      </c>
      <c r="P5" s="209" t="e">
        <v>#N/A</v>
      </c>
      <c r="Q5" s="215">
        <f>VLOOKUP($C5,Freight!$A$3:$F$17,MATCH(EFPs!$T$30,Freight!$A$3:$F$3,0),FALSE)</f>
        <v>3.1428750000000001</v>
      </c>
      <c r="R5" s="209"/>
      <c r="S5" s="209">
        <f t="shared" ref="S5:S29" si="3">N5</f>
        <v>0</v>
      </c>
      <c r="T5" s="209" t="str">
        <f t="shared" ref="T5:T29" si="4">IFERROR(P5+Q5,"Expired")</f>
        <v>Expired</v>
      </c>
      <c r="U5" s="265" t="str">
        <f>IFERROR(T5-O5,"Expired")</f>
        <v>Expired</v>
      </c>
      <c r="V5" s="98"/>
      <c r="W5" s="114">
        <f>EOMONTH(L5,1)</f>
        <v>46387</v>
      </c>
      <c r="X5" s="217"/>
      <c r="Y5" s="215">
        <f>VLOOKUP($C5,Freight!$A$3:$F$17,MATCH(EFPs!$M$30,Freight!$A$3:$F$3,0),FALSE)+$B$7</f>
        <v>16.2225</v>
      </c>
      <c r="Z5" s="216"/>
      <c r="AA5" s="210">
        <f>J5+X5+Y5-Z5</f>
        <v>7.6325000000000003</v>
      </c>
      <c r="AB5" s="210">
        <f>T6</f>
        <v>2.6938928571428575</v>
      </c>
      <c r="AC5" s="487">
        <f>IFERROR(AB5-AA5,"Expired")</f>
        <v>-4.9386071428571423</v>
      </c>
    </row>
    <row r="6" spans="1:59" x14ac:dyDescent="0.35">
      <c r="A6" t="s">
        <v>192</v>
      </c>
      <c r="B6" s="71"/>
      <c r="C6" s="171">
        <f>E6</f>
        <v>46387</v>
      </c>
      <c r="D6" s="87">
        <f t="shared" si="1"/>
        <v>46357</v>
      </c>
      <c r="E6" s="108">
        <f>EOMONTH(E5,1)</f>
        <v>46387</v>
      </c>
      <c r="F6" s="213">
        <f>+INDEX(Sheet1!$B$5:$N$27,MATCH(EFPs!$F$3,Sheet1!$B$5:$B$27,0),MATCH(EFPs!D6,Sheet1!$B$5:$N$5,0))</f>
        <v>1</v>
      </c>
      <c r="G6" s="214"/>
      <c r="H6" s="214"/>
      <c r="I6" s="214">
        <f t="shared" ref="I6:I29" si="5">I5</f>
        <v>0</v>
      </c>
      <c r="J6" s="221">
        <f>_xlfn.XLOOKUP(EOMONTH(E6,0),BBG!$X$5:$X$28,BBG!$AB$5:$AB$28)</f>
        <v>-8.59</v>
      </c>
      <c r="K6" s="95"/>
      <c r="L6" s="114">
        <f t="shared" si="2"/>
        <v>46387</v>
      </c>
      <c r="M6" s="215">
        <f>VLOOKUP($C5,Freight!$A$3:$F$17,MATCH(EFPs!$M$30,Freight!$A$3:$F$3,0),FALSE)+$B$7</f>
        <v>16.2225</v>
      </c>
      <c r="N6" s="216"/>
      <c r="O6" s="209">
        <f t="shared" si="0"/>
        <v>7.6325000000000003</v>
      </c>
      <c r="P6" s="209">
        <f t="shared" ref="P6:P29" si="6">$B$5</f>
        <v>0</v>
      </c>
      <c r="Q6" s="215">
        <f>VLOOKUP($C6,Freight!$A$3:$F$17,MATCH(EFPs!$T$30,Freight!$A$3:$F$3,0),FALSE)</f>
        <v>2.6938928571428575</v>
      </c>
      <c r="R6" s="209"/>
      <c r="S6" s="209">
        <f t="shared" si="3"/>
        <v>0</v>
      </c>
      <c r="T6" s="209">
        <f t="shared" si="4"/>
        <v>2.6938928571428575</v>
      </c>
      <c r="U6" s="237">
        <f t="shared" ref="U6:U13" si="7">IFERROR(T6-O6,"Expired")</f>
        <v>-4.9386071428571423</v>
      </c>
      <c r="V6" s="98"/>
      <c r="W6" s="114">
        <f t="shared" ref="W6:W29" si="8">EOMONTH(L6,1)</f>
        <v>46418</v>
      </c>
      <c r="X6" s="217">
        <f>IF(BBG!$D$5=BBG!$J$5,BBG!L6-BBG!L7,BBG!L5-BBG!L6)</f>
        <v>2.9399999999999977</v>
      </c>
      <c r="Y6" s="215">
        <f>VLOOKUP($C6,Freight!$A$3:$F$17,MATCH(EFPs!$M$30,Freight!$A$3:$F$3,0),FALSE)+$B$7</f>
        <v>12.7873</v>
      </c>
      <c r="Z6" s="216"/>
      <c r="AA6" s="210">
        <f>J6+X6+Y6-Z6</f>
        <v>7.137299999999998</v>
      </c>
      <c r="AB6" s="210">
        <f t="shared" ref="AB6:AB28" si="9">T7</f>
        <v>1.9058472006769145</v>
      </c>
      <c r="AC6" s="237">
        <f t="shared" ref="AC6:AC13" si="10">IFERROR(AB6-AA6,"Expired")</f>
        <v>-5.2314527993230833</v>
      </c>
    </row>
    <row r="7" spans="1:59" x14ac:dyDescent="0.35">
      <c r="A7" t="s">
        <v>193</v>
      </c>
      <c r="B7" s="71">
        <v>0.12</v>
      </c>
      <c r="C7" s="171">
        <f>E7</f>
        <v>46418</v>
      </c>
      <c r="D7" s="87">
        <f t="shared" si="1"/>
        <v>46388</v>
      </c>
      <c r="E7" s="108">
        <f>EOMONTH(E6,1)</f>
        <v>46418</v>
      </c>
      <c r="F7" s="213">
        <f>+INDEX(Sheet1!$B$5:$N$27,MATCH(EFPs!$F$3,Sheet1!$B$5:$B$27,0),MATCH(EFPs!D7,Sheet1!$B$5:$N$5,0))</f>
        <v>1.2</v>
      </c>
      <c r="G7" s="214"/>
      <c r="H7" s="214"/>
      <c r="I7" s="214">
        <f t="shared" si="5"/>
        <v>0</v>
      </c>
      <c r="J7" s="221">
        <f>_xlfn.XLOOKUP(EOMONTH(E7,0),BBG!$X$5:$X$28,BBG!$AB$5:$AB$28)</f>
        <v>-7.08</v>
      </c>
      <c r="K7" s="95"/>
      <c r="L7" s="114">
        <f t="shared" si="2"/>
        <v>46418</v>
      </c>
      <c r="M7" s="215">
        <f>VLOOKUP($C6,Freight!$A$3:$F$17,MATCH(EFPs!$M$30,Freight!$A$3:$F$3,0),FALSE)+$B$7</f>
        <v>12.7873</v>
      </c>
      <c r="N7" s="216"/>
      <c r="O7" s="209">
        <f t="shared" si="0"/>
        <v>5.7073</v>
      </c>
      <c r="P7" s="209">
        <f t="shared" si="6"/>
        <v>0</v>
      </c>
      <c r="Q7" s="215">
        <f>VLOOKUP($C7,Freight!$A$3:$F$17,MATCH(EFPs!$T$30,Freight!$A$3:$F$3,0),FALSE)</f>
        <v>1.9058472006769145</v>
      </c>
      <c r="R7" s="209"/>
      <c r="S7" s="209">
        <f t="shared" si="3"/>
        <v>0</v>
      </c>
      <c r="T7" s="209">
        <f t="shared" si="4"/>
        <v>1.9058472006769145</v>
      </c>
      <c r="U7" s="237">
        <f t="shared" si="7"/>
        <v>-3.8014527993230853</v>
      </c>
      <c r="V7" s="98"/>
      <c r="W7" s="114">
        <f t="shared" si="8"/>
        <v>46446</v>
      </c>
      <c r="X7" s="217">
        <f>IF(BBG!$D$5=BBG!$J$5,BBG!L7-BBG!L8,BBG!L6-BBG!L7)</f>
        <v>2.2399999999999949</v>
      </c>
      <c r="Y7" s="215">
        <f>VLOOKUP($C7,Freight!$A$3:$F$17,MATCH(EFPs!$M$30,Freight!$A$3:$F$3,0),FALSE)+$B$7</f>
        <v>8.3462494050452136</v>
      </c>
      <c r="Z7" s="216"/>
      <c r="AA7" s="210">
        <f t="shared" ref="AA7:AA29" si="11">J7+X7+Y7-Z7</f>
        <v>3.5062494050452084</v>
      </c>
      <c r="AB7" s="210">
        <f t="shared" si="9"/>
        <v>1.8615251727541955</v>
      </c>
      <c r="AC7" s="237">
        <f t="shared" si="10"/>
        <v>-1.6447242322910129</v>
      </c>
    </row>
    <row r="8" spans="1:59" x14ac:dyDescent="0.35">
      <c r="B8" s="71">
        <v>0.12</v>
      </c>
      <c r="C8" s="171">
        <f>E8</f>
        <v>46446</v>
      </c>
      <c r="D8" s="87">
        <f t="shared" si="1"/>
        <v>46419</v>
      </c>
      <c r="E8" s="108">
        <f>EOMONTH(E7,1)</f>
        <v>46446</v>
      </c>
      <c r="F8" s="213">
        <f>+INDEX(Sheet1!$B$5:$N$27,MATCH(EFPs!$F$3,Sheet1!$B$5:$B$27,0),MATCH(EFPs!D8,Sheet1!$B$5:$N$5,0))</f>
        <v>1.4</v>
      </c>
      <c r="G8" s="214"/>
      <c r="H8" s="214"/>
      <c r="I8" s="214">
        <f t="shared" si="5"/>
        <v>0</v>
      </c>
      <c r="J8" s="221">
        <f>_xlfn.XLOOKUP(EOMONTH(E8,0),BBG!$X$5:$X$28,BBG!$AB$5:$AB$28)</f>
        <v>-6.38</v>
      </c>
      <c r="K8" s="95"/>
      <c r="L8" s="114">
        <f t="shared" si="2"/>
        <v>46446</v>
      </c>
      <c r="M8" s="215">
        <f>VLOOKUP($C7,Freight!$A$3:$F$17,MATCH(EFPs!$M$30,Freight!$A$3:$F$3,0),FALSE)+$B$7</f>
        <v>8.3462494050452136</v>
      </c>
      <c r="N8" s="216"/>
      <c r="O8" s="209">
        <f t="shared" si="0"/>
        <v>1.9662494050452137</v>
      </c>
      <c r="P8" s="209">
        <f t="shared" si="6"/>
        <v>0</v>
      </c>
      <c r="Q8" s="215">
        <f>VLOOKUP($C8,Freight!$A$3:$F$17,MATCH(EFPs!$T$30,Freight!$A$3:$F$3,0),FALSE)</f>
        <v>1.8615251727541955</v>
      </c>
      <c r="R8" s="209"/>
      <c r="S8" s="209">
        <f t="shared" si="3"/>
        <v>0</v>
      </c>
      <c r="T8" s="209">
        <f t="shared" si="4"/>
        <v>1.8615251727541955</v>
      </c>
      <c r="U8" s="237">
        <f t="shared" si="7"/>
        <v>-0.10472423229101824</v>
      </c>
      <c r="V8" s="98"/>
      <c r="W8" s="114">
        <f t="shared" si="8"/>
        <v>46477</v>
      </c>
      <c r="X8" s="217">
        <f>IF(BBG!$D$5=BBG!$J$5,BBG!L8-BBG!L9,BBG!L7-BBG!L8)</f>
        <v>1.7000000000000028</v>
      </c>
      <c r="Y8" s="215">
        <f>VLOOKUP($C8,Freight!$A$3:$F$17,MATCH(EFPs!$M$30,Freight!$A$3:$F$3,0),FALSE)+$B$7</f>
        <v>8.0396811042360792</v>
      </c>
      <c r="Z8" s="216"/>
      <c r="AA8" s="210">
        <f t="shared" si="11"/>
        <v>3.3596811042360821</v>
      </c>
      <c r="AB8" s="210">
        <f t="shared" si="9"/>
        <v>1.8172031448314767</v>
      </c>
      <c r="AC8" s="237">
        <f t="shared" si="10"/>
        <v>-1.5424779594046054</v>
      </c>
    </row>
    <row r="9" spans="1:59" x14ac:dyDescent="0.35">
      <c r="A9" t="s">
        <v>194</v>
      </c>
      <c r="B9" s="71"/>
      <c r="C9" s="171">
        <f t="shared" ref="C9:C29" si="12">E9</f>
        <v>46477</v>
      </c>
      <c r="D9" s="87">
        <f t="shared" si="1"/>
        <v>46447</v>
      </c>
      <c r="E9" s="108">
        <f>EOMONTH(E8,1)</f>
        <v>46477</v>
      </c>
      <c r="F9" s="213">
        <f>+INDEX(Sheet1!$B$5:$N$27,MATCH(EFPs!$F$3,Sheet1!$B$5:$B$27,0),MATCH(EFPs!D9,Sheet1!$B$5:$N$5,0))</f>
        <v>1.55</v>
      </c>
      <c r="G9" s="214"/>
      <c r="H9" s="214"/>
      <c r="I9" s="214">
        <f t="shared" si="5"/>
        <v>0</v>
      </c>
      <c r="J9" s="221">
        <f>_xlfn.XLOOKUP(EOMONTH(E9,0),BBG!$X$5:$X$28,BBG!$AB$5:$AB$28)</f>
        <v>-6</v>
      </c>
      <c r="K9" s="95"/>
      <c r="L9" s="114">
        <f t="shared" si="2"/>
        <v>46477</v>
      </c>
      <c r="M9" s="215">
        <f>VLOOKUP($C9,Freight!$A$3:$F$17,MATCH(EFPs!$M$30,Freight!$A$3:$F$3,0),FALSE)+$B$7</f>
        <v>7.7331128034269403</v>
      </c>
      <c r="N9" s="216"/>
      <c r="O9" s="209">
        <f t="shared" si="0"/>
        <v>1.7331128034269403</v>
      </c>
      <c r="P9" s="209">
        <f t="shared" si="6"/>
        <v>0</v>
      </c>
      <c r="Q9" s="215">
        <f>VLOOKUP($C9,Freight!$A$3:$F$17,MATCH(EFPs!$T$30,Freight!$A$3:$F$3,0),FALSE)</f>
        <v>1.8172031448314767</v>
      </c>
      <c r="R9" s="209"/>
      <c r="S9" s="209">
        <f t="shared" si="3"/>
        <v>0</v>
      </c>
      <c r="T9" s="209">
        <f t="shared" si="4"/>
        <v>1.8172031448314767</v>
      </c>
      <c r="U9" s="237">
        <f t="shared" si="7"/>
        <v>8.4090341404536417E-2</v>
      </c>
      <c r="V9" s="98"/>
      <c r="W9" s="114">
        <f t="shared" si="8"/>
        <v>46507</v>
      </c>
      <c r="X9" s="217">
        <f>IF(BBG!$D$5=BBG!$J$5,BBG!L9-BBG!L10,BBG!L8-BBG!L9)</f>
        <v>1.480000000000004</v>
      </c>
      <c r="Y9" s="215">
        <f>VLOOKUP($C9,Freight!$A$3:$F$17,MATCH(EFPs!$M$30,Freight!$A$3:$F$3,0),FALSE)+$B$7</f>
        <v>7.7331128034269403</v>
      </c>
      <c r="Z9" s="216"/>
      <c r="AA9" s="210">
        <f t="shared" si="11"/>
        <v>3.2131128034269443</v>
      </c>
      <c r="AB9" s="210">
        <f t="shared" si="9"/>
        <v>1.5069489493724439</v>
      </c>
      <c r="AC9" s="237">
        <f t="shared" si="10"/>
        <v>-1.7061638540545003</v>
      </c>
    </row>
    <row r="10" spans="1:59" x14ac:dyDescent="0.35">
      <c r="B10" s="71"/>
      <c r="C10" s="171">
        <f t="shared" si="12"/>
        <v>46507</v>
      </c>
      <c r="D10" s="87">
        <f t="shared" si="1"/>
        <v>46478</v>
      </c>
      <c r="E10" s="108">
        <f t="shared" ref="E10:E17" si="13">EOMONTH(E9,1)</f>
        <v>46507</v>
      </c>
      <c r="F10" s="213">
        <f>+INDEX(Sheet1!$B$5:$N$27,MATCH(EFPs!$F$3,Sheet1!$B$5:$B$27,0),MATCH(EFPs!D10,Sheet1!$B$5:$N$5,0))</f>
        <v>1.75</v>
      </c>
      <c r="G10" s="214"/>
      <c r="H10" s="214"/>
      <c r="I10" s="214">
        <f t="shared" si="5"/>
        <v>0</v>
      </c>
      <c r="J10" s="221">
        <f>_xlfn.XLOOKUP(EOMONTH(E10,0),BBG!$X$5:$X$28,BBG!$AB$5:$AB$28)</f>
        <v>-5.7</v>
      </c>
      <c r="K10" s="95"/>
      <c r="L10" s="114">
        <f t="shared" si="2"/>
        <v>46507</v>
      </c>
      <c r="M10" s="215">
        <f>VLOOKUP($C10,Freight!$A$3:$F$17,MATCH(EFPs!$M$30,Freight!$A$3:$F$3,0),FALSE)+$B$7</f>
        <v>6.8645026178010458</v>
      </c>
      <c r="N10" s="216"/>
      <c r="O10" s="209">
        <f t="shared" si="0"/>
        <v>1.1645026178010456</v>
      </c>
      <c r="P10" s="209">
        <f t="shared" si="6"/>
        <v>0</v>
      </c>
      <c r="Q10" s="215">
        <f>VLOOKUP($C10,Freight!$A$3:$F$17,MATCH(EFPs!$T$30,Freight!$A$3:$F$3,0),FALSE)</f>
        <v>1.5069489493724439</v>
      </c>
      <c r="R10" s="209"/>
      <c r="S10" s="209">
        <f t="shared" si="3"/>
        <v>0</v>
      </c>
      <c r="T10" s="209">
        <f t="shared" si="4"/>
        <v>1.5069489493724439</v>
      </c>
      <c r="U10" s="237">
        <f t="shared" si="7"/>
        <v>0.34244633157139837</v>
      </c>
      <c r="V10" s="98"/>
      <c r="W10" s="114">
        <f t="shared" si="8"/>
        <v>46538</v>
      </c>
      <c r="X10" s="217">
        <f>IF(BBG!$D$5=BBG!$J$5,BBG!L10-BBG!L11,BBG!L9-BBG!L10)</f>
        <v>1.3299999999999983</v>
      </c>
      <c r="Y10" s="215">
        <f>VLOOKUP($C10,Freight!$A$3:$F$17,MATCH(EFPs!$M$30,Freight!$A$3:$F$3,0),FALSE)+$B$7</f>
        <v>6.8645026178010458</v>
      </c>
      <c r="Z10" s="216"/>
      <c r="AA10" s="210">
        <f t="shared" si="11"/>
        <v>2.4945026178010439</v>
      </c>
      <c r="AB10" s="210">
        <f t="shared" si="9"/>
        <v>1.5069489493724439</v>
      </c>
      <c r="AC10" s="237">
        <f t="shared" si="10"/>
        <v>-0.98755366842859993</v>
      </c>
    </row>
    <row r="11" spans="1:59" x14ac:dyDescent="0.35">
      <c r="B11" s="71" t="str">
        <f t="shared" ref="B11:B24" si="14">VLOOKUP(E11,$E$71:$I$107,5,FALSE)</f>
        <v>Q2-27</v>
      </c>
      <c r="C11" s="171">
        <f t="shared" si="12"/>
        <v>46538</v>
      </c>
      <c r="D11" s="87">
        <f t="shared" si="1"/>
        <v>46508</v>
      </c>
      <c r="E11" s="108">
        <f t="shared" si="13"/>
        <v>46538</v>
      </c>
      <c r="F11" s="213">
        <f>+INDEX(Sheet1!$B$5:$N$27,MATCH(EFPs!$F$3,Sheet1!$B$5:$B$27,0),MATCH(EFPs!D11,Sheet1!$B$5:$N$5,0))</f>
        <v>1.8</v>
      </c>
      <c r="G11" s="214"/>
      <c r="H11" s="214"/>
      <c r="I11" s="214">
        <f t="shared" si="5"/>
        <v>0</v>
      </c>
      <c r="J11" s="221">
        <f>_xlfn.XLOOKUP(EOMONTH(E11,0),BBG!$X$5:$X$28,BBG!$AB$5:$AB$28)</f>
        <v>-5.42</v>
      </c>
      <c r="K11" s="95"/>
      <c r="L11" s="114">
        <f t="shared" si="2"/>
        <v>46538</v>
      </c>
      <c r="M11" s="215">
        <f>IFERROR(VLOOKUP($C11,Freight!$A$3:$F$17,MATCH(EFPs!$M$30,Freight!$A$3:$F$3,0),FALSE)+$B$7,VLOOKUP($B11,Freight!$A$3:$F$17,MATCH(EFPs!$M$30,Freight!$A$3:$F$3,0),FALSE)+$B$7)</f>
        <v>6.5579343169919087</v>
      </c>
      <c r="N11" s="216"/>
      <c r="O11" s="209">
        <f t="shared" si="0"/>
        <v>1.1379343169919087</v>
      </c>
      <c r="P11" s="209">
        <f t="shared" si="6"/>
        <v>0</v>
      </c>
      <c r="Q11" s="215">
        <f>IFERROR(VLOOKUP($C11,Freight!$A$3:$F$22,MATCH(EFPs!$T$30,Freight!$A$3:$F$3,0),FALSE),VLOOKUP($B11,Freight!$A$3:$F$22,MATCH(EFPs!$T$30,Freight!$A$3:$F$3,0),FALSE))</f>
        <v>1.5069489493724439</v>
      </c>
      <c r="R11" s="209"/>
      <c r="S11" s="209">
        <f t="shared" si="3"/>
        <v>0</v>
      </c>
      <c r="T11" s="209">
        <f t="shared" si="4"/>
        <v>1.5069489493724439</v>
      </c>
      <c r="U11" s="237">
        <f t="shared" si="7"/>
        <v>0.36901463238053522</v>
      </c>
      <c r="V11" s="98"/>
      <c r="W11" s="114">
        <f t="shared" si="8"/>
        <v>46568</v>
      </c>
      <c r="X11" s="217">
        <f>IF(BBG!$D$5=BBG!$J$5,BBG!L11-BBG!L12,BBG!L10-BBG!L11)</f>
        <v>1.25</v>
      </c>
      <c r="Y11" s="215">
        <f>IFERROR(VLOOKUP($C11,Freight!$A$3:$F$17,MATCH(EFPs!$M$30,Freight!$A$3:$F$3,0),FALSE)+$B$7,VLOOKUP($B11,Freight!$A$3:$F$17,MATCH(EFPs!$M$30,Freight!$A$3:$F$3,0),FALSE)+$B$7)</f>
        <v>6.5579343169919087</v>
      </c>
      <c r="Z11" s="216"/>
      <c r="AA11" s="210">
        <f t="shared" si="11"/>
        <v>2.3879343169919087</v>
      </c>
      <c r="AB11" s="210">
        <f t="shared" si="9"/>
        <v>1.5069489493724439</v>
      </c>
      <c r="AC11" s="237">
        <f t="shared" si="10"/>
        <v>-0.88098536761946478</v>
      </c>
    </row>
    <row r="12" spans="1:59" x14ac:dyDescent="0.35">
      <c r="B12" s="71" t="str">
        <f t="shared" si="14"/>
        <v>Q2-27</v>
      </c>
      <c r="C12" s="171">
        <f t="shared" si="12"/>
        <v>46568</v>
      </c>
      <c r="D12" s="87">
        <f t="shared" si="1"/>
        <v>46539</v>
      </c>
      <c r="E12" s="108">
        <f t="shared" si="13"/>
        <v>46568</v>
      </c>
      <c r="F12" s="213">
        <f>+INDEX(Sheet1!$B$5:$N$27,MATCH(EFPs!$F$3,Sheet1!$B$5:$B$27,0),MATCH(EFPs!D12,Sheet1!$B$5:$N$5,0))</f>
        <v>1.85</v>
      </c>
      <c r="G12" s="214"/>
      <c r="H12" s="214"/>
      <c r="I12" s="214">
        <f t="shared" si="5"/>
        <v>0</v>
      </c>
      <c r="J12" s="221">
        <f>_xlfn.XLOOKUP(EOMONTH(E12,0),BBG!$X$5:$X$28,BBG!$AB$5:$AB$28)</f>
        <v>-5.04</v>
      </c>
      <c r="K12" s="95"/>
      <c r="L12" s="114">
        <f t="shared" si="2"/>
        <v>46568</v>
      </c>
      <c r="M12" s="215">
        <f>IFERROR(VLOOKUP($C12,Freight!$A$3:$F$17,MATCH(EFPs!$M$30,Freight!$A$3:$F$3,0),FALSE)+$B$7,VLOOKUP($B12,Freight!$A$3:$F$17,MATCH(EFPs!$M$30,Freight!$A$3:$F$3,0),FALSE)+$B$7)</f>
        <v>6.5579343169919087</v>
      </c>
      <c r="N12" s="216"/>
      <c r="O12" s="209">
        <f t="shared" si="0"/>
        <v>1.5179343169919086</v>
      </c>
      <c r="P12" s="209">
        <f t="shared" si="6"/>
        <v>0</v>
      </c>
      <c r="Q12" s="215">
        <f>IFERROR(VLOOKUP($C12,Freight!$A$3:$F$22,MATCH(EFPs!$T$30,Freight!$A$3:$F$3,0),FALSE),VLOOKUP($B12,Freight!$A$3:$F$22,MATCH(EFPs!$T$30,Freight!$A$3:$F$3,0),FALSE))</f>
        <v>1.5069489493724439</v>
      </c>
      <c r="R12" s="209"/>
      <c r="S12" s="209">
        <f t="shared" si="3"/>
        <v>0</v>
      </c>
      <c r="T12" s="209">
        <f t="shared" si="4"/>
        <v>1.5069489493724439</v>
      </c>
      <c r="U12" s="237">
        <f t="shared" si="7"/>
        <v>-1.098536761946467E-2</v>
      </c>
      <c r="V12" s="98"/>
      <c r="W12" s="114">
        <f t="shared" si="8"/>
        <v>46599</v>
      </c>
      <c r="X12" s="217">
        <f>IF(BBG!$D$5=BBG!$J$5,BBG!L12-BBG!L13,BBG!L11-BBG!L12)</f>
        <v>1.1800000000000068</v>
      </c>
      <c r="Y12" s="215">
        <f>IFERROR(VLOOKUP($C12,Freight!$A$3:$F$17,MATCH(EFPs!$M$30,Freight!$A$3:$F$3,0),FALSE)+$B$7,VLOOKUP($B12,Freight!$A$3:$F$17,MATCH(EFPs!$M$30,Freight!$A$3:$F$3,0),FALSE)+$B$7)</f>
        <v>6.5579343169919087</v>
      </c>
      <c r="Z12" s="216"/>
      <c r="AA12" s="210">
        <f t="shared" si="11"/>
        <v>2.6979343169919154</v>
      </c>
      <c r="AB12" s="210">
        <f t="shared" si="9"/>
        <v>1.4183048935270059</v>
      </c>
      <c r="AC12" s="237">
        <f t="shared" si="10"/>
        <v>-1.2796294234649095</v>
      </c>
    </row>
    <row r="13" spans="1:59" s="92" customFormat="1" x14ac:dyDescent="0.35">
      <c r="B13" s="71" t="str">
        <f t="shared" si="14"/>
        <v>Q3-27</v>
      </c>
      <c r="C13" s="171">
        <f t="shared" si="12"/>
        <v>46599</v>
      </c>
      <c r="D13" s="87">
        <f t="shared" si="1"/>
        <v>46569</v>
      </c>
      <c r="E13" s="108">
        <f t="shared" si="13"/>
        <v>46599</v>
      </c>
      <c r="F13" s="213">
        <f>+INDEX(Sheet1!$B$5:$N$27,MATCH(EFPs!$F$3,Sheet1!$B$5:$B$27,0),MATCH(EFPs!D13,Sheet1!$B$5:$N$5,0))</f>
        <v>1.85</v>
      </c>
      <c r="G13" s="214"/>
      <c r="H13" s="214"/>
      <c r="I13" s="214">
        <f t="shared" si="5"/>
        <v>0</v>
      </c>
      <c r="J13" s="221">
        <f>_xlfn.XLOOKUP(EOMONTH(E13,0),BBG!$X$5:$X$28,BBG!$AB$5:$AB$28)</f>
        <v>-4.74</v>
      </c>
      <c r="K13" s="95"/>
      <c r="L13" s="114">
        <f t="shared" si="2"/>
        <v>46599</v>
      </c>
      <c r="M13" s="215">
        <f>IFERROR(VLOOKUP($C13,Freight!$A$3:$F$17,MATCH(EFPs!$M$30,Freight!$A$3:$F$3,0),FALSE)+$B$7,VLOOKUP($B13,Freight!$A$3:$F$17,MATCH(EFPs!$M$30,Freight!$A$3:$F$3,0),FALSE)+$B$7)</f>
        <v>5.4849452641599239</v>
      </c>
      <c r="N13" s="216"/>
      <c r="O13" s="209">
        <f t="shared" si="0"/>
        <v>0.74494526415992368</v>
      </c>
      <c r="P13" s="209">
        <f t="shared" si="6"/>
        <v>0</v>
      </c>
      <c r="Q13" s="215">
        <f>IFERROR(VLOOKUP($C13,Freight!$A$3:$F$22,MATCH(EFPs!$T$30,Freight!$A$3:$F$3,0),FALSE),VLOOKUP($B13,Freight!$A$3:$F$22,MATCH(EFPs!$T$30,Freight!$A$3:$F$3,0),FALSE))</f>
        <v>1.4183048935270059</v>
      </c>
      <c r="R13" s="209"/>
      <c r="S13" s="209">
        <f t="shared" si="3"/>
        <v>0</v>
      </c>
      <c r="T13" s="209">
        <f t="shared" si="4"/>
        <v>1.4183048935270059</v>
      </c>
      <c r="U13" s="237">
        <f t="shared" si="7"/>
        <v>0.67335962936708227</v>
      </c>
      <c r="V13" s="98"/>
      <c r="W13" s="114">
        <f t="shared" si="8"/>
        <v>46630</v>
      </c>
      <c r="X13" s="217">
        <f>IF(BBG!$D$5=BBG!$J$5,BBG!L13-BBG!L14,BBG!L12-BBG!L13)</f>
        <v>1.0999999999999943</v>
      </c>
      <c r="Y13" s="215">
        <f>IFERROR(VLOOKUP($C13,Freight!$A$3:$F$17,MATCH(EFPs!$M$30,Freight!$A$3:$F$3,0),FALSE)+$B$7,VLOOKUP($B13,Freight!$A$3:$F$17,MATCH(EFPs!$M$30,Freight!$A$3:$F$3,0),FALSE)+$B$7)</f>
        <v>5.4849452641599239</v>
      </c>
      <c r="Z13" s="216"/>
      <c r="AA13" s="210">
        <f t="shared" si="11"/>
        <v>1.844945264159918</v>
      </c>
      <c r="AB13" s="210">
        <f t="shared" si="9"/>
        <v>1.4183048935270059</v>
      </c>
      <c r="AC13" s="237">
        <f t="shared" si="10"/>
        <v>-0.42664037063291205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x14ac:dyDescent="0.35">
      <c r="B14" s="71" t="str">
        <f t="shared" si="14"/>
        <v>Q3-27</v>
      </c>
      <c r="C14" s="171">
        <f t="shared" si="12"/>
        <v>46630</v>
      </c>
      <c r="D14" t="s">
        <v>37</v>
      </c>
      <c r="E14" s="108">
        <f t="shared" si="13"/>
        <v>46630</v>
      </c>
      <c r="F14" s="368" t="e">
        <f>INDEX(Sheet1!$B$38:$N$49,MATCH("MEH",Sheet1!$B$38:$B$49,0),MATCH(EFPs!D14,Sheet1!$B$38:$N$38,0))</f>
        <v>#N/A</v>
      </c>
      <c r="G14" s="214"/>
      <c r="H14" s="214"/>
      <c r="I14" s="214">
        <f t="shared" si="5"/>
        <v>0</v>
      </c>
      <c r="J14" s="221">
        <f>_xlfn.XLOOKUP(EOMONTH(E14,0),BBG!$X$5:$X$28,BBG!$AB$5:$AB$28)</f>
        <v>-4.5199999999999996</v>
      </c>
      <c r="K14" s="95"/>
      <c r="L14" s="114">
        <f t="shared" si="2"/>
        <v>46630</v>
      </c>
      <c r="M14" s="215">
        <f>IFERROR(VLOOKUP($C14,Freight!$A$3:$F$17,MATCH(EFPs!$M$30,Freight!$A$3:$F$3,0),FALSE)+$B$7,VLOOKUP($B14,Freight!$A$3:$F$17,MATCH(EFPs!$M$30,Freight!$A$3:$F$3,0),FALSE)+$B$7)</f>
        <v>5.4849452641599239</v>
      </c>
      <c r="N14" s="216"/>
      <c r="O14" s="209">
        <f t="shared" si="0"/>
        <v>0.96494526415992432</v>
      </c>
      <c r="P14" s="209">
        <f t="shared" si="6"/>
        <v>0</v>
      </c>
      <c r="Q14" s="215">
        <f>IFERROR(VLOOKUP($C14,Freight!$A$3:$F$22,MATCH(EFPs!$T$30,Freight!$A$3:$F$3,0),FALSE),VLOOKUP($B14,Freight!$A$3:$F$22,MATCH(EFPs!$T$30,Freight!$A$3:$F$3,0),FALSE))</f>
        <v>1.4183048935270059</v>
      </c>
      <c r="R14" s="209"/>
      <c r="S14" s="209">
        <f t="shared" si="3"/>
        <v>0</v>
      </c>
      <c r="T14" s="209">
        <f t="shared" si="4"/>
        <v>1.4183048935270059</v>
      </c>
      <c r="U14" s="237">
        <f t="shared" ref="U14:U29" si="15">T14-O14</f>
        <v>0.45335962936708163</v>
      </c>
      <c r="V14" s="98"/>
      <c r="W14" s="114">
        <f t="shared" si="8"/>
        <v>46660</v>
      </c>
      <c r="X14" s="217">
        <f>IF(BBG!$D$5=BBG!$J$5,BBG!L14-BBG!L15,BBG!L13-BBG!L14)</f>
        <v>1.019999999999996</v>
      </c>
      <c r="Y14" s="215">
        <f>IFERROR(VLOOKUP($C14,Freight!$A$3:$F$17,MATCH(EFPs!$M$30,Freight!$A$3:$F$3,0),FALSE)+$B$7,VLOOKUP($B14,Freight!$A$3:$F$17,MATCH(EFPs!$M$30,Freight!$A$3:$F$3,0),FALSE)+$B$7)</f>
        <v>5.4849452641599239</v>
      </c>
      <c r="Z14" s="216"/>
      <c r="AA14" s="210">
        <f t="shared" si="11"/>
        <v>1.9849452641599203</v>
      </c>
      <c r="AB14" s="210">
        <f t="shared" si="9"/>
        <v>1.4183048935270059</v>
      </c>
      <c r="AC14" s="237">
        <f t="shared" ref="AC14:AC29" si="16">AB14-AA14</f>
        <v>-0.56664037063291439</v>
      </c>
    </row>
    <row r="15" spans="1:59" x14ac:dyDescent="0.35">
      <c r="B15" s="71" t="str">
        <f t="shared" si="14"/>
        <v>Q3-27</v>
      </c>
      <c r="C15" s="171">
        <f t="shared" si="12"/>
        <v>46660</v>
      </c>
      <c r="D15" t="s">
        <v>37</v>
      </c>
      <c r="E15" s="108">
        <f>EOMONTH(E14,1)</f>
        <v>46660</v>
      </c>
      <c r="F15" s="213" t="e">
        <f>INDEX(Sheet1!$B$38:$N$49,MATCH("MEH",Sheet1!$B$38:$B$49,0),MATCH(EFPs!D15,Sheet1!$B$38:$N$38,0))</f>
        <v>#N/A</v>
      </c>
      <c r="G15" s="214"/>
      <c r="H15" s="214"/>
      <c r="I15" s="214">
        <f t="shared" si="5"/>
        <v>0</v>
      </c>
      <c r="J15" s="221">
        <f>_xlfn.XLOOKUP(EOMONTH(E15,0),BBG!$X$5:$X$28,BBG!$AB$5:$AB$28)</f>
        <v>-4.3600000000000003</v>
      </c>
      <c r="K15" s="95"/>
      <c r="L15" s="114">
        <f t="shared" si="2"/>
        <v>46660</v>
      </c>
      <c r="M15" s="215">
        <f>IFERROR(VLOOKUP($C15,Freight!$A$3:$F$17,MATCH(EFPs!$M$30,Freight!$A$3:$F$3,0),FALSE)+$B$7,VLOOKUP($B15,Freight!$A$3:$F$17,MATCH(EFPs!$M$30,Freight!$A$3:$F$3,0),FALSE)+$B$7)</f>
        <v>5.4849452641599239</v>
      </c>
      <c r="N15" s="216"/>
      <c r="O15" s="209">
        <f t="shared" si="0"/>
        <v>1.1249452641599236</v>
      </c>
      <c r="P15" s="209">
        <f t="shared" si="6"/>
        <v>0</v>
      </c>
      <c r="Q15" s="215">
        <f>IFERROR(VLOOKUP($C15,Freight!$A$3:$F$22,MATCH(EFPs!$T$30,Freight!$A$3:$F$3,0),FALSE),VLOOKUP($B15,Freight!$A$3:$F$22,MATCH(EFPs!$T$30,Freight!$A$3:$F$3,0),FALSE))</f>
        <v>1.4183048935270059</v>
      </c>
      <c r="R15" s="209"/>
      <c r="S15" s="209">
        <f t="shared" si="3"/>
        <v>0</v>
      </c>
      <c r="T15" s="209">
        <f t="shared" si="4"/>
        <v>1.4183048935270059</v>
      </c>
      <c r="U15" s="237">
        <f t="shared" si="15"/>
        <v>0.29335962936708238</v>
      </c>
      <c r="V15" s="98"/>
      <c r="W15" s="114">
        <f t="shared" si="8"/>
        <v>46691</v>
      </c>
      <c r="X15" s="217">
        <f>IF(BBG!$D$5=BBG!$J$5,BBG!L15-BBG!L16,BBG!L14-BBG!L15)</f>
        <v>0.93000000000000682</v>
      </c>
      <c r="Y15" s="215">
        <f>IFERROR(VLOOKUP($C15,Freight!$A$3:$F$17,MATCH(EFPs!$M$30,Freight!$A$3:$F$3,0),FALSE)+$B$7,VLOOKUP($B15,Freight!$A$3:$F$17,MATCH(EFPs!$M$30,Freight!$A$3:$F$3,0),FALSE)+$B$7)</f>
        <v>5.4849452641599239</v>
      </c>
      <c r="Z15" s="216"/>
      <c r="AA15" s="210">
        <f t="shared" si="11"/>
        <v>2.0549452641599304</v>
      </c>
      <c r="AB15" s="210">
        <f t="shared" si="9"/>
        <v>1.5955930052178817</v>
      </c>
      <c r="AC15" s="237">
        <f t="shared" si="16"/>
        <v>-0.45935225894204867</v>
      </c>
    </row>
    <row r="16" spans="1:59" x14ac:dyDescent="0.35">
      <c r="B16" s="71" t="str">
        <f t="shared" si="14"/>
        <v>Q4-27</v>
      </c>
      <c r="C16" s="171">
        <f t="shared" si="12"/>
        <v>46691</v>
      </c>
      <c r="D16" t="s">
        <v>38</v>
      </c>
      <c r="E16" s="108">
        <f>EOMONTH(E15,1)</f>
        <v>46691</v>
      </c>
      <c r="F16" s="213">
        <f>INDEX(Sheet1!$B$38:$N$49,MATCH("MEH",Sheet1!$B$38:$B$49,0),MATCH(EFPs!D16,Sheet1!$B$38:$N$38,0))</f>
        <v>1.0329999999999999</v>
      </c>
      <c r="G16" s="214"/>
      <c r="H16" s="214"/>
      <c r="I16" s="214">
        <f t="shared" si="5"/>
        <v>0</v>
      </c>
      <c r="J16" s="221">
        <f>_xlfn.XLOOKUP(EOMONTH(E16,0),BBG!$X$5:$X$28,BBG!$AB$5:$AB$28)</f>
        <v>-4.12</v>
      </c>
      <c r="K16" s="95"/>
      <c r="L16" s="114">
        <f t="shared" si="2"/>
        <v>46691</v>
      </c>
      <c r="M16" s="215">
        <f>IFERROR(VLOOKUP($C16,Freight!$A$3:$F$22,MATCH(EFPs!$M$30,Freight!$A$3:$F$3,0),FALSE)+$B$7,VLOOKUP($B16,Freight!$A$3:$F$22,MATCH(EFPs!$M$30,Freight!$A$3:$F$3,0),FALSE)+$B$7)</f>
        <v>5.6382294145644929</v>
      </c>
      <c r="N16" s="216"/>
      <c r="O16" s="209">
        <f t="shared" si="0"/>
        <v>1.5182294145644928</v>
      </c>
      <c r="P16" s="209">
        <f t="shared" si="6"/>
        <v>0</v>
      </c>
      <c r="Q16" s="215">
        <f>IFERROR(VLOOKUP($C16,Freight!$A$3:$F$22,MATCH(EFPs!$T$30,Freight!$A$3:$F$3,0),FALSE),VLOOKUP($B16,Freight!$A$3:$F$22,MATCH(EFPs!$T$30,Freight!$A$3:$F$3,0),FALSE))</f>
        <v>1.5955930052178817</v>
      </c>
      <c r="R16" s="209"/>
      <c r="S16" s="209">
        <f t="shared" si="3"/>
        <v>0</v>
      </c>
      <c r="T16" s="209">
        <f t="shared" si="4"/>
        <v>1.5955930052178817</v>
      </c>
      <c r="U16" s="238">
        <f t="shared" si="15"/>
        <v>7.7363590653388936E-2</v>
      </c>
      <c r="V16" s="98"/>
      <c r="W16" s="114">
        <f t="shared" si="8"/>
        <v>46721</v>
      </c>
      <c r="X16" s="217">
        <f>IF(BBG!$D$5=BBG!$J$5,BBG!L16-BBG!L17,BBG!L15-BBG!L16)</f>
        <v>0.82999999999999829</v>
      </c>
      <c r="Y16" s="215">
        <f>IFERROR(VLOOKUP($C17,Freight!$A$3:$F$22,MATCH(EFPs!$M$30,Freight!$A$3:$F$3,0),FALSE)+$B$7,VLOOKUP($B17,Freight!$A$3:$F$22,MATCH(EFPs!$M$30,Freight!$A$3:$F$3,0),FALSE)+$B$7)</f>
        <v>5.6382294145644929</v>
      </c>
      <c r="Z16" s="216"/>
      <c r="AA16" s="210">
        <f t="shared" si="11"/>
        <v>2.3482294145644911</v>
      </c>
      <c r="AB16" s="210">
        <f t="shared" si="9"/>
        <v>1.5955930052178817</v>
      </c>
      <c r="AC16" s="238">
        <f t="shared" si="16"/>
        <v>-0.75263640934660936</v>
      </c>
    </row>
    <row r="17" spans="1:70" x14ac:dyDescent="0.35">
      <c r="B17" s="71" t="str">
        <f t="shared" si="14"/>
        <v>Q4-27</v>
      </c>
      <c r="C17" s="171">
        <f t="shared" si="12"/>
        <v>46721</v>
      </c>
      <c r="D17" t="s">
        <v>38</v>
      </c>
      <c r="E17" s="107">
        <f t="shared" si="13"/>
        <v>46721</v>
      </c>
      <c r="F17" s="219">
        <f>INDEX(Sheet1!$B$38:$N$49,MATCH("MEH",Sheet1!$B$38:$B$49,0),MATCH(EFPs!D17,Sheet1!$B$38:$N$38,0))</f>
        <v>1.0329999999999999</v>
      </c>
      <c r="G17" s="90"/>
      <c r="H17" s="90"/>
      <c r="I17" s="90">
        <f t="shared" si="5"/>
        <v>0</v>
      </c>
      <c r="J17" s="220">
        <f>_xlfn.XLOOKUP(EOMONTH(E17,0),BBG!$X$5:$X$28,BBG!$AB$5:$AB$28)</f>
        <v>-3.98</v>
      </c>
      <c r="K17" s="95"/>
      <c r="L17" s="111">
        <f t="shared" si="2"/>
        <v>46721</v>
      </c>
      <c r="M17" s="215">
        <f>IFERROR(VLOOKUP($C17,Freight!$A$3:$F$22,MATCH(EFPs!$M$30,Freight!$A$3:$F$3,0),FALSE)+$B$7,VLOOKUP($B17,Freight!$A$3:$F$22,MATCH(EFPs!$M$30,Freight!$A$3:$F$3,0),FALSE)+$B$7)</f>
        <v>5.6382294145644929</v>
      </c>
      <c r="N17" s="113"/>
      <c r="O17" s="209">
        <f t="shared" si="0"/>
        <v>1.6582294145644929</v>
      </c>
      <c r="P17" s="209">
        <f t="shared" si="6"/>
        <v>0</v>
      </c>
      <c r="Q17" s="215">
        <f>IFERROR(VLOOKUP($C17,Freight!$A$3:$F$22,MATCH(EFPs!$T$30,Freight!$A$3:$F$3,0),FALSE),VLOOKUP($B17,Freight!$A$3:$F$22,MATCH(EFPs!$T$30,Freight!$A$3:$F$3,0),FALSE))</f>
        <v>1.5955930052178817</v>
      </c>
      <c r="R17" s="209"/>
      <c r="S17" s="209">
        <f t="shared" si="3"/>
        <v>0</v>
      </c>
      <c r="T17" s="209">
        <f t="shared" si="4"/>
        <v>1.5955930052178817</v>
      </c>
      <c r="U17" s="237">
        <f t="shared" si="15"/>
        <v>-6.2636409346611188E-2</v>
      </c>
      <c r="V17" s="98"/>
      <c r="W17" s="111">
        <f t="shared" si="8"/>
        <v>46752</v>
      </c>
      <c r="X17" s="217">
        <f>IF(BBG!$D$5=BBG!$J$5,BBG!L17-BBG!L18,BBG!L16-BBG!L17)</f>
        <v>0.78000000000000114</v>
      </c>
      <c r="Y17" s="215">
        <f>IFERROR(VLOOKUP($C18,Freight!$A$3:$F$22,MATCH(EFPs!$M$30,Freight!$A$3:$F$3,0),FALSE)+$B$7,VLOOKUP($B18,Freight!$A$3:$F$22,MATCH(EFPs!$M$30,Freight!$A$3:$F$3,0),FALSE)+$B$7)</f>
        <v>5.6382294145644929</v>
      </c>
      <c r="Z17" s="113"/>
      <c r="AA17" s="210">
        <f t="shared" si="11"/>
        <v>2.438229414564494</v>
      </c>
      <c r="AB17" s="211">
        <f t="shared" si="9"/>
        <v>1.5955930052178817</v>
      </c>
      <c r="AC17" s="237">
        <f t="shared" si="16"/>
        <v>-0.84263640934661233</v>
      </c>
    </row>
    <row r="18" spans="1:70" x14ac:dyDescent="0.35">
      <c r="B18" s="71" t="str">
        <f t="shared" si="14"/>
        <v>Q4-27</v>
      </c>
      <c r="C18" s="171">
        <f t="shared" si="12"/>
        <v>46752</v>
      </c>
      <c r="D18" t="s">
        <v>38</v>
      </c>
      <c r="E18" s="108">
        <f>EOMONTH(E17,1)</f>
        <v>46752</v>
      </c>
      <c r="F18" s="213">
        <f>INDEX(Sheet1!$B$38:$N$49,MATCH("MEH",Sheet1!$B$38:$B$49,0),MATCH(EFPs!D18,Sheet1!$B$38:$N$38,0))</f>
        <v>1.0329999999999999</v>
      </c>
      <c r="G18" s="214"/>
      <c r="H18" s="214"/>
      <c r="I18" s="214">
        <f t="shared" si="5"/>
        <v>0</v>
      </c>
      <c r="J18" s="221">
        <f>_xlfn.XLOOKUP(EOMONTH(E18,0),BBG!$X$5:$X$28,BBG!$AB$5:$AB$28)</f>
        <v>-3.87</v>
      </c>
      <c r="K18" s="95"/>
      <c r="L18" s="114">
        <f t="shared" si="2"/>
        <v>46752</v>
      </c>
      <c r="M18" s="215">
        <f>IFERROR(VLOOKUP($C18,Freight!$A$3:$F$22,MATCH(EFPs!$M$30,Freight!$A$3:$F$3,0),FALSE)+$B$7,VLOOKUP($B18,Freight!$A$3:$F$22,MATCH(EFPs!$M$30,Freight!$A$3:$F$3,0),FALSE)+$B$7)</f>
        <v>5.6382294145644929</v>
      </c>
      <c r="N18" s="216"/>
      <c r="O18" s="209">
        <f t="shared" si="0"/>
        <v>1.7682294145644928</v>
      </c>
      <c r="P18" s="209">
        <f t="shared" si="6"/>
        <v>0</v>
      </c>
      <c r="Q18" s="215">
        <f>IFERROR(VLOOKUP($C18,Freight!$A$3:$F$22,MATCH(EFPs!$T$30,Freight!$A$3:$F$3,0),FALSE),VLOOKUP($B18,Freight!$A$3:$F$22,MATCH(EFPs!$T$30,Freight!$A$3:$F$3,0),FALSE))</f>
        <v>1.5955930052178817</v>
      </c>
      <c r="R18" s="209"/>
      <c r="S18" s="209">
        <f t="shared" si="3"/>
        <v>0</v>
      </c>
      <c r="T18" s="209">
        <f t="shared" si="4"/>
        <v>1.5955930052178817</v>
      </c>
      <c r="U18" s="237">
        <f t="shared" si="15"/>
        <v>-0.17263640934661106</v>
      </c>
      <c r="V18" s="98"/>
      <c r="W18" s="114">
        <f t="shared" si="8"/>
        <v>46783</v>
      </c>
      <c r="X18" s="217">
        <f>IF(BBG!$D$5=BBG!$J$5,BBG!L18-BBG!L19,BBG!L17-BBG!L18)</f>
        <v>0.73999999999999488</v>
      </c>
      <c r="Y18" s="215">
        <f>IFERROR(VLOOKUP($C19,Freight!$A$3:$F$22,MATCH(EFPs!$M$30,Freight!$A$3:$F$3,0),FALSE)+$B$7,VLOOKUP($B19,Freight!$A$3:$F$22,MATCH(EFPs!$M$30,Freight!$A$3:$F$3,0),FALSE)+$B$7)</f>
        <v>4.6674297953355541</v>
      </c>
      <c r="Z18" s="216"/>
      <c r="AA18" s="210">
        <f t="shared" si="11"/>
        <v>1.5374297953355489</v>
      </c>
      <c r="AB18" s="210">
        <f t="shared" si="9"/>
        <v>1.4626269214497249</v>
      </c>
      <c r="AC18" s="237">
        <f t="shared" si="16"/>
        <v>-7.4802873885823962E-2</v>
      </c>
    </row>
    <row r="19" spans="1:70" x14ac:dyDescent="0.35">
      <c r="B19" s="71" t="str">
        <f t="shared" si="14"/>
        <v>Q1-28</v>
      </c>
      <c r="C19" s="171">
        <f t="shared" si="12"/>
        <v>46783</v>
      </c>
      <c r="D19" t="s">
        <v>42</v>
      </c>
      <c r="E19" s="108">
        <f>EOMONTH(E18,1)</f>
        <v>46783</v>
      </c>
      <c r="F19" s="213">
        <f>INDEX(Sheet1!$B$38:$N$49,MATCH("MEH",Sheet1!$B$38:$B$49,0),MATCH(EFPs!D19,Sheet1!$B$38:$N$38,0))</f>
        <v>1.5920000000000001</v>
      </c>
      <c r="G19" s="214"/>
      <c r="H19" s="214"/>
      <c r="I19" s="214">
        <f t="shared" si="5"/>
        <v>0</v>
      </c>
      <c r="J19" s="221">
        <f>_xlfn.XLOOKUP(EOMONTH(E19,0),BBG!$X$5:$X$28,BBG!$AB$5:$AB$28)</f>
        <v>-3.76</v>
      </c>
      <c r="K19" s="95"/>
      <c r="L19" s="114">
        <f t="shared" si="2"/>
        <v>46783</v>
      </c>
      <c r="M19" s="215">
        <f>IFERROR(VLOOKUP($C19,Freight!$A$3:$F$22,MATCH(EFPs!$M$30,Freight!$A$3:$F$3,0),FALSE)+$B$7,VLOOKUP($B19,Freight!$A$3:$F$22,MATCH(EFPs!$M$30,Freight!$A$3:$F$3,0),FALSE)+$B$7)</f>
        <v>4.6674297953355541</v>
      </c>
      <c r="N19" s="216"/>
      <c r="O19" s="209">
        <f t="shared" si="0"/>
        <v>0.90742979533555435</v>
      </c>
      <c r="P19" s="209">
        <f t="shared" si="6"/>
        <v>0</v>
      </c>
      <c r="Q19" s="215">
        <f>IFERROR(VLOOKUP($C19,Freight!$A$3:$F$22,MATCH(EFPs!$T$30,Freight!$A$3:$F$3,0),FALSE),VLOOKUP($B19,Freight!$A$3:$F$22,MATCH(EFPs!$T$30,Freight!$A$3:$F$3,0),FALSE))</f>
        <v>1.4626269214497249</v>
      </c>
      <c r="R19" s="209"/>
      <c r="S19" s="209">
        <f t="shared" si="3"/>
        <v>0</v>
      </c>
      <c r="T19" s="209">
        <f t="shared" si="4"/>
        <v>1.4626269214497249</v>
      </c>
      <c r="U19" s="237">
        <f t="shared" si="15"/>
        <v>0.5551971261141706</v>
      </c>
      <c r="V19" s="98"/>
      <c r="W19" s="114">
        <f t="shared" si="8"/>
        <v>46812</v>
      </c>
      <c r="X19" s="217">
        <f>IF(BBG!$D$5=BBG!$J$5,BBG!L19-BBG!L20,BBG!L18-BBG!L19)</f>
        <v>0.68999999999999773</v>
      </c>
      <c r="Y19" s="215">
        <f>IFERROR(VLOOKUP($C20,Freight!$A$3:$F$22,MATCH(EFPs!$M$30,Freight!$A$3:$F$3,0),FALSE)+$B$7,VLOOKUP($B20,Freight!$A$3:$F$22,MATCH(EFPs!$M$30,Freight!$A$3:$F$3,0),FALSE)+$B$7)</f>
        <v>4.6674297953355541</v>
      </c>
      <c r="Z19" s="216"/>
      <c r="AA19" s="210">
        <f t="shared" si="11"/>
        <v>1.5974297953355521</v>
      </c>
      <c r="AB19" s="210">
        <f t="shared" si="9"/>
        <v>1.4626269214497249</v>
      </c>
      <c r="AC19" s="237">
        <f t="shared" si="16"/>
        <v>-0.13480287388582712</v>
      </c>
    </row>
    <row r="20" spans="1:70" x14ac:dyDescent="0.35">
      <c r="B20" s="71" t="str">
        <f t="shared" si="14"/>
        <v>Q1-28</v>
      </c>
      <c r="C20" s="171">
        <f t="shared" si="12"/>
        <v>46812</v>
      </c>
      <c r="D20" t="s">
        <v>42</v>
      </c>
      <c r="E20" s="108">
        <f>EOMONTH(E19,1)</f>
        <v>46812</v>
      </c>
      <c r="F20" s="213">
        <f>INDEX(Sheet1!$B$38:$N$49,MATCH("MEH",Sheet1!$B$38:$B$49,0),MATCH(EFPs!D20,Sheet1!$B$38:$N$38,0))</f>
        <v>1.5920000000000001</v>
      </c>
      <c r="G20" s="214"/>
      <c r="H20" s="214"/>
      <c r="I20" s="214">
        <f t="shared" si="5"/>
        <v>0</v>
      </c>
      <c r="J20" s="221">
        <f>_xlfn.XLOOKUP(EOMONTH(E20,0),BBG!$X$5:$X$28,BBG!$AB$5:$AB$28)</f>
        <v>-3.61</v>
      </c>
      <c r="K20" s="95"/>
      <c r="L20" s="114">
        <f t="shared" si="2"/>
        <v>46812</v>
      </c>
      <c r="M20" s="215">
        <f>IFERROR(VLOOKUP($C20,Freight!$A$3:$F$22,MATCH(EFPs!$M$30,Freight!$A$3:$F$3,0),FALSE)+$B$7,VLOOKUP($B20,Freight!$A$3:$F$22,MATCH(EFPs!$M$30,Freight!$A$3:$F$3,0),FALSE)+$B$7)</f>
        <v>4.6674297953355541</v>
      </c>
      <c r="N20" s="216"/>
      <c r="O20" s="209">
        <f t="shared" si="0"/>
        <v>1.0574297953355543</v>
      </c>
      <c r="P20" s="209">
        <f t="shared" si="6"/>
        <v>0</v>
      </c>
      <c r="Q20" s="215">
        <f>IFERROR(VLOOKUP($C20,Freight!$A$3:$F$22,MATCH(EFPs!$T$30,Freight!$A$3:$F$3,0),FALSE),VLOOKUP($B20,Freight!$A$3:$F$22,MATCH(EFPs!$T$30,Freight!$A$3:$F$3,0),FALSE))</f>
        <v>1.4626269214497249</v>
      </c>
      <c r="R20" s="209"/>
      <c r="S20" s="209">
        <f t="shared" si="3"/>
        <v>0</v>
      </c>
      <c r="T20" s="209">
        <f t="shared" si="4"/>
        <v>1.4626269214497249</v>
      </c>
      <c r="U20" s="237">
        <f t="shared" si="15"/>
        <v>0.40519712611417069</v>
      </c>
      <c r="V20" s="98"/>
      <c r="W20" s="114">
        <f t="shared" si="8"/>
        <v>46843</v>
      </c>
      <c r="X20" s="217">
        <f>IF(BBG!$D$5=BBG!$J$5,BBG!L20-BBG!L21,BBG!L19-BBG!L20)</f>
        <v>0.60000000000000853</v>
      </c>
      <c r="Y20" s="215">
        <f>IFERROR(VLOOKUP($C21,Freight!$A$3:$F$22,MATCH(EFPs!$M$30,Freight!$A$3:$F$3,0),FALSE)+$B$7,VLOOKUP($B21,Freight!$A$3:$F$22,MATCH(EFPs!$M$30,Freight!$A$3:$F$3,0),FALSE)+$B$7)</f>
        <v>4.6674297953355541</v>
      </c>
      <c r="Z20" s="216"/>
      <c r="AA20" s="210">
        <f t="shared" si="11"/>
        <v>1.6574297953355628</v>
      </c>
      <c r="AB20" s="210">
        <f t="shared" si="9"/>
        <v>1.4626269214497249</v>
      </c>
      <c r="AC20" s="237">
        <f t="shared" si="16"/>
        <v>-0.19480287388583784</v>
      </c>
    </row>
    <row r="21" spans="1:70" x14ac:dyDescent="0.35">
      <c r="B21" s="71" t="str">
        <f t="shared" si="14"/>
        <v>Q1-28</v>
      </c>
      <c r="C21" s="171">
        <f t="shared" si="12"/>
        <v>46843</v>
      </c>
      <c r="D21" t="s">
        <v>42</v>
      </c>
      <c r="E21" s="108">
        <f>EOMONTH(E20,1)</f>
        <v>46843</v>
      </c>
      <c r="F21" s="213">
        <f>INDEX(Sheet1!$B$38:$N$49,MATCH("MEH",Sheet1!$B$38:$B$49,0),MATCH(EFPs!D21,Sheet1!$B$38:$N$38,0))</f>
        <v>1.5920000000000001</v>
      </c>
      <c r="G21" s="214"/>
      <c r="H21" s="214"/>
      <c r="I21" s="214">
        <f t="shared" si="5"/>
        <v>0</v>
      </c>
      <c r="J21" s="221">
        <f>_xlfn.XLOOKUP(EOMONTH(E21,0),BBG!$X$5:$X$28,BBG!$AB$5:$AB$28)</f>
        <v>-3.44</v>
      </c>
      <c r="K21" s="95"/>
      <c r="L21" s="114">
        <f t="shared" si="2"/>
        <v>46843</v>
      </c>
      <c r="M21" s="215">
        <f>IFERROR(VLOOKUP($C21,Freight!$A$3:$F$22,MATCH(EFPs!$M$30,Freight!$A$3:$F$3,0),FALSE)+$B$7,VLOOKUP($B21,Freight!$A$3:$F$22,MATCH(EFPs!$M$30,Freight!$A$3:$F$3,0),FALSE)+$B$7)</f>
        <v>4.6674297953355541</v>
      </c>
      <c r="N21" s="216"/>
      <c r="O21" s="209">
        <f t="shared" si="0"/>
        <v>1.2274297953355542</v>
      </c>
      <c r="P21" s="209">
        <f t="shared" si="6"/>
        <v>0</v>
      </c>
      <c r="Q21" s="215">
        <f>IFERROR(VLOOKUP($C21,Freight!$A$3:$F$22,MATCH(EFPs!$T$30,Freight!$A$3:$F$3,0),FALSE),VLOOKUP($B21,Freight!$A$3:$F$22,MATCH(EFPs!$T$30,Freight!$A$3:$F$3,0),FALSE))</f>
        <v>1.4626269214497249</v>
      </c>
      <c r="R21" s="209"/>
      <c r="S21" s="209">
        <f t="shared" si="3"/>
        <v>0</v>
      </c>
      <c r="T21" s="209">
        <f t="shared" si="4"/>
        <v>1.4626269214497249</v>
      </c>
      <c r="U21" s="237">
        <f t="shared" si="15"/>
        <v>0.23519712611417076</v>
      </c>
      <c r="V21" s="98"/>
      <c r="W21" s="114">
        <f t="shared" si="8"/>
        <v>46873</v>
      </c>
      <c r="X21" s="217">
        <f>IF(BBG!$D$5=BBG!$J$5,BBG!L21-BBG!L22,BBG!L20-BBG!L21)</f>
        <v>0.53000000000000114</v>
      </c>
      <c r="Y21" s="215">
        <f>IFERROR(VLOOKUP($C22,Freight!$A$3:$F$22,MATCH(EFPs!$M$30,Freight!$A$3:$F$3,0),FALSE)+$B$7,VLOOKUP($B22,Freight!$A$3:$F$22,MATCH(EFPs!$M$30,Freight!$A$3:$F$3,0),FALSE)+$B$7)</f>
        <v>4.4630509281294612</v>
      </c>
      <c r="Z21" s="216"/>
      <c r="AA21" s="210">
        <f t="shared" si="11"/>
        <v>1.5530509281294624</v>
      </c>
      <c r="AB21" s="210">
        <f t="shared" si="9"/>
        <v>1.2853388097588492</v>
      </c>
      <c r="AC21" s="237">
        <f t="shared" si="16"/>
        <v>-0.26771211837061326</v>
      </c>
    </row>
    <row r="22" spans="1:70" x14ac:dyDescent="0.35">
      <c r="A22" s="71"/>
      <c r="B22" s="71" t="str">
        <f t="shared" si="14"/>
        <v>Q2-28</v>
      </c>
      <c r="C22" s="171">
        <f t="shared" si="12"/>
        <v>46873</v>
      </c>
      <c r="D22" t="s">
        <v>42</v>
      </c>
      <c r="E22" s="108">
        <f t="shared" ref="E22:E29" si="17">EOMONTH(E21,1)</f>
        <v>46873</v>
      </c>
      <c r="F22" s="213">
        <f>INDEX(Sheet1!$B$38:$N$49,MATCH("MEH",Sheet1!$B$38:$B$49,0),MATCH(EFPs!D22,Sheet1!$B$38:$N$38,0))</f>
        <v>1.5920000000000001</v>
      </c>
      <c r="G22" s="214"/>
      <c r="H22" s="214"/>
      <c r="I22" s="214">
        <f t="shared" si="5"/>
        <v>0</v>
      </c>
      <c r="J22" s="221">
        <f>_xlfn.XLOOKUP(EOMONTH(E22,0),BBG!$X$5:$X$28,BBG!$AB$5:$AB$28)</f>
        <v>-3.41</v>
      </c>
      <c r="K22" s="95"/>
      <c r="L22" s="114">
        <f t="shared" si="2"/>
        <v>46873</v>
      </c>
      <c r="M22" s="215">
        <f>IFERROR(VLOOKUP($C22,Freight!$A$3:$F$22,MATCH(EFPs!$M$30,Freight!$A$3:$F$3,0),FALSE)+$B$7,VLOOKUP($B22,Freight!$A$3:$F$22,MATCH(EFPs!$M$30,Freight!$A$3:$F$3,0),FALSE)+$B$7)</f>
        <v>4.4630509281294612</v>
      </c>
      <c r="N22" s="216"/>
      <c r="O22" s="209">
        <f t="shared" si="0"/>
        <v>1.0530509281294611</v>
      </c>
      <c r="P22" s="209">
        <f t="shared" si="6"/>
        <v>0</v>
      </c>
      <c r="Q22" s="215">
        <f>IFERROR(VLOOKUP($C22,Freight!$A$3:$F$22,MATCH(EFPs!$T$30,Freight!$A$3:$F$3,0),FALSE),VLOOKUP($B22,Freight!$A$3:$F$22,MATCH(EFPs!$T$30,Freight!$A$3:$F$3,0),FALSE))</f>
        <v>1.2853388097588492</v>
      </c>
      <c r="R22" s="209"/>
      <c r="S22" s="209">
        <f t="shared" si="3"/>
        <v>0</v>
      </c>
      <c r="T22" s="209">
        <f t="shared" si="4"/>
        <v>1.2853388097588492</v>
      </c>
      <c r="U22" s="237">
        <f t="shared" si="15"/>
        <v>0.23228788162938807</v>
      </c>
      <c r="V22" s="98"/>
      <c r="W22" s="114">
        <f t="shared" si="8"/>
        <v>46904</v>
      </c>
      <c r="X22" s="217">
        <f>IF(BBG!$D$5=BBG!$J$5,BBG!L22-BBG!L23,BBG!L21-BBG!L22)</f>
        <v>0.46999999999999886</v>
      </c>
      <c r="Y22" s="215">
        <f>IFERROR(VLOOKUP($C23,Freight!$A$3:$F$22,MATCH(EFPs!$M$30,Freight!$A$3:$F$3,0),FALSE)+$B$7,VLOOKUP($B23,Freight!$A$3:$F$22,MATCH(EFPs!$M$30,Freight!$A$3:$F$3,0),FALSE)+$B$7)</f>
        <v>4.4630509281294612</v>
      </c>
      <c r="Z22" s="216"/>
      <c r="AA22" s="210">
        <f t="shared" si="11"/>
        <v>1.52305092812946</v>
      </c>
      <c r="AB22" s="210">
        <f t="shared" si="9"/>
        <v>1.2853388097588492</v>
      </c>
      <c r="AC22" s="237">
        <f t="shared" si="16"/>
        <v>-0.23771211837061079</v>
      </c>
    </row>
    <row r="23" spans="1:70" x14ac:dyDescent="0.35">
      <c r="B23" s="71" t="str">
        <f t="shared" si="14"/>
        <v>Q2-28</v>
      </c>
      <c r="C23" s="171">
        <f t="shared" si="12"/>
        <v>46904</v>
      </c>
      <c r="D23" t="s">
        <v>42</v>
      </c>
      <c r="E23" s="108">
        <f t="shared" si="17"/>
        <v>46904</v>
      </c>
      <c r="F23" s="213">
        <f>INDEX(Sheet1!$B$38:$N$49,MATCH("MEH",Sheet1!$B$38:$B$49,0),MATCH(EFPs!D23,Sheet1!$B$38:$N$38,0))</f>
        <v>1.5920000000000001</v>
      </c>
      <c r="G23" s="214"/>
      <c r="H23" s="214"/>
      <c r="I23" s="214">
        <f t="shared" si="5"/>
        <v>0</v>
      </c>
      <c r="J23" s="221">
        <f>_xlfn.XLOOKUP(EOMONTH(E23,0),BBG!$X$5:$X$28,BBG!$AB$5:$AB$28)</f>
        <v>-3.42</v>
      </c>
      <c r="K23" s="95"/>
      <c r="L23" s="114">
        <f t="shared" si="2"/>
        <v>46904</v>
      </c>
      <c r="M23" s="215">
        <f>IFERROR(VLOOKUP($C23,Freight!$A$3:$F$22,MATCH(EFPs!$M$30,Freight!$A$3:$F$3,0),FALSE)+$B$7,VLOOKUP($B23,Freight!$A$3:$F$22,MATCH(EFPs!$M$30,Freight!$A$3:$F$3,0),FALSE)+$B$7)</f>
        <v>4.4630509281294612</v>
      </c>
      <c r="N23" s="216"/>
      <c r="O23" s="209">
        <f t="shared" si="0"/>
        <v>1.0430509281294613</v>
      </c>
      <c r="P23" s="209">
        <f t="shared" si="6"/>
        <v>0</v>
      </c>
      <c r="Q23" s="215">
        <f>IFERROR(VLOOKUP($C23,Freight!$A$3:$F$22,MATCH(EFPs!$T$30,Freight!$A$3:$F$3,0),FALSE),VLOOKUP($B23,Freight!$A$3:$F$22,MATCH(EFPs!$T$30,Freight!$A$3:$F$3,0),FALSE))</f>
        <v>1.2853388097588492</v>
      </c>
      <c r="R23" s="209"/>
      <c r="S23" s="209">
        <f t="shared" si="3"/>
        <v>0</v>
      </c>
      <c r="T23" s="209">
        <f t="shared" si="4"/>
        <v>1.2853388097588492</v>
      </c>
      <c r="U23" s="237">
        <f t="shared" si="15"/>
        <v>0.24228788162938786</v>
      </c>
      <c r="V23" s="98"/>
      <c r="W23" s="114">
        <f t="shared" si="8"/>
        <v>46934</v>
      </c>
      <c r="X23" s="217">
        <f>IF(BBG!$D$5=BBG!$J$5,BBG!L23-BBG!L24,BBG!L22-BBG!L23)</f>
        <v>0.43999999999999773</v>
      </c>
      <c r="Y23" s="215">
        <f>IFERROR(VLOOKUP($C24,Freight!$A$3:$F$22,MATCH(EFPs!$M$30,Freight!$A$3:$F$3,0),FALSE)+$B$7,VLOOKUP($B24,Freight!$A$3:$F$22,MATCH(EFPs!$M$30,Freight!$A$3:$F$3,0),FALSE)+$B$7)</f>
        <v>4.4630509281294612</v>
      </c>
      <c r="Z23" s="216"/>
      <c r="AA23" s="210">
        <f t="shared" si="11"/>
        <v>1.483050928129459</v>
      </c>
      <c r="AB23" s="210">
        <f t="shared" si="9"/>
        <v>1.2853388097588492</v>
      </c>
      <c r="AC23" s="237">
        <f t="shared" si="16"/>
        <v>-0.19771211837060987</v>
      </c>
    </row>
    <row r="24" spans="1:70" x14ac:dyDescent="0.35">
      <c r="B24" s="71" t="str">
        <f t="shared" si="14"/>
        <v>Q2-28</v>
      </c>
      <c r="C24" s="171">
        <f t="shared" si="12"/>
        <v>46934</v>
      </c>
      <c r="D24" t="s">
        <v>42</v>
      </c>
      <c r="E24" s="108">
        <f t="shared" si="17"/>
        <v>46934</v>
      </c>
      <c r="F24" s="213">
        <f>INDEX(Sheet1!$B$38:$N$49,MATCH("MEH",Sheet1!$B$38:$B$49,0),MATCH(EFPs!D24,Sheet1!$B$38:$N$38,0))</f>
        <v>1.5920000000000001</v>
      </c>
      <c r="G24" s="214"/>
      <c r="H24" s="214"/>
      <c r="I24" s="214">
        <f t="shared" si="5"/>
        <v>0</v>
      </c>
      <c r="J24" s="221">
        <f>_xlfn.XLOOKUP(EOMONTH(E24,0),BBG!$X$5:$X$28,BBG!$AB$5:$AB$28)</f>
        <v>-3.4</v>
      </c>
      <c r="K24" s="95"/>
      <c r="L24" s="114">
        <f t="shared" si="2"/>
        <v>46934</v>
      </c>
      <c r="M24" s="215">
        <f>IFERROR(VLOOKUP($C24,Freight!$A$3:$F$22,MATCH(EFPs!$M$30,Freight!$A$3:$F$3,0),FALSE)+$B$7,VLOOKUP($B24,Freight!$A$3:$F$22,MATCH(EFPs!$M$30,Freight!$A$3:$F$3,0),FALSE)+$B$7)</f>
        <v>4.4630509281294612</v>
      </c>
      <c r="N24" s="216"/>
      <c r="O24" s="209">
        <f t="shared" si="0"/>
        <v>1.0630509281294613</v>
      </c>
      <c r="P24" s="209">
        <f t="shared" si="6"/>
        <v>0</v>
      </c>
      <c r="Q24" s="215">
        <f>IFERROR(VLOOKUP($C24,Freight!$A$3:$F$22,MATCH(EFPs!$T$30,Freight!$A$3:$F$3,0),FALSE),VLOOKUP($B24,Freight!$A$3:$F$22,MATCH(EFPs!$T$30,Freight!$A$3:$F$3,0),FALSE))</f>
        <v>1.2853388097588492</v>
      </c>
      <c r="R24" s="209"/>
      <c r="S24" s="209">
        <f t="shared" si="3"/>
        <v>0</v>
      </c>
      <c r="T24" s="209">
        <f t="shared" si="4"/>
        <v>1.2853388097588492</v>
      </c>
      <c r="U24" s="237">
        <f t="shared" si="15"/>
        <v>0.22228788162938784</v>
      </c>
      <c r="V24" s="98"/>
      <c r="W24" s="114">
        <f t="shared" si="8"/>
        <v>46965</v>
      </c>
      <c r="X24" s="217">
        <f>IF(BBG!$D$5=BBG!$J$5,BBG!L24-BBG!L25,BBG!L23-BBG!L24)</f>
        <v>0.43999999999999773</v>
      </c>
      <c r="Y24" s="215" t="e">
        <f>IFERROR(VLOOKUP($C25,Freight!$A$3:$F$22,MATCH(EFPs!$M$30,Freight!$A$3:$F$3,0),FALSE)+$B$7,VLOOKUP($B25,Freight!$A$3:$F$22,MATCH(EFPs!$M$30,Freight!$A$3:$F$3,0),FALSE)+$B$7)</f>
        <v>#N/A</v>
      </c>
      <c r="Z24" s="216"/>
      <c r="AA24" s="210" t="e">
        <f t="shared" si="11"/>
        <v>#N/A</v>
      </c>
      <c r="AB24" s="210" t="str">
        <f t="shared" si="9"/>
        <v>Expired</v>
      </c>
      <c r="AC24" s="237" t="e">
        <f t="shared" si="16"/>
        <v>#VALUE!</v>
      </c>
      <c r="BN24" s="71"/>
      <c r="BO24" s="71"/>
      <c r="BP24" s="71"/>
      <c r="BQ24" s="71"/>
      <c r="BR24" s="71"/>
    </row>
    <row r="25" spans="1:70" s="92" customFormat="1" x14ac:dyDescent="0.35">
      <c r="B25" s="71" t="s">
        <v>195</v>
      </c>
      <c r="C25" s="171">
        <f t="shared" si="12"/>
        <v>46965</v>
      </c>
      <c r="D25" t="s">
        <v>42</v>
      </c>
      <c r="E25" s="108">
        <f t="shared" si="17"/>
        <v>46965</v>
      </c>
      <c r="F25" s="213">
        <f>INDEX(Sheet1!$B$38:$N$49,MATCH("MEH",Sheet1!$B$38:$B$49,0),MATCH(EFPs!D25,Sheet1!$B$38:$N$38,0))</f>
        <v>1.5920000000000001</v>
      </c>
      <c r="G25" s="214"/>
      <c r="H25" s="214"/>
      <c r="I25" s="214">
        <f t="shared" si="5"/>
        <v>0</v>
      </c>
      <c r="J25" s="221">
        <f>_xlfn.XLOOKUP(EOMONTH(E25,0),BBG!$X$5:$X$28,BBG!$AB$5:$AB$28)</f>
        <v>-3.38</v>
      </c>
      <c r="K25" s="95"/>
      <c r="L25" s="114">
        <f t="shared" si="2"/>
        <v>46965</v>
      </c>
      <c r="M25" s="215" t="e">
        <f>IFERROR(VLOOKUP($C25,Freight!$A$3:$F$22,MATCH(EFPs!$M$30,Freight!$A$3:$F$3,0),FALSE)+$B$7,VLOOKUP($B25,Freight!$A$3:$F$22,MATCH(EFPs!$M$30,Freight!$A$3:$F$3,0),FALSE)+$B$7)</f>
        <v>#N/A</v>
      </c>
      <c r="N25" s="216"/>
      <c r="O25" s="209" t="e">
        <f t="shared" si="0"/>
        <v>#N/A</v>
      </c>
      <c r="P25" s="209">
        <f t="shared" si="6"/>
        <v>0</v>
      </c>
      <c r="Q25" s="215" t="e">
        <f>IFERROR(VLOOKUP($C25,Freight!$A$3:$F$22,MATCH(EFPs!$T$30,Freight!$A$3:$F$3,0),FALSE),VLOOKUP($B25,Freight!$A$3:$F$22,MATCH(EFPs!$T$30,Freight!$A$3:$F$3,0),FALSE))</f>
        <v>#N/A</v>
      </c>
      <c r="R25" s="209"/>
      <c r="S25" s="209">
        <f t="shared" si="3"/>
        <v>0</v>
      </c>
      <c r="T25" s="209" t="str">
        <f t="shared" si="4"/>
        <v>Expired</v>
      </c>
      <c r="U25" s="237" t="e">
        <f t="shared" si="15"/>
        <v>#VALUE!</v>
      </c>
      <c r="V25" s="98"/>
      <c r="W25" s="114">
        <f t="shared" si="8"/>
        <v>46996</v>
      </c>
      <c r="X25" s="217">
        <f>IF(BBG!$D$5=BBG!$J$5,BBG!L25-BBG!L26,BBG!L24-BBG!L25)</f>
        <v>0.45000000000000284</v>
      </c>
      <c r="Y25" s="215" t="e">
        <f>IFERROR(VLOOKUP($C26,Freight!$A$3:$F$22,MATCH(EFPs!$M$30,Freight!$A$3:$F$3,0),FALSE)+$B$7,VLOOKUP($B26,Freight!$A$3:$F$22,MATCH(EFPs!$M$30,Freight!$A$3:$F$3,0),FALSE)+$B$7)</f>
        <v>#N/A</v>
      </c>
      <c r="Z25" s="216"/>
      <c r="AA25" s="210" t="e">
        <f t="shared" si="11"/>
        <v>#N/A</v>
      </c>
      <c r="AB25" s="210" t="str">
        <f t="shared" si="9"/>
        <v>Expired</v>
      </c>
      <c r="AC25" s="237" t="e">
        <f t="shared" si="16"/>
        <v>#VALUE!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70" x14ac:dyDescent="0.35">
      <c r="B26" s="71" t="s">
        <v>195</v>
      </c>
      <c r="C26" s="171">
        <f t="shared" si="12"/>
        <v>46996</v>
      </c>
      <c r="D26" t="s">
        <v>44</v>
      </c>
      <c r="E26" s="108">
        <f t="shared" si="17"/>
        <v>46996</v>
      </c>
      <c r="F26" s="213">
        <f>INDEX(Sheet1!$B$38:$N$49,MATCH("MEH",Sheet1!$B$38:$B$49,0),MATCH(EFPs!D26,Sheet1!$B$38:$N$38,0))</f>
        <v>1.7330000000000001</v>
      </c>
      <c r="G26" s="214"/>
      <c r="H26" s="214"/>
      <c r="I26" s="214">
        <f t="shared" si="5"/>
        <v>0</v>
      </c>
      <c r="J26" s="221">
        <f>_xlfn.XLOOKUP(EOMONTH(E26,0),BBG!$X$5:$X$28,BBG!$AB$5:$AB$28)</f>
        <v>-3.31</v>
      </c>
      <c r="K26" s="95"/>
      <c r="L26" s="114">
        <f t="shared" si="2"/>
        <v>46996</v>
      </c>
      <c r="M26" s="215" t="e">
        <f>IFERROR(VLOOKUP($C26,Freight!$A$3:$F$22,MATCH(EFPs!$M$30,Freight!$A$3:$F$3,0),FALSE)+$B$7,VLOOKUP($B26,Freight!$A$3:$F$22,MATCH(EFPs!$M$30,Freight!$A$3:$F$3,0),FALSE)+$B$7)</f>
        <v>#N/A</v>
      </c>
      <c r="N26" s="216"/>
      <c r="O26" s="209" t="e">
        <f t="shared" si="0"/>
        <v>#N/A</v>
      </c>
      <c r="P26" s="209">
        <f t="shared" si="6"/>
        <v>0</v>
      </c>
      <c r="Q26" s="215" t="e">
        <f>IFERROR(VLOOKUP($C26,Freight!$A$3:$F$22,MATCH(EFPs!$T$30,Freight!$A$3:$F$3,0),FALSE),VLOOKUP($B26,Freight!$A$3:$F$22,MATCH(EFPs!$T$30,Freight!$A$3:$F$3,0),FALSE))</f>
        <v>#N/A</v>
      </c>
      <c r="R26" s="209"/>
      <c r="S26" s="209">
        <f t="shared" si="3"/>
        <v>0</v>
      </c>
      <c r="T26" s="209" t="str">
        <f t="shared" si="4"/>
        <v>Expired</v>
      </c>
      <c r="U26" s="237" t="e">
        <f t="shared" si="15"/>
        <v>#VALUE!</v>
      </c>
      <c r="V26" s="98"/>
      <c r="W26" s="114">
        <f t="shared" si="8"/>
        <v>47026</v>
      </c>
      <c r="X26" s="217">
        <f>IF(BBG!$D$5=BBG!$J$5,BBG!L26-BBG!L27,BBG!L25-BBG!L26)</f>
        <v>0.42999999999999261</v>
      </c>
      <c r="Y26" s="215" t="e">
        <f>IFERROR(VLOOKUP($C27,Freight!$A$3:$F$22,MATCH(EFPs!$M$30,Freight!$A$3:$F$3,0),FALSE)+$B$7,VLOOKUP($B27,Freight!$A$3:$F$22,MATCH(EFPs!$M$30,Freight!$A$3:$F$3,0),FALSE)+$B$7)</f>
        <v>#N/A</v>
      </c>
      <c r="Z26" s="216"/>
      <c r="AA26" s="210" t="e">
        <f t="shared" si="11"/>
        <v>#N/A</v>
      </c>
      <c r="AB26" s="210" t="str">
        <f t="shared" si="9"/>
        <v>Expired</v>
      </c>
      <c r="AC26" s="237" t="e">
        <f t="shared" si="16"/>
        <v>#VALUE!</v>
      </c>
    </row>
    <row r="27" spans="1:70" x14ac:dyDescent="0.35">
      <c r="B27" s="71" t="s">
        <v>195</v>
      </c>
      <c r="C27" s="171">
        <f t="shared" si="12"/>
        <v>47026</v>
      </c>
      <c r="D27" t="s">
        <v>44</v>
      </c>
      <c r="E27" s="108">
        <f t="shared" si="17"/>
        <v>47026</v>
      </c>
      <c r="F27" s="213">
        <f>INDEX(Sheet1!$B$38:$N$49,MATCH("MEH",Sheet1!$B$38:$B$49,0),MATCH(EFPs!D27,Sheet1!$B$38:$N$38,0))</f>
        <v>1.7330000000000001</v>
      </c>
      <c r="G27" s="214"/>
      <c r="H27" s="214"/>
      <c r="I27" s="214">
        <f t="shared" si="5"/>
        <v>0</v>
      </c>
      <c r="J27" s="221">
        <f>_xlfn.XLOOKUP(EOMONTH(E27,0),BBG!$X$5:$X$28,BBG!$AB$5:$AB$28)</f>
        <v>-3.23</v>
      </c>
      <c r="K27" s="95"/>
      <c r="L27" s="114">
        <f t="shared" si="2"/>
        <v>47026</v>
      </c>
      <c r="M27" s="215" t="e">
        <f>IFERROR(VLOOKUP($C27,Freight!$A$3:$F$22,MATCH(EFPs!$M$30,Freight!$A$3:$F$3,0),FALSE)+$B$7,VLOOKUP($B27,Freight!$A$3:$F$22,MATCH(EFPs!$M$30,Freight!$A$3:$F$3,0),FALSE)+$B$7)</f>
        <v>#N/A</v>
      </c>
      <c r="N27" s="216"/>
      <c r="O27" s="209" t="e">
        <f t="shared" si="0"/>
        <v>#N/A</v>
      </c>
      <c r="P27" s="209">
        <f t="shared" si="6"/>
        <v>0</v>
      </c>
      <c r="Q27" s="215" t="e">
        <f>IFERROR(VLOOKUP($C27,Freight!$A$3:$F$22,MATCH(EFPs!$T$30,Freight!$A$3:$F$3,0),FALSE),VLOOKUP($B27,Freight!$A$3:$F$22,MATCH(EFPs!$T$30,Freight!$A$3:$F$3,0),FALSE))</f>
        <v>#N/A</v>
      </c>
      <c r="R27" s="209"/>
      <c r="S27" s="209">
        <f t="shared" si="3"/>
        <v>0</v>
      </c>
      <c r="T27" s="209" t="str">
        <f t="shared" si="4"/>
        <v>Expired</v>
      </c>
      <c r="U27" s="237" t="e">
        <f t="shared" si="15"/>
        <v>#VALUE!</v>
      </c>
      <c r="V27" s="98"/>
      <c r="W27" s="114">
        <f t="shared" si="8"/>
        <v>47057</v>
      </c>
      <c r="X27" s="217">
        <f>IF(BBG!$D$5=BBG!$J$5,BBG!L27-BBG!L28,BBG!L26-BBG!L27)</f>
        <v>0.43000000000000682</v>
      </c>
      <c r="Y27" s="215" t="e">
        <f>IFERROR(VLOOKUP($C28,Freight!$A$3:$F$22,MATCH(EFPs!$M$30,Freight!$A$3:$F$3,0),FALSE)+$B$7,VLOOKUP($B28,Freight!$A$3:$F$22,MATCH(EFPs!$M$30,Freight!$A$3:$F$3,0),FALSE)+$B$7)</f>
        <v>#N/A</v>
      </c>
      <c r="Z27" s="216"/>
      <c r="AA27" s="210" t="e">
        <f t="shared" si="11"/>
        <v>#N/A</v>
      </c>
      <c r="AB27" s="210" t="str">
        <f t="shared" si="9"/>
        <v>Expired</v>
      </c>
      <c r="AC27" s="237" t="e">
        <f t="shared" si="16"/>
        <v>#VALUE!</v>
      </c>
    </row>
    <row r="28" spans="1:70" x14ac:dyDescent="0.35">
      <c r="B28" s="71" t="s">
        <v>195</v>
      </c>
      <c r="C28" s="171">
        <f t="shared" si="12"/>
        <v>47057</v>
      </c>
      <c r="D28" t="s">
        <v>44</v>
      </c>
      <c r="E28" s="108">
        <f t="shared" si="17"/>
        <v>47057</v>
      </c>
      <c r="F28" s="213">
        <f>INDEX(Sheet1!$B$38:$N$49,MATCH("MEH",Sheet1!$B$38:$B$49,0),MATCH(EFPs!D28,Sheet1!$B$38:$N$38,0))</f>
        <v>1.7330000000000001</v>
      </c>
      <c r="G28" s="214"/>
      <c r="H28" s="214"/>
      <c r="I28" s="214">
        <f t="shared" si="5"/>
        <v>0</v>
      </c>
      <c r="J28" s="221">
        <f>_xlfn.XLOOKUP(EOMONTH(E28,0),BBG!$X$5:$X$28,BBG!$AB$5:$AB$28)</f>
        <v>-3.13</v>
      </c>
      <c r="K28" s="95"/>
      <c r="L28" s="114">
        <f t="shared" si="2"/>
        <v>47057</v>
      </c>
      <c r="M28" s="215" t="e">
        <f>IFERROR(VLOOKUP($C28,Freight!$A$3:$F$22,MATCH(EFPs!$M$30,Freight!$A$3:$F$3,0),FALSE)+$B$7,VLOOKUP($B28,Freight!$A$3:$F$22,MATCH(EFPs!$M$30,Freight!$A$3:$F$3,0),FALSE)+$B$7)</f>
        <v>#N/A</v>
      </c>
      <c r="N28" s="216"/>
      <c r="O28" s="209" t="e">
        <f t="shared" si="0"/>
        <v>#N/A</v>
      </c>
      <c r="P28" s="209">
        <f t="shared" si="6"/>
        <v>0</v>
      </c>
      <c r="Q28" s="215" t="e">
        <f>IFERROR(VLOOKUP($C28,Freight!$A$3:$F$22,MATCH(EFPs!$T$30,Freight!$A$3:$F$3,0),FALSE),VLOOKUP($B28,Freight!$A$3:$F$22,MATCH(EFPs!$T$30,Freight!$A$3:$F$3,0),FALSE))</f>
        <v>#N/A</v>
      </c>
      <c r="R28" s="209"/>
      <c r="S28" s="209">
        <f t="shared" si="3"/>
        <v>0</v>
      </c>
      <c r="T28" s="209" t="str">
        <f t="shared" si="4"/>
        <v>Expired</v>
      </c>
      <c r="U28" s="237" t="e">
        <f t="shared" si="15"/>
        <v>#VALUE!</v>
      </c>
      <c r="V28" s="98"/>
      <c r="W28" s="114">
        <f t="shared" si="8"/>
        <v>47087</v>
      </c>
      <c r="X28" s="217">
        <f>IF(BBG!$D$5=BBG!$J$5,BBG!L28-BBG!L29,BBG!L27-BBG!L28)</f>
        <v>0.40000000000000568</v>
      </c>
      <c r="Y28" s="215" t="e">
        <f>IFERROR(VLOOKUP($C29,Freight!$A$3:$F$22,MATCH(EFPs!$M$30,Freight!$A$3:$F$3,0),FALSE)+$B$7,VLOOKUP($B29,Freight!$A$3:$F$22,MATCH(EFPs!$M$30,Freight!$A$3:$F$3,0),FALSE)+$B$7)</f>
        <v>#N/A</v>
      </c>
      <c r="Z28" s="216"/>
      <c r="AA28" s="210" t="e">
        <f t="shared" si="11"/>
        <v>#N/A</v>
      </c>
      <c r="AB28" s="210" t="str">
        <f t="shared" si="9"/>
        <v>Expired</v>
      </c>
      <c r="AC28" s="237" t="e">
        <f t="shared" si="16"/>
        <v>#VALUE!</v>
      </c>
    </row>
    <row r="29" spans="1:70" x14ac:dyDescent="0.35">
      <c r="B29" s="71" t="s">
        <v>195</v>
      </c>
      <c r="C29" s="171">
        <f t="shared" si="12"/>
        <v>47087</v>
      </c>
      <c r="D29" t="s">
        <v>44</v>
      </c>
      <c r="E29" s="108">
        <f t="shared" si="17"/>
        <v>47087</v>
      </c>
      <c r="F29" s="213">
        <f>INDEX(Sheet1!$B$38:$N$49,MATCH("MEH",Sheet1!$B$38:$B$49,0),MATCH(EFPs!D29,Sheet1!$B$38:$N$38,0))</f>
        <v>1.7330000000000001</v>
      </c>
      <c r="G29" s="214"/>
      <c r="H29" s="214"/>
      <c r="I29" s="214">
        <f t="shared" si="5"/>
        <v>0</v>
      </c>
      <c r="J29" s="221" t="str">
        <f>_xlfn.XLOOKUP(EOMONTH(E29,0),BBG!$X$5:$X$28,BBG!$AB$5:$AB$28)</f>
        <v>#N/A Invalid Security</v>
      </c>
      <c r="K29" s="95"/>
      <c r="L29" s="114">
        <f t="shared" si="2"/>
        <v>47087</v>
      </c>
      <c r="M29" s="215" t="e">
        <f>IFERROR(VLOOKUP($C29,Freight!$A$3:$F$22,MATCH(EFPs!$M$30,Freight!$A$3:$F$3,0),FALSE)+$B$7,VLOOKUP($B29,Freight!$A$3:$F$22,MATCH(EFPs!$M$30,Freight!$A$3:$F$3,0),FALSE)+$B$7)</f>
        <v>#N/A</v>
      </c>
      <c r="N29" s="216"/>
      <c r="O29" s="209" t="e">
        <f t="shared" si="0"/>
        <v>#VALUE!</v>
      </c>
      <c r="P29" s="209">
        <f t="shared" si="6"/>
        <v>0</v>
      </c>
      <c r="Q29" s="215" t="e">
        <f>IFERROR(VLOOKUP($C29,Freight!$A$3:$F$22,MATCH(EFPs!$T$30,Freight!$A$3:$F$3,0),FALSE),VLOOKUP($B29,Freight!$A$3:$F$22,MATCH(EFPs!$T$30,Freight!$A$3:$F$3,0),FALSE))</f>
        <v>#N/A</v>
      </c>
      <c r="R29" s="209"/>
      <c r="S29" s="209">
        <f t="shared" si="3"/>
        <v>0</v>
      </c>
      <c r="T29" s="209" t="str">
        <f t="shared" si="4"/>
        <v>Expired</v>
      </c>
      <c r="U29" s="237" t="e">
        <f t="shared" si="15"/>
        <v>#VALUE!</v>
      </c>
      <c r="V29" s="98"/>
      <c r="W29" s="114">
        <f t="shared" si="8"/>
        <v>47118</v>
      </c>
      <c r="X29" s="217">
        <f>IF(BBG!$D$5=BBG!$J$5,BBG!L29-BBG!L30,BBG!L28-BBG!L29)</f>
        <v>0.3399999999999892</v>
      </c>
      <c r="Y29" s="215" t="e">
        <f>IFERROR(VLOOKUP(#REF!,Freight!$A$3:$F$22,MATCH(EFPs!$M$30,Freight!$A$3:$F$3,0),FALSE)+$B$7,VLOOKUP(#REF!,Freight!$A$3:$F$22,MATCH(EFPs!$M$30,Freight!$A$3:$F$3,0),FALSE)+$B$7)</f>
        <v>#REF!</v>
      </c>
      <c r="Z29" s="216"/>
      <c r="AA29" s="210" t="e">
        <f t="shared" si="11"/>
        <v>#VALUE!</v>
      </c>
      <c r="AB29" s="210" t="e">
        <f>#REF!</f>
        <v>#REF!</v>
      </c>
      <c r="AC29" s="237" t="e">
        <f t="shared" si="16"/>
        <v>#REF!</v>
      </c>
    </row>
    <row r="30" spans="1:70" x14ac:dyDescent="0.35">
      <c r="M30" t="s">
        <v>197</v>
      </c>
      <c r="T30" s="209" t="s">
        <v>198</v>
      </c>
      <c r="AB30" s="210" t="str">
        <f>T30</f>
        <v>TD9</v>
      </c>
    </row>
    <row r="31" spans="1:70" x14ac:dyDescent="0.35">
      <c r="AB31" s="210"/>
    </row>
    <row r="32" spans="1:70" x14ac:dyDescent="0.35">
      <c r="AB32" s="210"/>
    </row>
    <row r="34" spans="1:1" x14ac:dyDescent="0.35">
      <c r="A34" t="s">
        <v>194</v>
      </c>
    </row>
    <row r="35" spans="1:1" x14ac:dyDescent="0.35">
      <c r="A35" t="s">
        <v>201</v>
      </c>
    </row>
    <row r="65" spans="5:29" x14ac:dyDescent="0.35">
      <c r="AA65" s="71"/>
    </row>
    <row r="67" spans="5:29" x14ac:dyDescent="0.35">
      <c r="L67" s="71"/>
    </row>
    <row r="71" spans="5:29" x14ac:dyDescent="0.35">
      <c r="E71" s="86">
        <f t="shared" ref="E71:E96" si="18">E4</f>
        <v>46326</v>
      </c>
      <c r="F71">
        <f>MONTH(E71)</f>
        <v>10</v>
      </c>
      <c r="G71" s="251">
        <f t="shared" ref="G71:G107" si="19">VLOOKUP(MONTH(E71),$O$94:$P$105,2,FALSE)</f>
        <v>4</v>
      </c>
      <c r="H71" t="str">
        <f>RIGHT(YEAR(E71),2)</f>
        <v>26</v>
      </c>
      <c r="I71" t="str">
        <f t="shared" ref="I71:I107" si="20">"Q"&amp;G71&amp;"-"&amp;H71</f>
        <v>Q4-26</v>
      </c>
      <c r="J71" s="176"/>
      <c r="AA71" s="71"/>
      <c r="AB71" s="71"/>
      <c r="AC71" s="71"/>
    </row>
    <row r="72" spans="5:29" x14ac:dyDescent="0.35">
      <c r="E72" s="86">
        <f t="shared" si="18"/>
        <v>46356</v>
      </c>
      <c r="F72">
        <f t="shared" ref="F72:F107" si="21">MONTH(E72)</f>
        <v>11</v>
      </c>
      <c r="G72" s="251">
        <f t="shared" si="19"/>
        <v>4</v>
      </c>
      <c r="H72" t="str">
        <f t="shared" ref="H72:H107" si="22">RIGHT(YEAR(E72),2)</f>
        <v>26</v>
      </c>
      <c r="I72" t="str">
        <f t="shared" si="20"/>
        <v>Q4-26</v>
      </c>
      <c r="AA72" s="84"/>
      <c r="AB72" s="84"/>
      <c r="AC72" s="84"/>
    </row>
    <row r="73" spans="5:29" x14ac:dyDescent="0.35">
      <c r="E73" s="86">
        <f t="shared" si="18"/>
        <v>46387</v>
      </c>
      <c r="F73">
        <f t="shared" si="21"/>
        <v>12</v>
      </c>
      <c r="G73" s="251">
        <f t="shared" si="19"/>
        <v>4</v>
      </c>
      <c r="H73" t="str">
        <f t="shared" si="22"/>
        <v>26</v>
      </c>
      <c r="I73" t="str">
        <f t="shared" si="20"/>
        <v>Q4-26</v>
      </c>
    </row>
    <row r="74" spans="5:29" x14ac:dyDescent="0.35">
      <c r="E74" s="86">
        <f t="shared" si="18"/>
        <v>46418</v>
      </c>
      <c r="F74">
        <f t="shared" si="21"/>
        <v>1</v>
      </c>
      <c r="G74" s="251">
        <f t="shared" si="19"/>
        <v>1</v>
      </c>
      <c r="H74" t="str">
        <f t="shared" si="22"/>
        <v>27</v>
      </c>
      <c r="I74" t="str">
        <f t="shared" si="20"/>
        <v>Q1-27</v>
      </c>
    </row>
    <row r="75" spans="5:29" x14ac:dyDescent="0.35">
      <c r="E75" s="86">
        <f t="shared" si="18"/>
        <v>46446</v>
      </c>
      <c r="F75">
        <f t="shared" si="21"/>
        <v>2</v>
      </c>
      <c r="G75" s="251">
        <f t="shared" si="19"/>
        <v>1</v>
      </c>
      <c r="H75" t="str">
        <f t="shared" si="22"/>
        <v>27</v>
      </c>
      <c r="I75" t="str">
        <f t="shared" si="20"/>
        <v>Q1-27</v>
      </c>
      <c r="AA75" s="71"/>
      <c r="AB75" s="71"/>
      <c r="AC75" s="71"/>
    </row>
    <row r="76" spans="5:29" x14ac:dyDescent="0.35">
      <c r="E76" s="86">
        <f t="shared" si="18"/>
        <v>46477</v>
      </c>
      <c r="F76">
        <f t="shared" si="21"/>
        <v>3</v>
      </c>
      <c r="G76" s="251">
        <f t="shared" si="19"/>
        <v>1</v>
      </c>
      <c r="H76" t="str">
        <f t="shared" si="22"/>
        <v>27</v>
      </c>
      <c r="I76" t="str">
        <f t="shared" si="20"/>
        <v>Q1-27</v>
      </c>
    </row>
    <row r="77" spans="5:29" x14ac:dyDescent="0.35">
      <c r="E77" s="86">
        <f t="shared" si="18"/>
        <v>46507</v>
      </c>
      <c r="F77">
        <f t="shared" si="21"/>
        <v>4</v>
      </c>
      <c r="G77" s="251">
        <f t="shared" si="19"/>
        <v>2</v>
      </c>
      <c r="H77" t="str">
        <f t="shared" si="22"/>
        <v>27</v>
      </c>
      <c r="I77" t="str">
        <f t="shared" si="20"/>
        <v>Q2-27</v>
      </c>
    </row>
    <row r="78" spans="5:29" x14ac:dyDescent="0.35">
      <c r="E78" s="86">
        <f t="shared" si="18"/>
        <v>46538</v>
      </c>
      <c r="F78">
        <f t="shared" si="21"/>
        <v>5</v>
      </c>
      <c r="G78" s="251">
        <f t="shared" si="19"/>
        <v>2</v>
      </c>
      <c r="H78" t="str">
        <f t="shared" si="22"/>
        <v>27</v>
      </c>
      <c r="I78" t="str">
        <f t="shared" si="20"/>
        <v>Q2-27</v>
      </c>
    </row>
    <row r="79" spans="5:29" x14ac:dyDescent="0.35">
      <c r="E79" s="86">
        <f t="shared" si="18"/>
        <v>46568</v>
      </c>
      <c r="F79">
        <f t="shared" si="21"/>
        <v>6</v>
      </c>
      <c r="G79" s="251">
        <f t="shared" si="19"/>
        <v>2</v>
      </c>
      <c r="H79" t="str">
        <f t="shared" si="22"/>
        <v>27</v>
      </c>
      <c r="I79" t="str">
        <f t="shared" si="20"/>
        <v>Q2-27</v>
      </c>
      <c r="O79" t="s">
        <v>202</v>
      </c>
      <c r="T79" t="s">
        <v>203</v>
      </c>
      <c r="U79" t="s">
        <v>204</v>
      </c>
      <c r="W79" t="s">
        <v>205</v>
      </c>
      <c r="AB79" t="s">
        <v>206</v>
      </c>
    </row>
    <row r="80" spans="5:29" x14ac:dyDescent="0.35">
      <c r="E80" s="86">
        <f t="shared" si="18"/>
        <v>46599</v>
      </c>
      <c r="F80">
        <f t="shared" si="21"/>
        <v>7</v>
      </c>
      <c r="G80" s="251">
        <f t="shared" si="19"/>
        <v>3</v>
      </c>
      <c r="H80" t="str">
        <f t="shared" si="22"/>
        <v>27</v>
      </c>
      <c r="I80" t="str">
        <f t="shared" si="20"/>
        <v>Q3-27</v>
      </c>
      <c r="O80" t="s">
        <v>1</v>
      </c>
      <c r="T80">
        <v>-0.1</v>
      </c>
      <c r="U80" s="71">
        <f t="shared" ref="U80:U84" si="23">T80+$S$6</f>
        <v>-0.1</v>
      </c>
      <c r="W80">
        <v>0.05</v>
      </c>
      <c r="AB80" s="71">
        <f>W80-U80</f>
        <v>0.15000000000000002</v>
      </c>
    </row>
    <row r="81" spans="5:28" x14ac:dyDescent="0.35">
      <c r="E81" s="86">
        <f t="shared" si="18"/>
        <v>46630</v>
      </c>
      <c r="F81">
        <f t="shared" si="21"/>
        <v>8</v>
      </c>
      <c r="G81" s="251">
        <f t="shared" si="19"/>
        <v>3</v>
      </c>
      <c r="H81" t="str">
        <f t="shared" si="22"/>
        <v>27</v>
      </c>
      <c r="I81" t="str">
        <f t="shared" si="20"/>
        <v>Q3-27</v>
      </c>
      <c r="O81" t="s">
        <v>207</v>
      </c>
      <c r="T81">
        <v>-0.74</v>
      </c>
      <c r="U81" s="71">
        <f t="shared" si="23"/>
        <v>-0.74</v>
      </c>
      <c r="W81">
        <v>0.05</v>
      </c>
      <c r="AB81" s="71">
        <f t="shared" ref="AB81:AB84" si="24">W81-U81</f>
        <v>0.79</v>
      </c>
    </row>
    <row r="82" spans="5:28" x14ac:dyDescent="0.35">
      <c r="E82" s="86">
        <f t="shared" si="18"/>
        <v>46660</v>
      </c>
      <c r="F82">
        <f t="shared" si="21"/>
        <v>9</v>
      </c>
      <c r="G82" s="251">
        <f t="shared" si="19"/>
        <v>3</v>
      </c>
      <c r="H82" t="str">
        <f t="shared" si="22"/>
        <v>27</v>
      </c>
      <c r="I82" t="str">
        <f t="shared" si="20"/>
        <v>Q3-27</v>
      </c>
      <c r="O82" t="s">
        <v>208</v>
      </c>
      <c r="T82">
        <v>1.375</v>
      </c>
      <c r="U82" s="71">
        <f t="shared" si="23"/>
        <v>1.375</v>
      </c>
      <c r="W82">
        <v>0.05</v>
      </c>
      <c r="AB82" s="71">
        <f t="shared" si="24"/>
        <v>-1.325</v>
      </c>
    </row>
    <row r="83" spans="5:28" x14ac:dyDescent="0.35">
      <c r="E83" s="86">
        <f t="shared" si="18"/>
        <v>46691</v>
      </c>
      <c r="F83">
        <f t="shared" si="21"/>
        <v>10</v>
      </c>
      <c r="G83" s="251">
        <f t="shared" si="19"/>
        <v>4</v>
      </c>
      <c r="H83" t="str">
        <f t="shared" si="22"/>
        <v>27</v>
      </c>
      <c r="I83" t="str">
        <f t="shared" si="20"/>
        <v>Q4-27</v>
      </c>
      <c r="O83" t="s">
        <v>209</v>
      </c>
      <c r="T83">
        <v>0.72499999999999998</v>
      </c>
      <c r="U83" s="71">
        <f t="shared" si="23"/>
        <v>0.72499999999999998</v>
      </c>
      <c r="W83">
        <v>0.05</v>
      </c>
      <c r="AB83" s="71">
        <f t="shared" si="24"/>
        <v>-0.67499999999999993</v>
      </c>
    </row>
    <row r="84" spans="5:28" x14ac:dyDescent="0.35">
      <c r="E84" s="86">
        <f t="shared" si="18"/>
        <v>46721</v>
      </c>
      <c r="F84">
        <f t="shared" si="21"/>
        <v>11</v>
      </c>
      <c r="G84" s="251">
        <f t="shared" si="19"/>
        <v>4</v>
      </c>
      <c r="H84" t="str">
        <f t="shared" si="22"/>
        <v>27</v>
      </c>
      <c r="I84" t="str">
        <f t="shared" si="20"/>
        <v>Q4-27</v>
      </c>
      <c r="O84" t="s">
        <v>210</v>
      </c>
      <c r="T84">
        <v>1.675</v>
      </c>
      <c r="U84" s="71">
        <f t="shared" si="23"/>
        <v>1.675</v>
      </c>
      <c r="W84">
        <v>0.05</v>
      </c>
      <c r="AB84" s="71">
        <f t="shared" si="24"/>
        <v>-1.625</v>
      </c>
    </row>
    <row r="85" spans="5:28" x14ac:dyDescent="0.35">
      <c r="E85" s="86">
        <f t="shared" si="18"/>
        <v>46752</v>
      </c>
      <c r="F85">
        <f t="shared" si="21"/>
        <v>12</v>
      </c>
      <c r="G85" s="251">
        <f t="shared" si="19"/>
        <v>4</v>
      </c>
      <c r="H85" t="str">
        <f t="shared" si="22"/>
        <v>27</v>
      </c>
      <c r="I85" t="str">
        <f t="shared" si="20"/>
        <v>Q4-27</v>
      </c>
    </row>
    <row r="86" spans="5:28" x14ac:dyDescent="0.35">
      <c r="E86" s="86">
        <f t="shared" si="18"/>
        <v>46783</v>
      </c>
      <c r="F86">
        <f t="shared" si="21"/>
        <v>1</v>
      </c>
      <c r="G86" s="251">
        <f t="shared" si="19"/>
        <v>1</v>
      </c>
      <c r="H86" t="str">
        <f t="shared" si="22"/>
        <v>28</v>
      </c>
      <c r="I86" t="str">
        <f t="shared" si="20"/>
        <v>Q1-28</v>
      </c>
    </row>
    <row r="87" spans="5:28" x14ac:dyDescent="0.35">
      <c r="E87" s="86">
        <f t="shared" si="18"/>
        <v>46812</v>
      </c>
      <c r="F87">
        <f t="shared" si="21"/>
        <v>2</v>
      </c>
      <c r="G87" s="251">
        <f t="shared" si="19"/>
        <v>1</v>
      </c>
      <c r="H87" t="str">
        <f t="shared" si="22"/>
        <v>28</v>
      </c>
      <c r="I87" t="str">
        <f t="shared" si="20"/>
        <v>Q1-28</v>
      </c>
    </row>
    <row r="88" spans="5:28" x14ac:dyDescent="0.35">
      <c r="E88" s="86">
        <f t="shared" si="18"/>
        <v>46843</v>
      </c>
      <c r="F88">
        <f t="shared" si="21"/>
        <v>3</v>
      </c>
      <c r="G88" s="251">
        <f t="shared" si="19"/>
        <v>1</v>
      </c>
      <c r="H88" t="str">
        <f t="shared" si="22"/>
        <v>28</v>
      </c>
      <c r="I88" t="str">
        <f t="shared" si="20"/>
        <v>Q1-28</v>
      </c>
    </row>
    <row r="89" spans="5:28" x14ac:dyDescent="0.35">
      <c r="E89" s="86">
        <f t="shared" si="18"/>
        <v>46873</v>
      </c>
      <c r="F89">
        <f t="shared" si="21"/>
        <v>4</v>
      </c>
      <c r="G89" s="251">
        <f t="shared" si="19"/>
        <v>2</v>
      </c>
      <c r="H89" t="str">
        <f t="shared" si="22"/>
        <v>28</v>
      </c>
      <c r="I89" t="str">
        <f t="shared" si="20"/>
        <v>Q2-28</v>
      </c>
    </row>
    <row r="90" spans="5:28" x14ac:dyDescent="0.35">
      <c r="E90" s="86">
        <f t="shared" si="18"/>
        <v>46904</v>
      </c>
      <c r="F90">
        <f t="shared" si="21"/>
        <v>5</v>
      </c>
      <c r="G90" s="251">
        <f t="shared" si="19"/>
        <v>2</v>
      </c>
      <c r="H90" t="str">
        <f t="shared" si="22"/>
        <v>28</v>
      </c>
      <c r="I90" t="str">
        <f t="shared" si="20"/>
        <v>Q2-28</v>
      </c>
    </row>
    <row r="91" spans="5:28" x14ac:dyDescent="0.35">
      <c r="E91" s="86">
        <f t="shared" si="18"/>
        <v>46934</v>
      </c>
      <c r="F91">
        <f t="shared" si="21"/>
        <v>6</v>
      </c>
      <c r="G91" s="251">
        <f t="shared" si="19"/>
        <v>2</v>
      </c>
      <c r="H91" t="str">
        <f t="shared" si="22"/>
        <v>28</v>
      </c>
      <c r="I91" t="str">
        <f t="shared" si="20"/>
        <v>Q2-28</v>
      </c>
    </row>
    <row r="92" spans="5:28" x14ac:dyDescent="0.35">
      <c r="E92" s="86">
        <f t="shared" si="18"/>
        <v>46965</v>
      </c>
      <c r="F92">
        <f t="shared" si="21"/>
        <v>7</v>
      </c>
      <c r="G92" s="251">
        <f t="shared" si="19"/>
        <v>3</v>
      </c>
      <c r="H92" t="str">
        <f t="shared" si="22"/>
        <v>28</v>
      </c>
      <c r="I92" t="str">
        <f t="shared" si="20"/>
        <v>Q3-28</v>
      </c>
    </row>
    <row r="93" spans="5:28" x14ac:dyDescent="0.35">
      <c r="E93" s="86">
        <f t="shared" si="18"/>
        <v>46996</v>
      </c>
      <c r="F93">
        <f t="shared" si="21"/>
        <v>8</v>
      </c>
      <c r="G93" s="251">
        <f t="shared" si="19"/>
        <v>3</v>
      </c>
      <c r="H93" t="str">
        <f t="shared" si="22"/>
        <v>28</v>
      </c>
      <c r="I93" t="str">
        <f t="shared" si="20"/>
        <v>Q3-28</v>
      </c>
    </row>
    <row r="94" spans="5:28" x14ac:dyDescent="0.35">
      <c r="E94" s="86">
        <f t="shared" si="18"/>
        <v>47026</v>
      </c>
      <c r="F94">
        <f t="shared" si="21"/>
        <v>9</v>
      </c>
      <c r="G94" s="251">
        <f t="shared" si="19"/>
        <v>3</v>
      </c>
      <c r="H94" t="str">
        <f t="shared" si="22"/>
        <v>28</v>
      </c>
      <c r="I94" t="str">
        <f t="shared" si="20"/>
        <v>Q3-28</v>
      </c>
      <c r="O94">
        <v>1</v>
      </c>
      <c r="P94">
        <v>1</v>
      </c>
    </row>
    <row r="95" spans="5:28" x14ac:dyDescent="0.35">
      <c r="E95" s="86">
        <f t="shared" si="18"/>
        <v>47057</v>
      </c>
      <c r="F95">
        <f t="shared" si="21"/>
        <v>10</v>
      </c>
      <c r="G95" s="251">
        <f t="shared" si="19"/>
        <v>4</v>
      </c>
      <c r="H95" t="str">
        <f t="shared" si="22"/>
        <v>28</v>
      </c>
      <c r="I95" t="str">
        <f t="shared" si="20"/>
        <v>Q4-28</v>
      </c>
      <c r="O95">
        <f>+O94+1</f>
        <v>2</v>
      </c>
      <c r="P95">
        <v>1</v>
      </c>
    </row>
    <row r="96" spans="5:28" x14ac:dyDescent="0.35">
      <c r="E96" s="86">
        <f t="shared" si="18"/>
        <v>47087</v>
      </c>
      <c r="F96">
        <f t="shared" si="21"/>
        <v>11</v>
      </c>
      <c r="G96" s="251">
        <f t="shared" si="19"/>
        <v>4</v>
      </c>
      <c r="H96" t="str">
        <f t="shared" si="22"/>
        <v>28</v>
      </c>
      <c r="I96" t="str">
        <f t="shared" si="20"/>
        <v>Q4-28</v>
      </c>
      <c r="O96">
        <f t="shared" ref="O96:O105" si="25">+O95+1</f>
        <v>3</v>
      </c>
      <c r="P96">
        <v>1</v>
      </c>
    </row>
    <row r="97" spans="5:16" x14ac:dyDescent="0.35">
      <c r="E97" s="86" t="e">
        <f>#REF!</f>
        <v>#REF!</v>
      </c>
      <c r="F97" t="e">
        <f t="shared" si="21"/>
        <v>#REF!</v>
      </c>
      <c r="G97" s="251" t="e">
        <f t="shared" si="19"/>
        <v>#REF!</v>
      </c>
      <c r="H97" t="e">
        <f t="shared" si="22"/>
        <v>#REF!</v>
      </c>
      <c r="I97" t="e">
        <f t="shared" si="20"/>
        <v>#REF!</v>
      </c>
      <c r="O97">
        <f t="shared" si="25"/>
        <v>4</v>
      </c>
      <c r="P97">
        <v>2</v>
      </c>
    </row>
    <row r="98" spans="5:16" x14ac:dyDescent="0.35">
      <c r="E98" s="86" t="e">
        <f>#REF!</f>
        <v>#REF!</v>
      </c>
      <c r="F98" t="e">
        <f t="shared" si="21"/>
        <v>#REF!</v>
      </c>
      <c r="G98" s="251" t="e">
        <f t="shared" si="19"/>
        <v>#REF!</v>
      </c>
      <c r="H98" t="e">
        <f t="shared" si="22"/>
        <v>#REF!</v>
      </c>
      <c r="I98" t="e">
        <f t="shared" si="20"/>
        <v>#REF!</v>
      </c>
      <c r="O98">
        <f t="shared" si="25"/>
        <v>5</v>
      </c>
      <c r="P98">
        <v>2</v>
      </c>
    </row>
    <row r="99" spans="5:16" x14ac:dyDescent="0.35">
      <c r="E99" s="86" t="e">
        <f>#REF!</f>
        <v>#REF!</v>
      </c>
      <c r="F99" t="e">
        <f t="shared" si="21"/>
        <v>#REF!</v>
      </c>
      <c r="G99" s="251" t="e">
        <f t="shared" si="19"/>
        <v>#REF!</v>
      </c>
      <c r="H99" t="e">
        <f t="shared" si="22"/>
        <v>#REF!</v>
      </c>
      <c r="I99" t="e">
        <f t="shared" si="20"/>
        <v>#REF!</v>
      </c>
      <c r="O99">
        <f t="shared" si="25"/>
        <v>6</v>
      </c>
      <c r="P99">
        <v>2</v>
      </c>
    </row>
    <row r="100" spans="5:16" x14ac:dyDescent="0.35">
      <c r="E100" s="86" t="e">
        <f>#REF!</f>
        <v>#REF!</v>
      </c>
      <c r="F100" t="e">
        <f t="shared" si="21"/>
        <v>#REF!</v>
      </c>
      <c r="G100" s="251" t="e">
        <f t="shared" si="19"/>
        <v>#REF!</v>
      </c>
      <c r="H100" t="e">
        <f t="shared" si="22"/>
        <v>#REF!</v>
      </c>
      <c r="I100" t="e">
        <f t="shared" si="20"/>
        <v>#REF!</v>
      </c>
      <c r="O100">
        <f t="shared" si="25"/>
        <v>7</v>
      </c>
      <c r="P100">
        <v>3</v>
      </c>
    </row>
    <row r="101" spans="5:16" x14ac:dyDescent="0.35">
      <c r="E101" s="86" t="e">
        <f>#REF!</f>
        <v>#REF!</v>
      </c>
      <c r="F101" t="e">
        <f t="shared" si="21"/>
        <v>#REF!</v>
      </c>
      <c r="G101" s="251" t="e">
        <f t="shared" si="19"/>
        <v>#REF!</v>
      </c>
      <c r="H101" t="e">
        <f t="shared" si="22"/>
        <v>#REF!</v>
      </c>
      <c r="I101" t="e">
        <f t="shared" si="20"/>
        <v>#REF!</v>
      </c>
      <c r="O101">
        <f t="shared" si="25"/>
        <v>8</v>
      </c>
      <c r="P101">
        <v>3</v>
      </c>
    </row>
    <row r="102" spans="5:16" x14ac:dyDescent="0.35">
      <c r="E102" s="86" t="e">
        <f>#REF!</f>
        <v>#REF!</v>
      </c>
      <c r="F102" t="e">
        <f t="shared" si="21"/>
        <v>#REF!</v>
      </c>
      <c r="G102" s="251" t="e">
        <f t="shared" si="19"/>
        <v>#REF!</v>
      </c>
      <c r="H102" t="e">
        <f t="shared" si="22"/>
        <v>#REF!</v>
      </c>
      <c r="I102" t="e">
        <f t="shared" si="20"/>
        <v>#REF!</v>
      </c>
      <c r="O102">
        <f t="shared" si="25"/>
        <v>9</v>
      </c>
      <c r="P102">
        <v>3</v>
      </c>
    </row>
    <row r="103" spans="5:16" x14ac:dyDescent="0.35">
      <c r="E103" s="86" t="e">
        <f>#REF!</f>
        <v>#REF!</v>
      </c>
      <c r="F103" t="e">
        <f t="shared" si="21"/>
        <v>#REF!</v>
      </c>
      <c r="G103" s="251" t="e">
        <f t="shared" si="19"/>
        <v>#REF!</v>
      </c>
      <c r="H103" t="e">
        <f t="shared" si="22"/>
        <v>#REF!</v>
      </c>
      <c r="I103" t="e">
        <f t="shared" si="20"/>
        <v>#REF!</v>
      </c>
      <c r="O103">
        <f t="shared" si="25"/>
        <v>10</v>
      </c>
      <c r="P103">
        <v>4</v>
      </c>
    </row>
    <row r="104" spans="5:16" x14ac:dyDescent="0.35">
      <c r="E104" s="86" t="e">
        <f>#REF!</f>
        <v>#REF!</v>
      </c>
      <c r="F104" t="e">
        <f t="shared" si="21"/>
        <v>#REF!</v>
      </c>
      <c r="G104" s="251" t="e">
        <f t="shared" si="19"/>
        <v>#REF!</v>
      </c>
      <c r="H104" t="e">
        <f t="shared" si="22"/>
        <v>#REF!</v>
      </c>
      <c r="I104" t="e">
        <f t="shared" si="20"/>
        <v>#REF!</v>
      </c>
      <c r="O104">
        <f t="shared" si="25"/>
        <v>11</v>
      </c>
      <c r="P104">
        <v>4</v>
      </c>
    </row>
    <row r="105" spans="5:16" x14ac:dyDescent="0.35">
      <c r="E105" s="86" t="e">
        <f>#REF!</f>
        <v>#REF!</v>
      </c>
      <c r="F105" t="e">
        <f t="shared" si="21"/>
        <v>#REF!</v>
      </c>
      <c r="G105" s="251" t="e">
        <f t="shared" si="19"/>
        <v>#REF!</v>
      </c>
      <c r="H105" t="e">
        <f t="shared" si="22"/>
        <v>#REF!</v>
      </c>
      <c r="I105" t="e">
        <f t="shared" si="20"/>
        <v>#REF!</v>
      </c>
      <c r="O105">
        <f t="shared" si="25"/>
        <v>12</v>
      </c>
      <c r="P105">
        <v>4</v>
      </c>
    </row>
    <row r="106" spans="5:16" x14ac:dyDescent="0.35">
      <c r="E106" s="86" t="e">
        <f>#REF!</f>
        <v>#REF!</v>
      </c>
      <c r="F106" t="e">
        <f t="shared" si="21"/>
        <v>#REF!</v>
      </c>
      <c r="G106" s="251" t="e">
        <f t="shared" si="19"/>
        <v>#REF!</v>
      </c>
      <c r="H106" t="e">
        <f t="shared" si="22"/>
        <v>#REF!</v>
      </c>
      <c r="I106" t="e">
        <f t="shared" si="20"/>
        <v>#REF!</v>
      </c>
    </row>
    <row r="107" spans="5:16" x14ac:dyDescent="0.35">
      <c r="E107" s="86" t="e">
        <f>#REF!</f>
        <v>#REF!</v>
      </c>
      <c r="F107" t="e">
        <f t="shared" si="21"/>
        <v>#REF!</v>
      </c>
      <c r="G107" s="251" t="e">
        <f t="shared" si="19"/>
        <v>#REF!</v>
      </c>
      <c r="H107" t="e">
        <f t="shared" si="22"/>
        <v>#REF!</v>
      </c>
      <c r="I107" t="e">
        <f t="shared" si="20"/>
        <v>#REF!</v>
      </c>
    </row>
  </sheetData>
  <mergeCells count="1">
    <mergeCell ref="L1:AC1"/>
  </mergeCell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09DB-EFA1-4A8B-A4DA-9EC5BC589A2B}">
  <sheetPr codeName="Sheet5"/>
  <dimension ref="A1:AT94"/>
  <sheetViews>
    <sheetView zoomScale="85" zoomScaleNormal="85" workbookViewId="0">
      <selection activeCell="J4" sqref="J4"/>
    </sheetView>
  </sheetViews>
  <sheetFormatPr defaultRowHeight="14.5" x14ac:dyDescent="0.35"/>
  <cols>
    <col min="1" max="1" width="10.54296875" bestFit="1" customWidth="1"/>
    <col min="2" max="2" width="11.54296875" bestFit="1" customWidth="1"/>
    <col min="4" max="4" width="9.54296875" bestFit="1" customWidth="1"/>
    <col min="6" max="6" width="15.453125" bestFit="1" customWidth="1"/>
    <col min="13" max="13" width="11" bestFit="1" customWidth="1"/>
    <col min="14" max="14" width="16.453125" bestFit="1" customWidth="1"/>
    <col min="15" max="16" width="10.54296875" bestFit="1" customWidth="1"/>
    <col min="20" max="20" width="12.54296875" bestFit="1" customWidth="1"/>
    <col min="21" max="21" width="13.26953125" bestFit="1" customWidth="1"/>
    <col min="24" max="24" width="14.7265625" bestFit="1" customWidth="1"/>
    <col min="30" max="39" width="9.453125" customWidth="1"/>
    <col min="40" max="40" width="14.453125" bestFit="1" customWidth="1"/>
    <col min="47" max="55" width="0" hidden="1" customWidth="1"/>
  </cols>
  <sheetData>
    <row r="1" spans="1:28" ht="15" thickBot="1" x14ac:dyDescent="0.4">
      <c r="A1" s="208"/>
      <c r="B1" s="208"/>
      <c r="C1" s="208"/>
      <c r="D1" s="208">
        <f>[1]WTI!$AU$44</f>
        <v>4.3978668295098204</v>
      </c>
      <c r="E1" s="208"/>
      <c r="O1">
        <v>9.7100000000000009</v>
      </c>
      <c r="P1">
        <v>8.4175000000000004</v>
      </c>
      <c r="Q1">
        <v>80000</v>
      </c>
      <c r="U1">
        <v>700000</v>
      </c>
      <c r="W1">
        <f>[1]WTI!$AS$44</f>
        <v>0</v>
      </c>
      <c r="X1" t="s">
        <v>212</v>
      </c>
      <c r="AA1">
        <v>7.25</v>
      </c>
      <c r="AB1">
        <v>86700</v>
      </c>
    </row>
    <row r="2" spans="1:28" x14ac:dyDescent="0.35">
      <c r="A2" s="208"/>
      <c r="B2" s="208"/>
      <c r="C2" s="208"/>
      <c r="D2" s="208"/>
      <c r="E2" s="208"/>
      <c r="J2" t="s">
        <v>243</v>
      </c>
      <c r="K2" t="s">
        <v>248</v>
      </c>
      <c r="M2" s="166" t="s">
        <v>243</v>
      </c>
      <c r="N2" t="s">
        <v>248</v>
      </c>
      <c r="P2">
        <v>19.39</v>
      </c>
      <c r="Q2">
        <v>270000</v>
      </c>
      <c r="U2">
        <v>2000000</v>
      </c>
      <c r="W2" t="e">
        <f>#REF!</f>
        <v>#REF!</v>
      </c>
      <c r="X2" t="s">
        <v>213</v>
      </c>
      <c r="AA2">
        <v>21.47</v>
      </c>
      <c r="AB2">
        <v>70000</v>
      </c>
    </row>
    <row r="3" spans="1:28" x14ac:dyDescent="0.35">
      <c r="A3" t="s">
        <v>214</v>
      </c>
      <c r="B3" t="s">
        <v>215</v>
      </c>
      <c r="C3" t="s">
        <v>216</v>
      </c>
      <c r="D3" t="s">
        <v>199</v>
      </c>
      <c r="E3" t="s">
        <v>197</v>
      </c>
      <c r="F3" t="s">
        <v>198</v>
      </c>
      <c r="G3" t="s">
        <v>200</v>
      </c>
      <c r="H3" t="s">
        <v>217</v>
      </c>
      <c r="J3" t="s">
        <v>197</v>
      </c>
      <c r="K3" t="s">
        <v>218</v>
      </c>
      <c r="M3" t="s">
        <v>219</v>
      </c>
      <c r="N3" t="s">
        <v>220</v>
      </c>
    </row>
    <row r="4" spans="1:28" x14ac:dyDescent="0.35">
      <c r="A4" s="87" t="s">
        <v>101</v>
      </c>
      <c r="B4">
        <f t="shared" ref="B4" si="0">C53*270/2000</f>
        <v>31.954175357142859</v>
      </c>
      <c r="C4">
        <f t="shared" ref="C4" si="1">D53*270/2000</f>
        <v>16.650475225714285</v>
      </c>
      <c r="D4" s="84">
        <f t="shared" ref="D4" si="2">W29*1000/2050+$D$1</f>
        <v>26.226298885258949</v>
      </c>
      <c r="E4" s="201" t="e">
        <f>(J4*$AB$2*$AA$2)/700000/100+$F$1</f>
        <v>#DIV/0!</v>
      </c>
      <c r="F4" s="201" t="e">
        <f>(K4*$AB$1*$AA$1)/700000/100+$F$1</f>
        <v>#DIV/0!</v>
      </c>
      <c r="G4" s="71">
        <f>Y4</f>
        <v>0</v>
      </c>
      <c r="H4" s="71">
        <f>S4</f>
        <v>0</v>
      </c>
      <c r="J4" s="88" t="e">
        <f>INDEX($B$28:$AC$48,MATCH($A4,$A$28:$A$48,0),MATCH($J$2,$B$28:$AC$28,0))</f>
        <v>#DIV/0!</v>
      </c>
      <c r="K4" s="88" t="e">
        <f t="shared" ref="K4:K22" si="3">INDEX($B$28:$AC$48,MATCH($A4,$A$28:$A$48,0),MATCH($K$2,$B$28:$AC$28,0))</f>
        <v>#DIV/0!</v>
      </c>
      <c r="L4" s="88">
        <f t="shared" ref="L4" si="4">E29</f>
        <v>399.4842857142857</v>
      </c>
      <c r="M4" s="88" t="e">
        <f t="shared" ref="M4:M22" si="5">INDEX($B$52:$AC$72,MATCH($A4,$A$28:$A$48,0),MATCH($M$2,$B$28:$AC$28,0))</f>
        <v>#DIV/0!</v>
      </c>
      <c r="N4" s="88" t="e">
        <f t="shared" ref="N4:N22" si="6">INDEX($B$52:$AC$72,MATCH($A4,$A$28:$A$48,0),MATCH($N$2,$B$28:$AC$28,0))</f>
        <v>#DIV/0!</v>
      </c>
      <c r="P4" s="589" t="s">
        <v>221</v>
      </c>
      <c r="Q4" s="589"/>
      <c r="R4" s="589" t="s">
        <v>217</v>
      </c>
      <c r="S4" s="589"/>
      <c r="T4" s="589" t="s">
        <v>222</v>
      </c>
      <c r="U4" s="589"/>
      <c r="W4" t="s">
        <v>223</v>
      </c>
      <c r="X4" t="s">
        <v>224</v>
      </c>
    </row>
    <row r="5" spans="1:28" x14ac:dyDescent="0.35">
      <c r="A5" s="87">
        <f>EOMONTH(B30,0)</f>
        <v>46326</v>
      </c>
      <c r="B5">
        <f t="shared" ref="B5:B22" si="7">C54*270/2000</f>
        <v>31.921695</v>
      </c>
      <c r="C5">
        <f t="shared" ref="C5:C22" si="8">D54*270/2000</f>
        <v>16.685594999999999</v>
      </c>
      <c r="D5" s="84">
        <f t="shared" ref="D5:D22" si="9">W30*1000/2050+$D$1</f>
        <v>26.349086341704943</v>
      </c>
      <c r="E5" s="201">
        <f>(J5*$AB$2*$AA$2)/700000/100+$F$1</f>
        <v>17.068650000000002</v>
      </c>
      <c r="F5" s="201">
        <f>(K5*$AB$1*$AA$1)/700000/100+$F$1</f>
        <v>3.5918571428571431</v>
      </c>
      <c r="G5" s="71">
        <f>Y5</f>
        <v>30.626505000000002</v>
      </c>
      <c r="H5" s="71">
        <f>S5</f>
        <v>0</v>
      </c>
      <c r="J5" s="88">
        <f t="shared" ref="J5:J22" si="10">INDEX($B$28:$AC$48,MATCH($A5,$A$28:$A$48,0),MATCH($J$2,$B$28:$AC$28,0))</f>
        <v>795</v>
      </c>
      <c r="K5" s="88">
        <f t="shared" si="3"/>
        <v>400</v>
      </c>
      <c r="L5" s="88">
        <f t="shared" ref="L5:L22" si="11">E30</f>
        <v>400</v>
      </c>
      <c r="M5" s="88">
        <f t="shared" si="5"/>
        <v>167.02950000000001</v>
      </c>
      <c r="N5" s="88">
        <f t="shared" si="6"/>
        <v>42.52</v>
      </c>
      <c r="O5" s="87">
        <f>A5</f>
        <v>46326</v>
      </c>
      <c r="P5" s="69">
        <f>$P$1*(J5/100 )*$Q$1</f>
        <v>5353530.0000000009</v>
      </c>
      <c r="Q5" s="84">
        <f t="shared" ref="Q5:Q14" si="12">P5/$U$1</f>
        <v>7.6479000000000017</v>
      </c>
      <c r="R5" s="84">
        <f t="shared" ref="R5:R17" si="13">$O$1*(AR33/100 )*$Q$1</f>
        <v>0</v>
      </c>
      <c r="S5" s="84">
        <f t="shared" ref="S5:S17" si="14">R5/$U$1</f>
        <v>0</v>
      </c>
      <c r="T5">
        <f>D5*1000/2000</f>
        <v>13.174543170852472</v>
      </c>
      <c r="V5">
        <f t="shared" ref="V5:V15" si="15">T5+$W$1</f>
        <v>13.174543170852472</v>
      </c>
      <c r="W5" t="e">
        <f t="shared" ref="W5:W15" si="16">(D5-1)*1000/2000+$W$2</f>
        <v>#REF!</v>
      </c>
      <c r="X5" s="69">
        <f>$P$2*(C30/100 )*$Q$2</f>
        <v>61253010</v>
      </c>
      <c r="Y5" s="84">
        <f t="shared" ref="Y5:Y15" si="17">X5/$U$2</f>
        <v>30.626505000000002</v>
      </c>
    </row>
    <row r="6" spans="1:28" x14ac:dyDescent="0.35">
      <c r="A6" s="87">
        <f>EOMONTH(A5,1)</f>
        <v>46356</v>
      </c>
      <c r="B6">
        <f t="shared" si="7"/>
        <v>28.374840000000003</v>
      </c>
      <c r="C6">
        <f t="shared" si="8"/>
        <v>14.353199999999999</v>
      </c>
      <c r="D6" s="84">
        <f t="shared" si="9"/>
        <v>23.910061951461039</v>
      </c>
      <c r="E6" s="201">
        <f t="shared" ref="E6:E22" si="18">(J6*$AB$2*$AA$2)/700000/100+$F$1</f>
        <v>16.102499999999999</v>
      </c>
      <c r="F6" s="201">
        <f t="shared" ref="F6:F22" si="19">(K6*$AB$1*$AA$1)/700000/100+$F$1</f>
        <v>3.1428750000000001</v>
      </c>
      <c r="G6" s="71">
        <f t="shared" ref="G6:G22" si="20">Y6</f>
        <v>27.223559999999999</v>
      </c>
      <c r="H6" s="71">
        <f t="shared" ref="H6:H17" si="21">S6</f>
        <v>0</v>
      </c>
      <c r="J6" s="88">
        <f t="shared" si="10"/>
        <v>750</v>
      </c>
      <c r="K6" s="88">
        <f t="shared" si="3"/>
        <v>350</v>
      </c>
      <c r="L6" s="88">
        <f t="shared" si="11"/>
        <v>350</v>
      </c>
      <c r="M6" s="88">
        <f t="shared" si="5"/>
        <v>157.57500000000002</v>
      </c>
      <c r="N6" s="88">
        <f t="shared" si="6"/>
        <v>37.205000000000005</v>
      </c>
      <c r="O6" s="87">
        <f t="shared" ref="O6:O14" si="22">A6</f>
        <v>46356</v>
      </c>
      <c r="P6" s="69">
        <f t="shared" ref="P6:P15" si="23">$P$1*(E6/100 )*$Q$1</f>
        <v>108434.235</v>
      </c>
      <c r="Q6" s="84">
        <f t="shared" si="12"/>
        <v>0.15490604999999999</v>
      </c>
      <c r="R6" s="84">
        <f t="shared" si="13"/>
        <v>0</v>
      </c>
      <c r="S6" s="84">
        <f t="shared" si="14"/>
        <v>0</v>
      </c>
      <c r="T6">
        <f t="shared" ref="T6:T14" si="24">D6*1000/2000</f>
        <v>11.955030975730519</v>
      </c>
      <c r="V6">
        <f t="shared" si="15"/>
        <v>11.955030975730519</v>
      </c>
      <c r="W6" t="e">
        <f t="shared" si="16"/>
        <v>#REF!</v>
      </c>
      <c r="X6" s="69">
        <f t="shared" ref="X6:X19" si="25">$P$2*(C31/100 )*$Q$2</f>
        <v>54447120</v>
      </c>
      <c r="Y6" s="84">
        <f t="shared" si="17"/>
        <v>27.223559999999999</v>
      </c>
    </row>
    <row r="7" spans="1:28" x14ac:dyDescent="0.35">
      <c r="A7" s="87">
        <f>EOMONTH(A6,1)</f>
        <v>46387</v>
      </c>
      <c r="B7">
        <f t="shared" si="7"/>
        <v>24.21410625</v>
      </c>
      <c r="C7">
        <f t="shared" si="8"/>
        <v>11.303144999999999</v>
      </c>
      <c r="D7" s="84">
        <f t="shared" si="9"/>
        <v>19.032013170973237</v>
      </c>
      <c r="E7" s="201">
        <f>(J7*$AB$2*$AA$2)/700000/100+$F$1</f>
        <v>12.667300000000001</v>
      </c>
      <c r="F7" s="201">
        <f t="shared" si="19"/>
        <v>2.6938928571428575</v>
      </c>
      <c r="G7" s="71">
        <f t="shared" si="20"/>
        <v>23.23164375</v>
      </c>
      <c r="H7" s="71">
        <f t="shared" si="21"/>
        <v>0</v>
      </c>
      <c r="J7" s="88">
        <f t="shared" si="10"/>
        <v>590</v>
      </c>
      <c r="K7" s="88">
        <f t="shared" si="3"/>
        <v>300</v>
      </c>
      <c r="L7" s="88">
        <f t="shared" si="11"/>
        <v>300</v>
      </c>
      <c r="M7" s="88">
        <f t="shared" si="5"/>
        <v>123.95900000000002</v>
      </c>
      <c r="N7" s="88">
        <f t="shared" si="6"/>
        <v>31.89</v>
      </c>
      <c r="O7" s="87">
        <f t="shared" si="22"/>
        <v>46387</v>
      </c>
      <c r="P7" s="69">
        <f t="shared" si="23"/>
        <v>85301.598200000022</v>
      </c>
      <c r="Q7" s="84">
        <f t="shared" si="12"/>
        <v>0.12185942600000003</v>
      </c>
      <c r="R7" s="84">
        <f t="shared" si="13"/>
        <v>0</v>
      </c>
      <c r="S7" s="84">
        <f t="shared" si="14"/>
        <v>0</v>
      </c>
      <c r="T7">
        <f t="shared" si="24"/>
        <v>9.5160065854866183</v>
      </c>
      <c r="V7">
        <f t="shared" si="15"/>
        <v>9.5160065854866183</v>
      </c>
      <c r="W7" t="e">
        <f t="shared" si="16"/>
        <v>#REF!</v>
      </c>
      <c r="X7" s="69">
        <f t="shared" si="25"/>
        <v>46463287.5</v>
      </c>
      <c r="Y7" s="84">
        <f t="shared" si="17"/>
        <v>23.23164375</v>
      </c>
    </row>
    <row r="8" spans="1:28" x14ac:dyDescent="0.35">
      <c r="A8" s="87">
        <f>EOMONTH(A7,1)</f>
        <v>46418</v>
      </c>
      <c r="B8">
        <f t="shared" si="7"/>
        <v>24.502500000000001</v>
      </c>
      <c r="C8">
        <f t="shared" si="8"/>
        <v>7.6275000000000004</v>
      </c>
      <c r="D8" s="84">
        <f t="shared" si="9"/>
        <v>16.592988780729332</v>
      </c>
      <c r="E8" s="201">
        <f t="shared" si="18"/>
        <v>8.2262494050452144</v>
      </c>
      <c r="F8" s="201">
        <f t="shared" si="19"/>
        <v>1.9058472006769145</v>
      </c>
      <c r="G8" s="71">
        <f t="shared" si="20"/>
        <v>23.50833621969322</v>
      </c>
      <c r="H8" s="71">
        <f t="shared" si="21"/>
        <v>0</v>
      </c>
      <c r="J8" s="88">
        <f t="shared" si="10"/>
        <v>383.15088053307943</v>
      </c>
      <c r="K8" s="88">
        <f t="shared" si="3"/>
        <v>212.24086870681145</v>
      </c>
      <c r="L8" s="88">
        <f t="shared" si="11"/>
        <v>212.24086870681143</v>
      </c>
      <c r="M8" s="88">
        <f t="shared" si="5"/>
        <v>80.5</v>
      </c>
      <c r="N8" s="88">
        <f t="shared" si="6"/>
        <v>22.561204343534058</v>
      </c>
      <c r="O8" s="87">
        <f t="shared" si="22"/>
        <v>46418</v>
      </c>
      <c r="P8" s="69">
        <f t="shared" si="23"/>
        <v>55395.563493574482</v>
      </c>
      <c r="Q8" s="84">
        <f t="shared" si="12"/>
        <v>7.9136519276534978E-2</v>
      </c>
      <c r="R8" s="84">
        <f t="shared" si="13"/>
        <v>0</v>
      </c>
      <c r="S8" s="84">
        <f t="shared" si="14"/>
        <v>0</v>
      </c>
      <c r="T8">
        <f t="shared" si="24"/>
        <v>8.296494390364666</v>
      </c>
      <c r="V8">
        <f t="shared" si="15"/>
        <v>8.296494390364666</v>
      </c>
      <c r="W8" t="e">
        <f t="shared" si="16"/>
        <v>#REF!</v>
      </c>
      <c r="X8" s="69">
        <f t="shared" si="25"/>
        <v>47016672.439386442</v>
      </c>
      <c r="Y8" s="84">
        <f t="shared" si="17"/>
        <v>23.50833621969322</v>
      </c>
    </row>
    <row r="9" spans="1:28" x14ac:dyDescent="0.35">
      <c r="A9" s="87">
        <f>EOMONTH(A8,1)</f>
        <v>46446</v>
      </c>
      <c r="B9">
        <f t="shared" si="7"/>
        <v>20.452500000000001</v>
      </c>
      <c r="C9">
        <f t="shared" si="8"/>
        <v>7.02</v>
      </c>
      <c r="D9" s="84">
        <f t="shared" si="9"/>
        <v>15.61737902463177</v>
      </c>
      <c r="E9" s="201">
        <f t="shared" si="18"/>
        <v>7.9196811042360791</v>
      </c>
      <c r="F9" s="201">
        <f t="shared" si="19"/>
        <v>1.8615251727541955</v>
      </c>
      <c r="G9" s="71">
        <f t="shared" si="20"/>
        <v>19.622660811479463</v>
      </c>
      <c r="H9" s="71">
        <f t="shared" si="21"/>
        <v>0</v>
      </c>
      <c r="J9" s="88">
        <f t="shared" si="10"/>
        <v>368.87196573060447</v>
      </c>
      <c r="K9" s="88">
        <f t="shared" si="3"/>
        <v>207.30503455083908</v>
      </c>
      <c r="L9" s="88">
        <f t="shared" si="11"/>
        <v>207.30503455083908</v>
      </c>
      <c r="M9" s="88">
        <f t="shared" si="5"/>
        <v>77.5</v>
      </c>
      <c r="N9" s="88">
        <f t="shared" si="6"/>
        <v>22.036525172754196</v>
      </c>
      <c r="O9" s="87">
        <f t="shared" si="22"/>
        <v>46446</v>
      </c>
      <c r="P9" s="69">
        <f t="shared" si="23"/>
        <v>53331.132555925753</v>
      </c>
      <c r="Q9" s="84">
        <f t="shared" si="12"/>
        <v>7.6187332222751078E-2</v>
      </c>
      <c r="R9" s="84">
        <f t="shared" si="13"/>
        <v>0</v>
      </c>
      <c r="S9" s="84">
        <f t="shared" si="14"/>
        <v>0</v>
      </c>
      <c r="T9">
        <f t="shared" si="24"/>
        <v>7.808689512315885</v>
      </c>
      <c r="V9">
        <f t="shared" si="15"/>
        <v>7.808689512315885</v>
      </c>
      <c r="W9" t="e">
        <f t="shared" si="16"/>
        <v>#REF!</v>
      </c>
      <c r="X9" s="69">
        <f t="shared" si="25"/>
        <v>39245321.622958928</v>
      </c>
      <c r="Y9" s="84">
        <f t="shared" si="17"/>
        <v>19.622660811479463</v>
      </c>
    </row>
    <row r="10" spans="1:28" x14ac:dyDescent="0.35">
      <c r="A10" s="87">
        <f>EOMONTH(A9,1)</f>
        <v>46477</v>
      </c>
      <c r="B10">
        <f t="shared" si="7"/>
        <v>18.225000000000001</v>
      </c>
      <c r="C10">
        <f t="shared" si="8"/>
        <v>6.4124999999999996</v>
      </c>
      <c r="D10" s="84">
        <f t="shared" si="9"/>
        <v>14.641769268534212</v>
      </c>
      <c r="E10" s="201">
        <f t="shared" si="18"/>
        <v>7.6131128034269402</v>
      </c>
      <c r="F10" s="201">
        <f t="shared" si="19"/>
        <v>1.8172031448314767</v>
      </c>
      <c r="G10" s="71">
        <f t="shared" si="20"/>
        <v>17.485539336961899</v>
      </c>
      <c r="H10" s="71">
        <f t="shared" si="21"/>
        <v>0</v>
      </c>
      <c r="J10" s="88">
        <f t="shared" si="10"/>
        <v>354.59305092812946</v>
      </c>
      <c r="K10" s="88">
        <f t="shared" si="3"/>
        <v>202.36920039486674</v>
      </c>
      <c r="L10" s="88">
        <f t="shared" si="11"/>
        <v>202.36920039486671</v>
      </c>
      <c r="M10" s="88">
        <f t="shared" si="5"/>
        <v>74.5</v>
      </c>
      <c r="N10" s="88">
        <f t="shared" si="6"/>
        <v>21.511846001974334</v>
      </c>
      <c r="O10" s="87">
        <f t="shared" si="22"/>
        <v>46477</v>
      </c>
      <c r="P10" s="69">
        <f t="shared" si="23"/>
        <v>51266.701618277009</v>
      </c>
      <c r="Q10" s="84">
        <f t="shared" si="12"/>
        <v>7.323814516896715E-2</v>
      </c>
      <c r="R10" s="84">
        <f t="shared" si="13"/>
        <v>0</v>
      </c>
      <c r="S10" s="84">
        <f t="shared" si="14"/>
        <v>0</v>
      </c>
      <c r="T10">
        <f t="shared" si="24"/>
        <v>7.3208846342671059</v>
      </c>
      <c r="V10">
        <f t="shared" si="15"/>
        <v>7.3208846342671059</v>
      </c>
      <c r="W10" t="e">
        <f t="shared" si="16"/>
        <v>#REF!</v>
      </c>
      <c r="X10" s="69">
        <f t="shared" si="25"/>
        <v>34971078.673923798</v>
      </c>
      <c r="Y10" s="84">
        <f t="shared" si="17"/>
        <v>17.485539336961899</v>
      </c>
    </row>
    <row r="11" spans="1:28" x14ac:dyDescent="0.35">
      <c r="A11" s="87">
        <f t="shared" ref="A11:A12" si="26">EOMONTH(A10,1)</f>
        <v>46507</v>
      </c>
      <c r="B11">
        <f t="shared" si="7"/>
        <v>16.2</v>
      </c>
      <c r="C11">
        <f t="shared" si="8"/>
        <v>5.4</v>
      </c>
      <c r="D11" s="84">
        <f t="shared" si="9"/>
        <v>12.202744878290307</v>
      </c>
      <c r="E11" s="201">
        <f t="shared" si="18"/>
        <v>6.7445026178010457</v>
      </c>
      <c r="F11" s="201">
        <f t="shared" si="19"/>
        <v>1.5069489493724439</v>
      </c>
      <c r="G11" s="71">
        <f t="shared" si="20"/>
        <v>15.542701632855021</v>
      </c>
      <c r="H11" s="71">
        <f t="shared" si="21"/>
        <v>0</v>
      </c>
      <c r="J11" s="88">
        <f t="shared" si="10"/>
        <v>314.13612565445021</v>
      </c>
      <c r="K11" s="88">
        <f t="shared" si="3"/>
        <v>167.81836130306021</v>
      </c>
      <c r="L11" s="88">
        <f t="shared" si="11"/>
        <v>167.81836130306021</v>
      </c>
      <c r="M11" s="88">
        <f t="shared" si="5"/>
        <v>66</v>
      </c>
      <c r="N11" s="88">
        <f t="shared" si="6"/>
        <v>17.839091806515302</v>
      </c>
      <c r="O11" s="87">
        <f t="shared" si="22"/>
        <v>46507</v>
      </c>
      <c r="P11" s="69">
        <f t="shared" si="23"/>
        <v>45417.480628272242</v>
      </c>
      <c r="Q11" s="84">
        <f t="shared" si="12"/>
        <v>6.4882115183246061E-2</v>
      </c>
      <c r="R11" s="84">
        <f t="shared" si="13"/>
        <v>0</v>
      </c>
      <c r="S11" s="84">
        <f t="shared" si="14"/>
        <v>0</v>
      </c>
      <c r="T11">
        <f t="shared" si="24"/>
        <v>6.1013724391451536</v>
      </c>
      <c r="V11">
        <f t="shared" si="15"/>
        <v>6.1013724391451536</v>
      </c>
      <c r="W11" t="e">
        <f t="shared" si="16"/>
        <v>#REF!</v>
      </c>
      <c r="X11" s="69">
        <f t="shared" si="25"/>
        <v>31085403.265710041</v>
      </c>
      <c r="Y11" s="84">
        <f t="shared" si="17"/>
        <v>15.542701632855021</v>
      </c>
    </row>
    <row r="12" spans="1:28" x14ac:dyDescent="0.35">
      <c r="A12" s="87">
        <f t="shared" si="26"/>
        <v>46538</v>
      </c>
      <c r="B12">
        <f t="shared" si="7"/>
        <v>13.5</v>
      </c>
      <c r="C12">
        <f t="shared" si="8"/>
        <v>4.8600000000000003</v>
      </c>
      <c r="D12" s="84">
        <f t="shared" si="9"/>
        <v>12.202744878290307</v>
      </c>
      <c r="E12" s="201">
        <f t="shared" si="18"/>
        <v>6.4379343169919085</v>
      </c>
      <c r="F12" s="201">
        <f t="shared" si="19"/>
        <v>1.5069489493724439</v>
      </c>
      <c r="G12" s="71">
        <f t="shared" si="20"/>
        <v>12.952251360712518</v>
      </c>
      <c r="H12" s="71">
        <f t="shared" si="21"/>
        <v>0</v>
      </c>
      <c r="J12" s="88">
        <f t="shared" si="10"/>
        <v>299.85721085197525</v>
      </c>
      <c r="K12" s="88">
        <f t="shared" si="3"/>
        <v>167.81836130306021</v>
      </c>
      <c r="L12" s="88">
        <f t="shared" si="11"/>
        <v>167.81836130306021</v>
      </c>
      <c r="M12" s="88">
        <f t="shared" si="5"/>
        <v>63</v>
      </c>
      <c r="N12" s="88">
        <f t="shared" si="6"/>
        <v>17.839091806515302</v>
      </c>
      <c r="O12" s="87">
        <f t="shared" si="22"/>
        <v>46538</v>
      </c>
      <c r="P12" s="69">
        <f t="shared" si="23"/>
        <v>43353.049690623513</v>
      </c>
      <c r="Q12" s="84">
        <f t="shared" si="12"/>
        <v>6.1932928129462161E-2</v>
      </c>
      <c r="R12" s="84">
        <f t="shared" si="13"/>
        <v>0</v>
      </c>
      <c r="S12" s="84">
        <f t="shared" si="14"/>
        <v>0</v>
      </c>
      <c r="T12">
        <f t="shared" si="24"/>
        <v>6.1013724391451536</v>
      </c>
      <c r="V12">
        <f t="shared" si="15"/>
        <v>6.1013724391451536</v>
      </c>
      <c r="W12" t="e">
        <f t="shared" si="16"/>
        <v>#REF!</v>
      </c>
      <c r="X12" s="69">
        <f t="shared" si="25"/>
        <v>25904502.721425038</v>
      </c>
      <c r="Y12" s="84">
        <f t="shared" si="17"/>
        <v>12.952251360712518</v>
      </c>
    </row>
    <row r="13" spans="1:28" x14ac:dyDescent="0.35">
      <c r="A13" s="87" t="str">
        <f t="shared" ref="A13:A19" si="27">B38</f>
        <v>Q4-26</v>
      </c>
      <c r="B13">
        <f t="shared" si="7"/>
        <v>28.170213749999998</v>
      </c>
      <c r="C13">
        <f t="shared" si="8"/>
        <v>14.11398</v>
      </c>
      <c r="D13" s="84">
        <f t="shared" si="9"/>
        <v>23.097053821379738</v>
      </c>
      <c r="E13" s="201">
        <f t="shared" si="18"/>
        <v>15.279483333333333</v>
      </c>
      <c r="F13" s="201">
        <f t="shared" si="19"/>
        <v>3.1428750000000001</v>
      </c>
      <c r="G13" s="71">
        <f t="shared" si="20"/>
        <v>27.027236250000001</v>
      </c>
      <c r="H13" s="71">
        <f t="shared" si="21"/>
        <v>0</v>
      </c>
      <c r="J13" s="88">
        <f t="shared" si="10"/>
        <v>711.66666666666663</v>
      </c>
      <c r="K13" s="88">
        <f t="shared" si="3"/>
        <v>350</v>
      </c>
      <c r="L13" s="88">
        <f t="shared" si="11"/>
        <v>350</v>
      </c>
      <c r="M13" s="88">
        <f t="shared" si="5"/>
        <v>149.52116666666666</v>
      </c>
      <c r="N13" s="88">
        <f t="shared" si="6"/>
        <v>37.205000000000005</v>
      </c>
      <c r="O13" s="87" t="str">
        <f t="shared" si="22"/>
        <v>Q4-26</v>
      </c>
      <c r="P13" s="69">
        <f t="shared" si="23"/>
        <v>102892.04076666666</v>
      </c>
      <c r="Q13" s="84">
        <f t="shared" si="12"/>
        <v>0.14698862966666665</v>
      </c>
      <c r="R13" s="84">
        <f t="shared" si="13"/>
        <v>0</v>
      </c>
      <c r="S13" s="84">
        <f t="shared" si="14"/>
        <v>0</v>
      </c>
      <c r="T13">
        <f t="shared" si="24"/>
        <v>11.548526910689869</v>
      </c>
      <c r="V13">
        <f t="shared" si="15"/>
        <v>11.548526910689869</v>
      </c>
      <c r="W13" t="e">
        <f t="shared" si="16"/>
        <v>#REF!</v>
      </c>
      <c r="X13" s="69">
        <f t="shared" si="25"/>
        <v>54054472.5</v>
      </c>
      <c r="Y13" s="84">
        <f t="shared" si="17"/>
        <v>27.027236250000001</v>
      </c>
    </row>
    <row r="14" spans="1:28" x14ac:dyDescent="0.35">
      <c r="A14" s="87" t="str">
        <f t="shared" si="27"/>
        <v>Q1-27</v>
      </c>
      <c r="B14">
        <f t="shared" si="7"/>
        <v>21.06</v>
      </c>
      <c r="C14">
        <f t="shared" si="8"/>
        <v>7.02</v>
      </c>
      <c r="D14" s="84">
        <f t="shared" si="9"/>
        <v>15.61737902463177</v>
      </c>
      <c r="E14" s="201">
        <f t="shared" si="18"/>
        <v>7.9196811042360791</v>
      </c>
      <c r="F14" s="201">
        <f t="shared" si="19"/>
        <v>1.8615251727541955</v>
      </c>
      <c r="G14" s="71">
        <f t="shared" si="20"/>
        <v>20.205512122711529</v>
      </c>
      <c r="H14" s="71">
        <f t="shared" si="21"/>
        <v>0</v>
      </c>
      <c r="J14" s="88">
        <f t="shared" si="10"/>
        <v>368.87196573060447</v>
      </c>
      <c r="K14" s="88">
        <f t="shared" si="3"/>
        <v>207.30503455083908</v>
      </c>
      <c r="L14" s="88">
        <f t="shared" si="11"/>
        <v>207.30503455083908</v>
      </c>
      <c r="M14" s="88">
        <f t="shared" si="5"/>
        <v>77.5</v>
      </c>
      <c r="N14" s="88">
        <f t="shared" si="6"/>
        <v>22.036525172754196</v>
      </c>
      <c r="O14" s="87" t="str">
        <f t="shared" si="22"/>
        <v>Q1-27</v>
      </c>
      <c r="P14" s="69">
        <f t="shared" si="23"/>
        <v>53331.132555925753</v>
      </c>
      <c r="Q14" s="84">
        <f t="shared" si="12"/>
        <v>7.6187332222751078E-2</v>
      </c>
      <c r="R14" s="84">
        <f t="shared" si="13"/>
        <v>0</v>
      </c>
      <c r="S14" s="84">
        <f t="shared" si="14"/>
        <v>0</v>
      </c>
      <c r="T14">
        <f t="shared" si="24"/>
        <v>7.808689512315885</v>
      </c>
      <c r="V14">
        <f t="shared" si="15"/>
        <v>7.808689512315885</v>
      </c>
      <c r="W14" t="e">
        <f t="shared" si="16"/>
        <v>#REF!</v>
      </c>
      <c r="X14" s="69">
        <f t="shared" si="25"/>
        <v>40411024.245423056</v>
      </c>
      <c r="Y14" s="84">
        <f t="shared" si="17"/>
        <v>20.205512122711529</v>
      </c>
    </row>
    <row r="15" spans="1:28" ht="21.75" customHeight="1" x14ac:dyDescent="0.35">
      <c r="A15" s="87" t="str">
        <f t="shared" si="27"/>
        <v>Q2-27</v>
      </c>
      <c r="B15">
        <f t="shared" si="7"/>
        <v>13.5</v>
      </c>
      <c r="C15">
        <f t="shared" si="8"/>
        <v>4.8600000000000003</v>
      </c>
      <c r="D15" s="84">
        <f t="shared" si="9"/>
        <v>12.202744878290307</v>
      </c>
      <c r="E15" s="201">
        <f t="shared" si="18"/>
        <v>6.4379343169919085</v>
      </c>
      <c r="F15" s="201">
        <f t="shared" si="19"/>
        <v>1.5069489493724439</v>
      </c>
      <c r="G15" s="71">
        <f t="shared" si="20"/>
        <v>12.952251360712518</v>
      </c>
      <c r="H15" s="71">
        <f t="shared" si="21"/>
        <v>0</v>
      </c>
      <c r="J15" s="88">
        <f t="shared" si="10"/>
        <v>299.85721085197525</v>
      </c>
      <c r="K15" s="88">
        <f t="shared" si="3"/>
        <v>167.81836130306021</v>
      </c>
      <c r="L15" s="88">
        <f t="shared" si="11"/>
        <v>167.81836130306021</v>
      </c>
      <c r="M15" s="88">
        <f t="shared" si="5"/>
        <v>63</v>
      </c>
      <c r="N15" s="88">
        <f t="shared" si="6"/>
        <v>17.839091806515302</v>
      </c>
      <c r="O15" s="87" t="s">
        <v>225</v>
      </c>
      <c r="P15" s="69">
        <f t="shared" si="23"/>
        <v>43353.049690623513</v>
      </c>
      <c r="Q15" s="69">
        <f>Q14</f>
        <v>7.6187332222751078E-2</v>
      </c>
      <c r="R15" s="84">
        <f t="shared" si="13"/>
        <v>0</v>
      </c>
      <c r="S15" s="84">
        <f t="shared" si="14"/>
        <v>0</v>
      </c>
      <c r="T15" s="69">
        <f>T14</f>
        <v>7.808689512315885</v>
      </c>
      <c r="U15" s="69">
        <f>U14</f>
        <v>0</v>
      </c>
      <c r="V15">
        <f t="shared" si="15"/>
        <v>7.808689512315885</v>
      </c>
      <c r="W15" t="e">
        <f t="shared" si="16"/>
        <v>#REF!</v>
      </c>
      <c r="X15" s="69">
        <f t="shared" si="25"/>
        <v>25904502.721425038</v>
      </c>
      <c r="Y15" s="84">
        <f t="shared" si="17"/>
        <v>12.952251360712518</v>
      </c>
    </row>
    <row r="16" spans="1:28" ht="48" customHeight="1" x14ac:dyDescent="0.35">
      <c r="A16" s="87" t="str">
        <f t="shared" si="27"/>
        <v>Q3-27</v>
      </c>
      <c r="B16">
        <f t="shared" si="7"/>
        <v>7.29</v>
      </c>
      <c r="C16">
        <f t="shared" si="8"/>
        <v>3.7124999999999999</v>
      </c>
      <c r="D16" s="84">
        <f t="shared" si="9"/>
        <v>10.373476585607381</v>
      </c>
      <c r="E16" s="201">
        <f t="shared" si="18"/>
        <v>5.3649452641599238</v>
      </c>
      <c r="F16" s="201">
        <f t="shared" si="19"/>
        <v>1.4183048935270059</v>
      </c>
      <c r="G16" s="71">
        <f t="shared" si="20"/>
        <v>6.9942157347847598</v>
      </c>
      <c r="H16" s="71">
        <f t="shared" si="21"/>
        <v>0</v>
      </c>
      <c r="J16" s="88">
        <f t="shared" si="10"/>
        <v>249.8810090433127</v>
      </c>
      <c r="K16" s="88">
        <f t="shared" si="3"/>
        <v>157.9466929911155</v>
      </c>
      <c r="L16" s="88">
        <f t="shared" si="11"/>
        <v>157.9466929911155</v>
      </c>
      <c r="M16" s="88">
        <f t="shared" si="5"/>
        <v>52.5</v>
      </c>
      <c r="N16" s="88">
        <f t="shared" si="6"/>
        <v>16.789733464955578</v>
      </c>
      <c r="O16" s="87"/>
      <c r="P16" s="69"/>
      <c r="Q16" s="84"/>
      <c r="R16" s="84">
        <f t="shared" si="13"/>
        <v>0</v>
      </c>
      <c r="S16" s="84">
        <f t="shared" si="14"/>
        <v>0</v>
      </c>
      <c r="X16" s="69">
        <f t="shared" si="25"/>
        <v>13988431.469569519</v>
      </c>
      <c r="Y16" s="84">
        <f t="shared" ref="Y16:Y22" si="28">X16/$U$2</f>
        <v>6.9942157347847598</v>
      </c>
    </row>
    <row r="17" spans="1:46" x14ac:dyDescent="0.35">
      <c r="A17" s="87" t="str">
        <f t="shared" si="27"/>
        <v>Q4-27</v>
      </c>
      <c r="B17">
        <f t="shared" si="7"/>
        <v>5.4</v>
      </c>
      <c r="C17">
        <f t="shared" si="8"/>
        <v>3.9824999999999999</v>
      </c>
      <c r="D17" s="84">
        <f t="shared" si="9"/>
        <v>11.349086341704943</v>
      </c>
      <c r="E17" s="201">
        <f t="shared" si="18"/>
        <v>5.5182294145644928</v>
      </c>
      <c r="F17" s="201">
        <f t="shared" si="19"/>
        <v>1.5955930052178817</v>
      </c>
      <c r="G17" s="71">
        <f t="shared" si="20"/>
        <v>5.1809005442850076</v>
      </c>
      <c r="H17" s="71">
        <f t="shared" si="21"/>
        <v>0</v>
      </c>
      <c r="J17" s="88">
        <f t="shared" si="10"/>
        <v>257.02046644455021</v>
      </c>
      <c r="K17" s="88">
        <f t="shared" si="3"/>
        <v>177.69002961500493</v>
      </c>
      <c r="L17" s="88">
        <f t="shared" si="11"/>
        <v>177.69002961500493</v>
      </c>
      <c r="M17" s="88">
        <f t="shared" si="5"/>
        <v>54</v>
      </c>
      <c r="N17" s="88">
        <f t="shared" si="6"/>
        <v>18.888450148075027</v>
      </c>
      <c r="O17" s="87"/>
      <c r="P17" s="69"/>
      <c r="Q17" s="84"/>
      <c r="R17" s="84">
        <f t="shared" si="13"/>
        <v>0</v>
      </c>
      <c r="S17" s="84">
        <f t="shared" si="14"/>
        <v>0</v>
      </c>
      <c r="X17" s="69">
        <f t="shared" si="25"/>
        <v>10361801.088570016</v>
      </c>
      <c r="Y17" s="84">
        <f t="shared" si="28"/>
        <v>5.1809005442850076</v>
      </c>
    </row>
    <row r="18" spans="1:46" x14ac:dyDescent="0.35">
      <c r="A18" s="87" t="str">
        <f t="shared" si="27"/>
        <v>Q1-28</v>
      </c>
      <c r="B18">
        <f t="shared" si="7"/>
        <v>4.0365000000000002</v>
      </c>
      <c r="C18">
        <f t="shared" si="8"/>
        <v>3.5437500000000002</v>
      </c>
      <c r="D18" s="84">
        <f t="shared" si="9"/>
        <v>11.592988780729332</v>
      </c>
      <c r="E18" s="201">
        <f t="shared" si="18"/>
        <v>4.547429795335554</v>
      </c>
      <c r="F18" s="201">
        <f t="shared" si="19"/>
        <v>1.4626269214497249</v>
      </c>
      <c r="G18" s="71">
        <f t="shared" si="20"/>
        <v>3.8727231568530431</v>
      </c>
      <c r="J18" s="88">
        <f t="shared" si="10"/>
        <v>211.80390290337934</v>
      </c>
      <c r="K18" s="88">
        <f t="shared" si="3"/>
        <v>162.88252714708787</v>
      </c>
      <c r="L18" s="88">
        <f t="shared" si="11"/>
        <v>162.88252714708784</v>
      </c>
      <c r="M18" s="88">
        <f t="shared" si="5"/>
        <v>44.5</v>
      </c>
      <c r="N18" s="88">
        <f t="shared" si="6"/>
        <v>17.31441263573544</v>
      </c>
      <c r="O18" s="87"/>
      <c r="P18" s="69"/>
      <c r="Q18" s="84"/>
      <c r="R18" s="84"/>
      <c r="S18" s="84"/>
      <c r="X18" s="69">
        <f t="shared" si="25"/>
        <v>7745446.313706086</v>
      </c>
      <c r="Y18" s="84">
        <f t="shared" si="28"/>
        <v>3.8727231568530431</v>
      </c>
    </row>
    <row r="19" spans="1:46" x14ac:dyDescent="0.35">
      <c r="A19" s="87" t="str">
        <f t="shared" si="27"/>
        <v>Q2-28</v>
      </c>
      <c r="B19">
        <f t="shared" si="7"/>
        <v>3.7665000000000002</v>
      </c>
      <c r="C19">
        <f t="shared" si="8"/>
        <v>3.2737500000000002</v>
      </c>
      <c r="D19" s="84">
        <f t="shared" si="9"/>
        <v>10.617379024631772</v>
      </c>
      <c r="E19" s="201">
        <f t="shared" si="18"/>
        <v>4.3430509281294611</v>
      </c>
      <c r="F19" s="201">
        <f t="shared" si="19"/>
        <v>1.2853388097588492</v>
      </c>
      <c r="G19" s="71">
        <f t="shared" si="20"/>
        <v>3.6136781296387928</v>
      </c>
      <c r="J19" s="88">
        <f t="shared" si="10"/>
        <v>202.28462636839598</v>
      </c>
      <c r="K19" s="88">
        <f t="shared" si="3"/>
        <v>143.13919052319841</v>
      </c>
      <c r="L19" s="88">
        <f t="shared" si="11"/>
        <v>143.13919052319841</v>
      </c>
      <c r="M19" s="88">
        <f t="shared" si="5"/>
        <v>42.5</v>
      </c>
      <c r="N19" s="88">
        <f t="shared" si="6"/>
        <v>15.215695952615993</v>
      </c>
      <c r="O19" s="87"/>
      <c r="P19" s="69"/>
      <c r="Q19" s="84"/>
      <c r="R19" s="84"/>
      <c r="S19" s="84"/>
      <c r="X19" s="69">
        <f t="shared" si="25"/>
        <v>7227356.2592775859</v>
      </c>
      <c r="Y19" s="84">
        <f t="shared" si="28"/>
        <v>3.6136781296387928</v>
      </c>
    </row>
    <row r="20" spans="1:46" ht="18" customHeight="1" x14ac:dyDescent="0.35">
      <c r="A20" s="208" t="str">
        <f>B46</f>
        <v>Cal-27</v>
      </c>
      <c r="B20">
        <f t="shared" si="7"/>
        <v>26.294473125</v>
      </c>
      <c r="C20">
        <f t="shared" si="8"/>
        <v>12.828172499999999</v>
      </c>
      <c r="D20" s="84">
        <f t="shared" si="9"/>
        <v>21.471037561217138</v>
      </c>
      <c r="E20" s="201">
        <f t="shared" si="18"/>
        <v>6.3101975249880988</v>
      </c>
      <c r="F20" s="201">
        <f t="shared" si="19"/>
        <v>1.5955930052178815</v>
      </c>
      <c r="G20" s="71">
        <f t="shared" si="20"/>
        <v>11.333219940623453</v>
      </c>
      <c r="J20" s="88">
        <f t="shared" si="10"/>
        <v>293.90766301761062</v>
      </c>
      <c r="K20" s="88">
        <f t="shared" si="3"/>
        <v>177.6900296150049</v>
      </c>
      <c r="L20" s="88">
        <f t="shared" si="11"/>
        <v>325</v>
      </c>
      <c r="M20" s="88">
        <f t="shared" si="5"/>
        <v>61.75</v>
      </c>
      <c r="N20" s="88">
        <f t="shared" si="6"/>
        <v>18.888450148075023</v>
      </c>
      <c r="O20" s="87"/>
      <c r="P20" s="69"/>
      <c r="Q20" s="84"/>
      <c r="R20" s="84"/>
      <c r="S20" s="84"/>
      <c r="X20" s="69">
        <f>$P$2*(C46/100 )*$Q$2</f>
        <v>22666439.881246906</v>
      </c>
      <c r="Y20" s="84">
        <f t="shared" si="28"/>
        <v>11.333219940623453</v>
      </c>
    </row>
    <row r="21" spans="1:46" x14ac:dyDescent="0.35">
      <c r="A21" s="208" t="str">
        <f>B47</f>
        <v>Cal-28</v>
      </c>
      <c r="B21">
        <f t="shared" si="7"/>
        <v>11.8125</v>
      </c>
      <c r="C21">
        <f t="shared" si="8"/>
        <v>4.8937499999999998</v>
      </c>
      <c r="D21" s="84">
        <f t="shared" si="9"/>
        <v>12.3856717075586</v>
      </c>
      <c r="E21" s="201">
        <f t="shared" si="18"/>
        <v>4.3430509281294611</v>
      </c>
      <c r="F21" s="201">
        <f t="shared" si="19"/>
        <v>1.2853388097588492</v>
      </c>
      <c r="G21" s="71">
        <f t="shared" si="20"/>
        <v>3.6136781296387928</v>
      </c>
      <c r="J21" s="88">
        <f t="shared" si="10"/>
        <v>202.28462636839598</v>
      </c>
      <c r="K21" s="88">
        <f t="shared" si="3"/>
        <v>143.13919052319841</v>
      </c>
      <c r="L21" s="88">
        <f t="shared" si="11"/>
        <v>177.69002961500493</v>
      </c>
      <c r="M21" s="88">
        <f t="shared" si="5"/>
        <v>42.5</v>
      </c>
      <c r="N21" s="88">
        <f t="shared" si="6"/>
        <v>15.215695952615993</v>
      </c>
      <c r="O21" s="87"/>
      <c r="P21" s="69"/>
      <c r="Q21" s="84"/>
      <c r="R21" s="84"/>
      <c r="S21" s="84"/>
      <c r="X21" s="69">
        <f t="shared" ref="X21:X22" si="29">$P$2*(C47/100 )*$Q$2</f>
        <v>7227356.2592775859</v>
      </c>
      <c r="Y21" s="84">
        <f t="shared" si="28"/>
        <v>3.6136781296387928</v>
      </c>
    </row>
    <row r="22" spans="1:46" x14ac:dyDescent="0.35">
      <c r="A22" s="208" t="str">
        <f>B48</f>
        <v>Cal-29</v>
      </c>
      <c r="B22">
        <f t="shared" si="7"/>
        <v>3.7665000000000002</v>
      </c>
      <c r="C22">
        <f t="shared" si="8"/>
        <v>3.2737500000000002</v>
      </c>
      <c r="D22" s="84">
        <f t="shared" si="9"/>
        <v>10.617379024631772</v>
      </c>
      <c r="E22" s="201">
        <f t="shared" si="18"/>
        <v>3.4744407425035693</v>
      </c>
      <c r="F22" s="201">
        <f t="shared" si="19"/>
        <v>1.2642201765106298</v>
      </c>
      <c r="G22" s="71">
        <f t="shared" si="20"/>
        <v>2.5904502721425038</v>
      </c>
      <c r="J22" s="88">
        <f t="shared" si="10"/>
        <v>161.82770109471679</v>
      </c>
      <c r="K22" s="88">
        <f t="shared" si="3"/>
        <v>140.78735609234235</v>
      </c>
      <c r="L22" s="88">
        <f t="shared" si="11"/>
        <v>143.13919052319841</v>
      </c>
      <c r="M22" s="88">
        <f t="shared" si="5"/>
        <v>34</v>
      </c>
      <c r="N22" s="88">
        <f t="shared" si="6"/>
        <v>14.965695952615993</v>
      </c>
      <c r="O22" s="87"/>
      <c r="P22" s="69"/>
      <c r="Q22" s="84"/>
      <c r="R22" s="84"/>
      <c r="S22" s="84"/>
      <c r="X22" s="69">
        <f t="shared" si="29"/>
        <v>5180900.5442850078</v>
      </c>
      <c r="Y22" s="84">
        <f t="shared" si="28"/>
        <v>2.5904502721425038</v>
      </c>
    </row>
    <row r="23" spans="1:46" x14ac:dyDescent="0.35">
      <c r="M23" s="208"/>
      <c r="N23" s="208"/>
      <c r="O23" s="208"/>
      <c r="P23" s="208"/>
      <c r="Q23" s="208"/>
    </row>
    <row r="24" spans="1:46" x14ac:dyDescent="0.35"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AP24">
        <v>150</v>
      </c>
      <c r="AQ24">
        <f>AP24/AR24</f>
        <v>31.633441508267651</v>
      </c>
      <c r="AR24">
        <v>4.7418172936003913</v>
      </c>
      <c r="AT24" t="e">
        <f>AR33/AS33</f>
        <v>#DIV/0!</v>
      </c>
    </row>
    <row r="25" spans="1:46" x14ac:dyDescent="0.35"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</row>
    <row r="26" spans="1:46" x14ac:dyDescent="0.35">
      <c r="H26">
        <f>F33*G47/80</f>
        <v>683.58283896622424</v>
      </c>
      <c r="Z26">
        <f>Z30/Z54</f>
        <v>1</v>
      </c>
      <c r="AS26" t="e">
        <f>AR35/AS35</f>
        <v>#DIV/0!</v>
      </c>
    </row>
    <row r="27" spans="1:46" ht="15" thickBot="1" x14ac:dyDescent="0.4">
      <c r="Z27">
        <f>Z31/Z55</f>
        <v>1</v>
      </c>
    </row>
    <row r="28" spans="1:46" ht="15" thickBot="1" x14ac:dyDescent="0.4">
      <c r="B28" s="640">
        <v>46296</v>
      </c>
      <c r="C28" s="641" t="s">
        <v>226</v>
      </c>
      <c r="D28" s="641" t="s">
        <v>227</v>
      </c>
      <c r="E28" s="641" t="s">
        <v>228</v>
      </c>
      <c r="F28" s="641" t="s">
        <v>229</v>
      </c>
      <c r="G28" s="641" t="s">
        <v>230</v>
      </c>
      <c r="H28" s="641" t="s">
        <v>231</v>
      </c>
      <c r="I28" s="641" t="s">
        <v>232</v>
      </c>
      <c r="J28" s="641" t="s">
        <v>233</v>
      </c>
      <c r="K28" s="641" t="s">
        <v>234</v>
      </c>
      <c r="L28" s="641" t="s">
        <v>235</v>
      </c>
      <c r="M28" s="641" t="s">
        <v>236</v>
      </c>
      <c r="N28" s="641" t="s">
        <v>237</v>
      </c>
      <c r="O28" s="641" t="s">
        <v>238</v>
      </c>
      <c r="P28" s="642" t="s">
        <v>239</v>
      </c>
      <c r="Q28" s="643" t="s">
        <v>240</v>
      </c>
      <c r="R28" s="644" t="s">
        <v>241</v>
      </c>
      <c r="S28" s="643" t="s">
        <v>199</v>
      </c>
      <c r="T28" s="641" t="s">
        <v>242</v>
      </c>
      <c r="U28" s="641" t="s">
        <v>243</v>
      </c>
      <c r="V28" s="641" t="s">
        <v>421</v>
      </c>
      <c r="W28" s="641" t="s">
        <v>244</v>
      </c>
      <c r="X28" s="641" t="s">
        <v>245</v>
      </c>
      <c r="Y28" s="641" t="s">
        <v>246</v>
      </c>
      <c r="Z28" s="641" t="s">
        <v>247</v>
      </c>
      <c r="AA28" s="641" t="s">
        <v>248</v>
      </c>
      <c r="AB28" s="641" t="s">
        <v>249</v>
      </c>
      <c r="AC28" s="641" t="s">
        <v>250</v>
      </c>
      <c r="AD28" s="641" t="s">
        <v>373</v>
      </c>
      <c r="AE28" s="641" t="s">
        <v>476</v>
      </c>
    </row>
    <row r="29" spans="1:46" ht="15" thickBot="1" x14ac:dyDescent="0.4">
      <c r="A29" s="86" t="str">
        <f>B29</f>
        <v>Balmo</v>
      </c>
      <c r="B29" s="645" t="s">
        <v>101</v>
      </c>
      <c r="C29" s="646">
        <v>1171.1904761904761</v>
      </c>
      <c r="D29" s="647">
        <v>696.0319047619048</v>
      </c>
      <c r="E29" s="647">
        <v>399.4842857142857</v>
      </c>
      <c r="F29" s="647">
        <v>843.13476190476194</v>
      </c>
      <c r="G29" s="647">
        <v>262.5266666666667</v>
      </c>
      <c r="H29" s="647" t="e">
        <v>#DIV/0!</v>
      </c>
      <c r="I29" s="647">
        <v>376.50809523809522</v>
      </c>
      <c r="J29" s="647">
        <v>258.83904761904762</v>
      </c>
      <c r="K29" s="647">
        <v>379.25190476190477</v>
      </c>
      <c r="L29" s="647">
        <v>287.44904761904763</v>
      </c>
      <c r="M29" s="647">
        <v>5.89</v>
      </c>
      <c r="N29" s="647">
        <v>274.04761904761904</v>
      </c>
      <c r="O29" s="647">
        <v>407.27904761904767</v>
      </c>
      <c r="P29" s="648" t="s">
        <v>101</v>
      </c>
      <c r="Q29" s="646">
        <v>236.60952380952381</v>
      </c>
      <c r="R29" s="649">
        <v>330.38776190476193</v>
      </c>
      <c r="S29" s="646">
        <v>48.869576714285714</v>
      </c>
      <c r="T29" s="647" t="e">
        <v>#DIV/0!</v>
      </c>
      <c r="U29" s="647" t="e">
        <v>#DIV/0!</v>
      </c>
      <c r="V29" s="647">
        <v>782.88952380952401</v>
      </c>
      <c r="W29" s="647">
        <v>44.748285714285714</v>
      </c>
      <c r="X29" s="647">
        <v>15.413988095238095</v>
      </c>
      <c r="Y29" s="647">
        <v>244.76190476190476</v>
      </c>
      <c r="Z29" s="647">
        <v>159.4047619047619</v>
      </c>
      <c r="AA29" s="647" t="e">
        <v>#DIV/0!</v>
      </c>
      <c r="AB29" s="647">
        <v>878.87761904761908</v>
      </c>
      <c r="AC29" s="647">
        <v>4.8511904761904754</v>
      </c>
      <c r="AD29" s="647">
        <v>499.09238095238095</v>
      </c>
      <c r="AE29" s="647">
        <v>676.12238095238092</v>
      </c>
    </row>
    <row r="30" spans="1:46" x14ac:dyDescent="0.35">
      <c r="A30" s="86">
        <f>EOMONTH(B30,0)</f>
        <v>46326</v>
      </c>
      <c r="B30" s="650">
        <v>46296</v>
      </c>
      <c r="C30" s="651">
        <v>1170</v>
      </c>
      <c r="D30" s="652">
        <v>697.5</v>
      </c>
      <c r="E30" s="652">
        <v>400</v>
      </c>
      <c r="F30" s="652">
        <v>850</v>
      </c>
      <c r="G30" s="652">
        <v>260</v>
      </c>
      <c r="H30" s="652">
        <v>880</v>
      </c>
      <c r="I30" s="652">
        <v>375</v>
      </c>
      <c r="J30" s="652">
        <v>270</v>
      </c>
      <c r="K30" s="652">
        <v>380</v>
      </c>
      <c r="L30" s="652">
        <v>300</v>
      </c>
      <c r="M30" s="652">
        <v>6</v>
      </c>
      <c r="N30" s="652">
        <v>290</v>
      </c>
      <c r="O30" s="652">
        <v>410</v>
      </c>
      <c r="P30" s="650">
        <v>46296</v>
      </c>
      <c r="Q30" s="651">
        <v>237</v>
      </c>
      <c r="R30" s="653">
        <v>330</v>
      </c>
      <c r="S30" s="651">
        <v>49</v>
      </c>
      <c r="T30" s="652">
        <v>780.46</v>
      </c>
      <c r="U30" s="652">
        <v>795</v>
      </c>
      <c r="V30" s="652">
        <v>795</v>
      </c>
      <c r="W30" s="652">
        <v>45</v>
      </c>
      <c r="X30" s="652">
        <v>15.5</v>
      </c>
      <c r="Y30" s="652">
        <v>250</v>
      </c>
      <c r="Z30" s="652">
        <v>160</v>
      </c>
      <c r="AA30" s="652">
        <v>400</v>
      </c>
      <c r="AB30" s="652">
        <v>880</v>
      </c>
      <c r="AC30" s="652">
        <v>5</v>
      </c>
      <c r="AD30" s="652">
        <v>500</v>
      </c>
      <c r="AE30" s="652">
        <v>680</v>
      </c>
    </row>
    <row r="31" spans="1:46" x14ac:dyDescent="0.35">
      <c r="A31" s="86">
        <f t="shared" ref="A31:A37" si="30">EOMONTH(B31,0)</f>
        <v>46356</v>
      </c>
      <c r="B31" s="654">
        <v>46327</v>
      </c>
      <c r="C31" s="655">
        <v>1040</v>
      </c>
      <c r="D31" s="656">
        <v>600</v>
      </c>
      <c r="E31" s="656">
        <v>350</v>
      </c>
      <c r="F31" s="656">
        <v>775</v>
      </c>
      <c r="G31" s="656">
        <v>266</v>
      </c>
      <c r="H31" s="656">
        <v>812.5</v>
      </c>
      <c r="I31" s="656">
        <v>395</v>
      </c>
      <c r="J31" s="656">
        <v>250</v>
      </c>
      <c r="K31" s="656">
        <v>365</v>
      </c>
      <c r="L31" s="656">
        <v>265</v>
      </c>
      <c r="M31" s="656">
        <v>5.2</v>
      </c>
      <c r="N31" s="656">
        <v>245</v>
      </c>
      <c r="O31" s="656">
        <v>395</v>
      </c>
      <c r="P31" s="654">
        <v>46327</v>
      </c>
      <c r="Q31" s="655">
        <v>225</v>
      </c>
      <c r="R31" s="657">
        <v>307</v>
      </c>
      <c r="S31" s="655">
        <v>43.5</v>
      </c>
      <c r="T31" s="656">
        <v>735.46</v>
      </c>
      <c r="U31" s="656">
        <v>750</v>
      </c>
      <c r="V31" s="656">
        <v>750</v>
      </c>
      <c r="W31" s="656">
        <v>40</v>
      </c>
      <c r="X31" s="656">
        <v>12.5</v>
      </c>
      <c r="Y31" s="656">
        <v>200</v>
      </c>
      <c r="Z31" s="656">
        <v>155</v>
      </c>
      <c r="AA31" s="656">
        <v>350</v>
      </c>
      <c r="AB31" s="656">
        <v>840</v>
      </c>
      <c r="AC31" s="656">
        <v>4.5</v>
      </c>
      <c r="AD31" s="656">
        <v>470</v>
      </c>
      <c r="AE31" s="656">
        <v>635</v>
      </c>
    </row>
    <row r="32" spans="1:46" x14ac:dyDescent="0.35">
      <c r="A32" s="86">
        <f t="shared" si="30"/>
        <v>46387</v>
      </c>
      <c r="B32" s="654">
        <v>46357</v>
      </c>
      <c r="C32" s="655">
        <v>887.5</v>
      </c>
      <c r="D32" s="656">
        <v>472.5</v>
      </c>
      <c r="E32" s="656">
        <v>300</v>
      </c>
      <c r="F32" s="656">
        <v>700</v>
      </c>
      <c r="G32" s="656">
        <v>263</v>
      </c>
      <c r="H32" s="656">
        <v>735</v>
      </c>
      <c r="I32" s="656">
        <v>420</v>
      </c>
      <c r="J32" s="656">
        <v>230</v>
      </c>
      <c r="K32" s="656">
        <v>350</v>
      </c>
      <c r="L32" s="656">
        <v>215</v>
      </c>
      <c r="M32" s="656">
        <v>4</v>
      </c>
      <c r="N32" s="656">
        <v>200</v>
      </c>
      <c r="O32" s="656">
        <v>380</v>
      </c>
      <c r="P32" s="654">
        <v>46357</v>
      </c>
      <c r="Q32" s="655">
        <v>210</v>
      </c>
      <c r="R32" s="657">
        <v>293</v>
      </c>
      <c r="S32" s="655">
        <v>39.5</v>
      </c>
      <c r="T32" s="656">
        <v>575.46</v>
      </c>
      <c r="U32" s="656">
        <v>590</v>
      </c>
      <c r="V32" s="656">
        <v>590</v>
      </c>
      <c r="W32" s="656">
        <v>30</v>
      </c>
      <c r="X32" s="656">
        <v>9.5</v>
      </c>
      <c r="Y32" s="656">
        <v>165</v>
      </c>
      <c r="Z32" s="656">
        <v>150</v>
      </c>
      <c r="AA32" s="656">
        <v>300</v>
      </c>
      <c r="AB32" s="656">
        <v>810</v>
      </c>
      <c r="AC32" s="656">
        <v>4</v>
      </c>
      <c r="AD32" s="656">
        <v>440</v>
      </c>
      <c r="AE32" s="656">
        <v>550</v>
      </c>
    </row>
    <row r="33" spans="1:31" x14ac:dyDescent="0.35">
      <c r="A33" s="86">
        <f t="shared" si="30"/>
        <v>46418</v>
      </c>
      <c r="B33" s="654">
        <v>46388</v>
      </c>
      <c r="C33" s="655">
        <v>898.07026224641265</v>
      </c>
      <c r="D33" s="656">
        <v>318.84875846501131</v>
      </c>
      <c r="E33" s="656">
        <v>212.24086870681143</v>
      </c>
      <c r="F33" s="656">
        <v>464.61758398856324</v>
      </c>
      <c r="G33" s="656">
        <v>210.29504080351538</v>
      </c>
      <c r="H33" s="656">
        <v>652.17391304347825</v>
      </c>
      <c r="I33" s="656">
        <v>314.86146095717885</v>
      </c>
      <c r="J33" s="656">
        <v>180.0794833581719</v>
      </c>
      <c r="K33" s="656">
        <v>275.06654835847382</v>
      </c>
      <c r="L33" s="656">
        <v>196.64545980335456</v>
      </c>
      <c r="M33" s="656">
        <v>2.88</v>
      </c>
      <c r="N33" s="656">
        <v>157.80730897009968</v>
      </c>
      <c r="O33" s="656">
        <v>326.51072124756337</v>
      </c>
      <c r="P33" s="654">
        <v>46388</v>
      </c>
      <c r="Q33" s="655">
        <v>185</v>
      </c>
      <c r="R33" s="657">
        <v>225</v>
      </c>
      <c r="S33" s="655">
        <v>35.5</v>
      </c>
      <c r="T33" s="656">
        <v>368.30080913850543</v>
      </c>
      <c r="U33" s="656">
        <v>383.15088053307943</v>
      </c>
      <c r="V33" s="656">
        <v>360.96879366557988</v>
      </c>
      <c r="W33" s="656">
        <v>25</v>
      </c>
      <c r="X33" s="656">
        <v>8</v>
      </c>
      <c r="Y33" s="656">
        <v>141.61073825503357</v>
      </c>
      <c r="Z33" s="656">
        <v>125</v>
      </c>
      <c r="AA33" s="656">
        <v>212.24086870681145</v>
      </c>
      <c r="AB33" s="656">
        <v>685.92057761732849</v>
      </c>
      <c r="AC33" s="656">
        <v>2.6</v>
      </c>
      <c r="AD33" s="656">
        <v>423.4724742891712</v>
      </c>
      <c r="AE33" s="656">
        <v>562.39957150508837</v>
      </c>
    </row>
    <row r="34" spans="1:31" x14ac:dyDescent="0.35">
      <c r="A34" s="86">
        <f t="shared" si="30"/>
        <v>46446</v>
      </c>
      <c r="B34" s="654">
        <v>46419</v>
      </c>
      <c r="C34" s="655">
        <v>749.62889658584857</v>
      </c>
      <c r="D34" s="656">
        <v>293.45372460496617</v>
      </c>
      <c r="E34" s="656">
        <v>207.30503455083908</v>
      </c>
      <c r="F34" s="656">
        <v>428.87776983559684</v>
      </c>
      <c r="G34" s="656">
        <v>204.01757689893284</v>
      </c>
      <c r="H34" s="656">
        <v>643.30079858030172</v>
      </c>
      <c r="I34" s="656">
        <v>314.86146095717885</v>
      </c>
      <c r="J34" s="656">
        <v>175.11177347242921</v>
      </c>
      <c r="K34" s="656">
        <v>270.62999112688556</v>
      </c>
      <c r="L34" s="656">
        <v>193.75361480624639</v>
      </c>
      <c r="M34" s="656">
        <v>2.88</v>
      </c>
      <c r="N34" s="656">
        <v>149.50166112956811</v>
      </c>
      <c r="O34" s="656">
        <v>326.51072124756337</v>
      </c>
      <c r="P34" s="654">
        <v>46419</v>
      </c>
      <c r="Q34" s="655">
        <v>162</v>
      </c>
      <c r="R34" s="657">
        <v>237</v>
      </c>
      <c r="S34" s="655">
        <v>33</v>
      </c>
      <c r="T34" s="656">
        <v>354.02189433603041</v>
      </c>
      <c r="U34" s="656">
        <v>368.87196573060447</v>
      </c>
      <c r="V34" s="656">
        <v>360.96879366557988</v>
      </c>
      <c r="W34" s="656">
        <v>23</v>
      </c>
      <c r="X34" s="656">
        <v>8</v>
      </c>
      <c r="Y34" s="656">
        <v>141.61073825503357</v>
      </c>
      <c r="Z34" s="656">
        <v>110</v>
      </c>
      <c r="AA34" s="656">
        <v>207.30503455083908</v>
      </c>
      <c r="AB34" s="656">
        <v>685.92057761732849</v>
      </c>
      <c r="AC34" s="656">
        <v>2.6</v>
      </c>
      <c r="AD34" s="656">
        <v>393.22444041137322</v>
      </c>
      <c r="AE34" s="656">
        <v>508.83770755222275</v>
      </c>
    </row>
    <row r="35" spans="1:31" x14ac:dyDescent="0.35">
      <c r="A35" s="86">
        <f t="shared" si="30"/>
        <v>46477</v>
      </c>
      <c r="B35" s="654">
        <v>46447</v>
      </c>
      <c r="C35" s="655">
        <v>667.98614547253828</v>
      </c>
      <c r="D35" s="656">
        <v>268.05869074492102</v>
      </c>
      <c r="E35" s="656">
        <v>202.36920039486671</v>
      </c>
      <c r="F35" s="656">
        <v>393.13795568263043</v>
      </c>
      <c r="G35" s="656">
        <v>197.74011299435028</v>
      </c>
      <c r="H35" s="656">
        <v>634.42768411712518</v>
      </c>
      <c r="I35" s="656">
        <v>314.86146095717885</v>
      </c>
      <c r="J35" s="656">
        <v>170.14406358668654</v>
      </c>
      <c r="K35" s="656">
        <v>266.19343389529723</v>
      </c>
      <c r="L35" s="656">
        <v>190.86176980913825</v>
      </c>
      <c r="M35" s="656">
        <v>2.88</v>
      </c>
      <c r="N35" s="656">
        <v>141.19601328903656</v>
      </c>
      <c r="O35" s="656">
        <v>326.51072124756337</v>
      </c>
      <c r="P35" s="654">
        <v>46447</v>
      </c>
      <c r="Q35" s="655">
        <v>148</v>
      </c>
      <c r="R35" s="657">
        <v>216</v>
      </c>
      <c r="S35" s="655">
        <v>30.5</v>
      </c>
      <c r="T35" s="656">
        <v>339.7429795335554</v>
      </c>
      <c r="U35" s="656">
        <v>354.59305092812946</v>
      </c>
      <c r="V35" s="656">
        <v>360.96879366557988</v>
      </c>
      <c r="W35" s="656">
        <v>21</v>
      </c>
      <c r="X35" s="656">
        <v>8</v>
      </c>
      <c r="Y35" s="656">
        <v>141.61073825503357</v>
      </c>
      <c r="Z35" s="656">
        <v>100</v>
      </c>
      <c r="AA35" s="656">
        <v>202.36920039486674</v>
      </c>
      <c r="AB35" s="656">
        <v>685.92057761732849</v>
      </c>
      <c r="AC35" s="656">
        <v>2.6</v>
      </c>
      <c r="AD35" s="656">
        <v>362.9764065335753</v>
      </c>
      <c r="AE35" s="656">
        <v>455.27584359935719</v>
      </c>
    </row>
    <row r="36" spans="1:31" x14ac:dyDescent="0.35">
      <c r="A36" s="86">
        <f t="shared" si="30"/>
        <v>46507</v>
      </c>
      <c r="B36" s="654">
        <v>46478</v>
      </c>
      <c r="C36" s="655">
        <v>593.76546264225624</v>
      </c>
      <c r="D36" s="656">
        <v>225.73363431151242</v>
      </c>
      <c r="E36" s="656">
        <v>167.81836130306021</v>
      </c>
      <c r="F36" s="656">
        <v>285.91851322373122</v>
      </c>
      <c r="G36" s="656">
        <v>169.4915254237288</v>
      </c>
      <c r="H36" s="656">
        <v>399.29015084294588</v>
      </c>
      <c r="I36" s="656">
        <v>242.44332493702768</v>
      </c>
      <c r="J36" s="656">
        <v>167.6602086438152</v>
      </c>
      <c r="K36" s="656">
        <v>210.73646850044366</v>
      </c>
      <c r="L36" s="656">
        <v>190.86176980913825</v>
      </c>
      <c r="M36" s="656">
        <v>2.4</v>
      </c>
      <c r="N36" s="656">
        <v>124.58471760797343</v>
      </c>
      <c r="O36" s="656">
        <v>260.72124756335285</v>
      </c>
      <c r="P36" s="654">
        <v>46478</v>
      </c>
      <c r="Q36" s="655">
        <v>120</v>
      </c>
      <c r="R36" s="657">
        <v>188</v>
      </c>
      <c r="S36" s="655">
        <v>26</v>
      </c>
      <c r="T36" s="656">
        <v>285.00713945740119</v>
      </c>
      <c r="U36" s="656">
        <v>314.13612565445021</v>
      </c>
      <c r="V36" s="656">
        <v>293.43269678621334</v>
      </c>
      <c r="W36" s="656">
        <v>16</v>
      </c>
      <c r="X36" s="656">
        <v>6</v>
      </c>
      <c r="Y36" s="656">
        <v>121.47651006711411</v>
      </c>
      <c r="Z36" s="656">
        <v>95</v>
      </c>
      <c r="AA36" s="656">
        <v>167.81836130306021</v>
      </c>
      <c r="AB36" s="656">
        <v>446.75090252707582</v>
      </c>
      <c r="AC36" s="656">
        <v>2.2999999999999998</v>
      </c>
      <c r="AD36" s="656">
        <v>332.72837265577738</v>
      </c>
      <c r="AE36" s="656">
        <v>401.71397964649168</v>
      </c>
    </row>
    <row r="37" spans="1:31" ht="15" thickBot="1" x14ac:dyDescent="0.4">
      <c r="A37" s="86">
        <f t="shared" si="30"/>
        <v>46538</v>
      </c>
      <c r="B37" s="658">
        <v>46508</v>
      </c>
      <c r="C37" s="655">
        <v>494.80455220188026</v>
      </c>
      <c r="D37" s="656">
        <v>203.1602708803612</v>
      </c>
      <c r="E37" s="656">
        <v>167.81836130306021</v>
      </c>
      <c r="F37" s="656">
        <v>285.91851322373122</v>
      </c>
      <c r="G37" s="656">
        <v>169.4915254237288</v>
      </c>
      <c r="H37" s="656">
        <v>399.29015084294588</v>
      </c>
      <c r="I37" s="656">
        <v>242.44332493702768</v>
      </c>
      <c r="J37" s="656">
        <v>167.6602086438152</v>
      </c>
      <c r="K37" s="656">
        <v>210.73646850044366</v>
      </c>
      <c r="L37" s="656">
        <v>190.86176980913825</v>
      </c>
      <c r="M37" s="656">
        <v>2.4</v>
      </c>
      <c r="N37" s="656">
        <v>124.58471760797343</v>
      </c>
      <c r="O37" s="656">
        <v>260.72124756335285</v>
      </c>
      <c r="P37" s="659">
        <v>46508</v>
      </c>
      <c r="Q37" s="655">
        <v>120</v>
      </c>
      <c r="R37" s="657">
        <v>188</v>
      </c>
      <c r="S37" s="655">
        <v>26</v>
      </c>
      <c r="T37" s="656">
        <v>285.00713945740119</v>
      </c>
      <c r="U37" s="656">
        <v>299.85721085197525</v>
      </c>
      <c r="V37" s="656">
        <v>293.43269678621334</v>
      </c>
      <c r="W37" s="656">
        <v>16</v>
      </c>
      <c r="X37" s="656">
        <v>6</v>
      </c>
      <c r="Y37" s="656">
        <v>121.47651006711411</v>
      </c>
      <c r="Z37" s="656">
        <v>95</v>
      </c>
      <c r="AA37" s="656">
        <v>167.81836130306021</v>
      </c>
      <c r="AB37" s="656">
        <v>446.75090252707582</v>
      </c>
      <c r="AC37" s="656">
        <v>2.2999999999999998</v>
      </c>
      <c r="AD37" s="656">
        <v>287.35632183908046</v>
      </c>
      <c r="AE37" s="656">
        <v>348.15211569362611</v>
      </c>
    </row>
    <row r="38" spans="1:31" x14ac:dyDescent="0.35">
      <c r="A38" s="86" t="str">
        <f t="shared" ref="A38:A48" si="31">B38</f>
        <v>Q4-26</v>
      </c>
      <c r="B38" s="660" t="s">
        <v>251</v>
      </c>
      <c r="C38" s="651">
        <v>1032.5</v>
      </c>
      <c r="D38" s="652">
        <v>590</v>
      </c>
      <c r="E38" s="652">
        <v>350</v>
      </c>
      <c r="F38" s="652">
        <v>775</v>
      </c>
      <c r="G38" s="652">
        <v>263</v>
      </c>
      <c r="H38" s="652">
        <v>809.16666666666663</v>
      </c>
      <c r="I38" s="652">
        <v>396.66666666666669</v>
      </c>
      <c r="J38" s="652">
        <v>250</v>
      </c>
      <c r="K38" s="652">
        <v>365</v>
      </c>
      <c r="L38" s="652">
        <v>260</v>
      </c>
      <c r="M38" s="652">
        <v>5.0666666666666673</v>
      </c>
      <c r="N38" s="652">
        <v>245</v>
      </c>
      <c r="O38" s="652">
        <v>395</v>
      </c>
      <c r="P38" s="661" t="s">
        <v>251</v>
      </c>
      <c r="Q38" s="651">
        <v>224</v>
      </c>
      <c r="R38" s="653">
        <v>310</v>
      </c>
      <c r="S38" s="651">
        <v>44</v>
      </c>
      <c r="T38" s="652">
        <v>697.12666666666667</v>
      </c>
      <c r="U38" s="652">
        <v>711.66666666666663</v>
      </c>
      <c r="V38" s="652">
        <v>711.66666666666663</v>
      </c>
      <c r="W38" s="652">
        <v>38.333333333333336</v>
      </c>
      <c r="X38" s="652">
        <v>12.5</v>
      </c>
      <c r="Y38" s="652">
        <v>205</v>
      </c>
      <c r="Z38" s="652">
        <v>155</v>
      </c>
      <c r="AA38" s="652">
        <v>350</v>
      </c>
      <c r="AB38" s="652">
        <v>843.33333333333337</v>
      </c>
      <c r="AC38" s="652">
        <v>4.5</v>
      </c>
      <c r="AD38" s="652">
        <v>470</v>
      </c>
      <c r="AE38" s="652">
        <v>621.66666666666663</v>
      </c>
    </row>
    <row r="39" spans="1:31" x14ac:dyDescent="0.35">
      <c r="A39" s="86" t="str">
        <f t="shared" si="31"/>
        <v>Q1-27</v>
      </c>
      <c r="B39" s="658" t="s">
        <v>252</v>
      </c>
      <c r="C39" s="655">
        <v>771.89510143493317</v>
      </c>
      <c r="D39" s="656">
        <v>293.45372460496617</v>
      </c>
      <c r="E39" s="656">
        <v>207.30503455083908</v>
      </c>
      <c r="F39" s="656">
        <v>428.87776983559684</v>
      </c>
      <c r="G39" s="656">
        <v>204.01757689893284</v>
      </c>
      <c r="H39" s="656">
        <v>643.30079858030172</v>
      </c>
      <c r="I39" s="656">
        <v>314.86146095717885</v>
      </c>
      <c r="J39" s="656">
        <v>175.11177347242921</v>
      </c>
      <c r="K39" s="656">
        <v>270.62999112688556</v>
      </c>
      <c r="L39" s="656">
        <v>193.75361480624639</v>
      </c>
      <c r="M39" s="656">
        <v>2.88</v>
      </c>
      <c r="N39" s="656">
        <v>149.50166112956811</v>
      </c>
      <c r="O39" s="656">
        <v>326.51072124756337</v>
      </c>
      <c r="P39" s="662" t="s">
        <v>252</v>
      </c>
      <c r="Q39" s="655">
        <v>165</v>
      </c>
      <c r="R39" s="657">
        <v>226</v>
      </c>
      <c r="S39" s="655">
        <v>33</v>
      </c>
      <c r="T39" s="656">
        <v>354.02189433603041</v>
      </c>
      <c r="U39" s="656">
        <v>368.87196573060447</v>
      </c>
      <c r="V39" s="656">
        <v>360.96879366557988</v>
      </c>
      <c r="W39" s="656">
        <v>23</v>
      </c>
      <c r="X39" s="656">
        <v>8</v>
      </c>
      <c r="Y39" s="656">
        <v>141.61073825503357</v>
      </c>
      <c r="Z39" s="656">
        <v>111.66666666666667</v>
      </c>
      <c r="AA39" s="656">
        <v>207.30503455083908</v>
      </c>
      <c r="AB39" s="656">
        <v>685.92057761732849</v>
      </c>
      <c r="AC39" s="656">
        <v>2.6</v>
      </c>
      <c r="AD39" s="656">
        <v>393.22444041137322</v>
      </c>
      <c r="AE39" s="656">
        <v>508.83770755222275</v>
      </c>
    </row>
    <row r="40" spans="1:31" x14ac:dyDescent="0.35">
      <c r="A40" s="86" t="str">
        <f t="shared" si="31"/>
        <v>Q2-27</v>
      </c>
      <c r="B40" s="658" t="s">
        <v>253</v>
      </c>
      <c r="C40" s="655">
        <v>494.80455220188026</v>
      </c>
      <c r="D40" s="656">
        <v>203.1602708803612</v>
      </c>
      <c r="E40" s="656">
        <v>167.81836130306021</v>
      </c>
      <c r="F40" s="656">
        <v>285.91851322373122</v>
      </c>
      <c r="G40" s="656">
        <v>169.4915254237288</v>
      </c>
      <c r="H40" s="656">
        <v>399.29015084294588</v>
      </c>
      <c r="I40" s="656">
        <v>242.44332493702768</v>
      </c>
      <c r="J40" s="656">
        <v>167.6602086438152</v>
      </c>
      <c r="K40" s="656">
        <v>210.73646850044366</v>
      </c>
      <c r="L40" s="656">
        <v>190.86176980913825</v>
      </c>
      <c r="M40" s="656">
        <v>2.4</v>
      </c>
      <c r="N40" s="656">
        <v>124.58471760797343</v>
      </c>
      <c r="O40" s="656">
        <v>260.72124756335285</v>
      </c>
      <c r="P40" s="662" t="s">
        <v>253</v>
      </c>
      <c r="Q40" s="655">
        <v>120</v>
      </c>
      <c r="R40" s="657">
        <v>188</v>
      </c>
      <c r="S40" s="655">
        <v>26</v>
      </c>
      <c r="T40" s="656">
        <v>285.00713945740119</v>
      </c>
      <c r="U40" s="656">
        <v>299.85721085197525</v>
      </c>
      <c r="V40" s="656">
        <v>293.43269678621334</v>
      </c>
      <c r="W40" s="656">
        <v>16</v>
      </c>
      <c r="X40" s="656">
        <v>6</v>
      </c>
      <c r="Y40" s="656">
        <v>121.47651006711411</v>
      </c>
      <c r="Z40" s="656">
        <v>95</v>
      </c>
      <c r="AA40" s="656">
        <v>167.81836130306021</v>
      </c>
      <c r="AB40" s="656">
        <v>446.75090252707582</v>
      </c>
      <c r="AC40" s="656">
        <v>2.2999999999999998</v>
      </c>
      <c r="AD40" s="656">
        <v>302.4803387779794</v>
      </c>
      <c r="AE40" s="656">
        <v>348.15211569362611</v>
      </c>
    </row>
    <row r="41" spans="1:31" x14ac:dyDescent="0.35">
      <c r="A41" s="86" t="str">
        <f t="shared" si="31"/>
        <v>Q3-27</v>
      </c>
      <c r="B41" s="658" t="s">
        <v>254</v>
      </c>
      <c r="C41" s="655">
        <v>267.19445818901534</v>
      </c>
      <c r="D41" s="656">
        <v>155.1918735891648</v>
      </c>
      <c r="E41" s="656">
        <v>157.9466929911155</v>
      </c>
      <c r="F41" s="656">
        <v>157.25518227305218</v>
      </c>
      <c r="G41" s="656">
        <v>141.24293785310735</v>
      </c>
      <c r="H41" s="656">
        <v>321.65039929015086</v>
      </c>
      <c r="I41" s="656">
        <v>209.06801007556678</v>
      </c>
      <c r="J41" s="656">
        <v>166.41828117237955</v>
      </c>
      <c r="K41" s="656">
        <v>170.80745341614909</v>
      </c>
      <c r="L41" s="656">
        <v>194.04279930595717</v>
      </c>
      <c r="M41" s="656">
        <v>2.2400000000000002</v>
      </c>
      <c r="N41" s="656">
        <v>107.97342192691031</v>
      </c>
      <c r="O41" s="656">
        <v>216.86159844054581</v>
      </c>
      <c r="P41" s="662" t="s">
        <v>254</v>
      </c>
      <c r="Q41" s="655">
        <v>102.66</v>
      </c>
      <c r="R41" s="657">
        <v>154.66</v>
      </c>
      <c r="S41" s="655">
        <v>20</v>
      </c>
      <c r="T41" s="656">
        <v>235.03093764873867</v>
      </c>
      <c r="U41" s="656">
        <v>249.8810090433127</v>
      </c>
      <c r="V41" s="656">
        <v>244.52724732184444</v>
      </c>
      <c r="W41" s="656">
        <v>12.25</v>
      </c>
      <c r="X41" s="656">
        <v>5</v>
      </c>
      <c r="Y41" s="656">
        <v>118.12080536912752</v>
      </c>
      <c r="Z41" s="656">
        <v>85</v>
      </c>
      <c r="AA41" s="656">
        <v>157.9466929911155</v>
      </c>
      <c r="AB41" s="656">
        <v>277.52707581227435</v>
      </c>
      <c r="AC41" s="656">
        <v>2.2000000000000002</v>
      </c>
      <c r="AD41" s="656">
        <v>196.61222020568661</v>
      </c>
      <c r="AE41" s="656">
        <v>174.07605784681306</v>
      </c>
    </row>
    <row r="42" spans="1:31" x14ac:dyDescent="0.35">
      <c r="A42" s="86" t="str">
        <f t="shared" si="31"/>
        <v>Q4-27</v>
      </c>
      <c r="B42" s="658" t="s">
        <v>255</v>
      </c>
      <c r="C42" s="655">
        <v>197.92182088075211</v>
      </c>
      <c r="D42" s="656">
        <v>166.47855530474041</v>
      </c>
      <c r="E42" s="656">
        <v>177.69002961500493</v>
      </c>
      <c r="F42" s="656">
        <v>192.99499642601859</v>
      </c>
      <c r="G42" s="656">
        <v>163.21406151914627</v>
      </c>
      <c r="H42" s="656">
        <v>343.83318544809231</v>
      </c>
      <c r="I42" s="656">
        <v>221.66246851385392</v>
      </c>
      <c r="J42" s="656">
        <v>176.35370094386488</v>
      </c>
      <c r="K42" s="656">
        <v>208.51818988464953</v>
      </c>
      <c r="L42" s="656">
        <v>205.61017929438981</v>
      </c>
      <c r="M42" s="656">
        <v>2.4</v>
      </c>
      <c r="N42" s="656">
        <v>124.58471760797339</v>
      </c>
      <c r="O42" s="656">
        <v>258.28460038986356</v>
      </c>
      <c r="P42" s="662" t="s">
        <v>255</v>
      </c>
      <c r="Q42" s="655">
        <v>100</v>
      </c>
      <c r="R42" s="657">
        <v>145.33000000000001</v>
      </c>
      <c r="S42" s="655">
        <v>22</v>
      </c>
      <c r="T42" s="656">
        <v>242.17039504997618</v>
      </c>
      <c r="U42" s="656">
        <v>257.02046644455021</v>
      </c>
      <c r="V42" s="656">
        <v>251.51374010246857</v>
      </c>
      <c r="W42" s="656">
        <v>14.25</v>
      </c>
      <c r="X42" s="656">
        <v>6</v>
      </c>
      <c r="Y42" s="656">
        <v>144.96644295302013</v>
      </c>
      <c r="Z42" s="656">
        <v>80</v>
      </c>
      <c r="AA42" s="656">
        <v>177.69002961500493</v>
      </c>
      <c r="AB42" s="656">
        <v>293.77256317689529</v>
      </c>
      <c r="AC42" s="656">
        <v>2.5</v>
      </c>
      <c r="AD42" s="656">
        <v>151.2401693889897</v>
      </c>
      <c r="AE42" s="656">
        <v>125.87038028923405</v>
      </c>
    </row>
    <row r="43" spans="1:31" x14ac:dyDescent="0.35">
      <c r="A43" s="86" t="str">
        <f t="shared" si="31"/>
        <v>Q1-28</v>
      </c>
      <c r="B43" s="658" t="s">
        <v>426</v>
      </c>
      <c r="C43" s="655">
        <v>147.9465611083622</v>
      </c>
      <c r="D43" s="656">
        <v>148.13769751693002</v>
      </c>
      <c r="E43" s="656">
        <v>162.88252714708784</v>
      </c>
      <c r="F43" s="656">
        <v>159.04217298070049</v>
      </c>
      <c r="G43" s="656">
        <v>130.25737602008789</v>
      </c>
      <c r="H43" s="656">
        <v>261.75687666370897</v>
      </c>
      <c r="I43" s="656">
        <v>182.61964735516372</v>
      </c>
      <c r="J43" s="656">
        <v>180.0794833581719</v>
      </c>
      <c r="K43" s="656">
        <v>156.38864241348713</v>
      </c>
      <c r="L43" s="656">
        <v>209.94794679005204</v>
      </c>
      <c r="M43" s="656">
        <v>2.64</v>
      </c>
      <c r="N43" s="656">
        <v>129.1528239202658</v>
      </c>
      <c r="O43" s="656">
        <v>155.94541910331384</v>
      </c>
      <c r="P43" s="662" t="s">
        <v>426</v>
      </c>
      <c r="Q43" s="655">
        <v>80</v>
      </c>
      <c r="R43" s="657">
        <v>136</v>
      </c>
      <c r="S43" s="655">
        <v>15.5</v>
      </c>
      <c r="T43" s="656">
        <v>196.95383150880531</v>
      </c>
      <c r="U43" s="656">
        <v>211.80390290337934</v>
      </c>
      <c r="V43" s="656">
        <v>207.26595249184911</v>
      </c>
      <c r="W43" s="656">
        <v>14.75</v>
      </c>
      <c r="X43" s="656">
        <v>5</v>
      </c>
      <c r="Y43" s="656">
        <v>155.03355704697987</v>
      </c>
      <c r="Z43" s="656">
        <v>60.5</v>
      </c>
      <c r="AA43" s="656">
        <v>162.88252714708787</v>
      </c>
      <c r="AB43" s="656">
        <v>248.19494584837545</v>
      </c>
      <c r="AC43" s="656">
        <v>2.6999999999999997</v>
      </c>
      <c r="AD43" s="656">
        <v>142.16575922565033</v>
      </c>
      <c r="AE43" s="656">
        <v>107.12372790573112</v>
      </c>
    </row>
    <row r="44" spans="1:31" ht="15" thickBot="1" x14ac:dyDescent="0.4">
      <c r="A44" s="86" t="str">
        <f t="shared" si="31"/>
        <v>Q2-28</v>
      </c>
      <c r="B44" s="645" t="s">
        <v>475</v>
      </c>
      <c r="C44" s="663">
        <v>138.0504700643246</v>
      </c>
      <c r="D44" s="664">
        <v>136.85101580135441</v>
      </c>
      <c r="E44" s="664">
        <v>143.13919052319841</v>
      </c>
      <c r="F44" s="664">
        <v>144.74624731951394</v>
      </c>
      <c r="G44" s="664">
        <v>117.7024482109228</v>
      </c>
      <c r="H44" s="664">
        <v>252.8837622005324</v>
      </c>
      <c r="I44" s="664">
        <v>157.43073047858942</v>
      </c>
      <c r="J44" s="664">
        <v>170.14406358668654</v>
      </c>
      <c r="K44" s="664">
        <v>147.51552795031057</v>
      </c>
      <c r="L44" s="664">
        <v>198.38056680161941</v>
      </c>
      <c r="M44" s="664">
        <v>2.48</v>
      </c>
      <c r="N44" s="664">
        <v>112.54152823920266</v>
      </c>
      <c r="O44" s="664">
        <v>146.19883040935673</v>
      </c>
      <c r="P44" s="665" t="s">
        <v>475</v>
      </c>
      <c r="Q44" s="663">
        <v>75</v>
      </c>
      <c r="R44" s="666">
        <v>135</v>
      </c>
      <c r="S44" s="663">
        <v>13.5</v>
      </c>
      <c r="T44" s="664">
        <v>187.434554973822</v>
      </c>
      <c r="U44" s="664">
        <v>202.28462636839598</v>
      </c>
      <c r="V44" s="664">
        <v>197.95062878435027</v>
      </c>
      <c r="W44" s="664">
        <v>12.75</v>
      </c>
      <c r="X44" s="664">
        <v>4.5</v>
      </c>
      <c r="Y44" s="664">
        <v>128.18791946308727</v>
      </c>
      <c r="Z44" s="664">
        <v>58.5</v>
      </c>
      <c r="AA44" s="664">
        <v>143.13919052319841</v>
      </c>
      <c r="AB44" s="664">
        <v>230.14440433212997</v>
      </c>
      <c r="AC44" s="664">
        <v>2.2999999999999998</v>
      </c>
      <c r="AD44" s="664">
        <v>136.11615245009074</v>
      </c>
      <c r="AE44" s="664">
        <v>101.76754151044456</v>
      </c>
    </row>
    <row r="45" spans="1:31" ht="15" thickBot="1" x14ac:dyDescent="0.4">
      <c r="A45" s="86" t="str">
        <f t="shared" si="31"/>
        <v>Nov-Dec'26</v>
      </c>
      <c r="B45" s="667" t="s">
        <v>477</v>
      </c>
      <c r="C45" s="646">
        <v>963.75</v>
      </c>
      <c r="D45" s="647">
        <v>536.25</v>
      </c>
      <c r="E45" s="647">
        <v>325</v>
      </c>
      <c r="F45" s="647">
        <v>737.5</v>
      </c>
      <c r="G45" s="647">
        <v>264.5</v>
      </c>
      <c r="H45" s="647">
        <v>773.75</v>
      </c>
      <c r="I45" s="647">
        <v>407.5</v>
      </c>
      <c r="J45" s="647">
        <v>240</v>
      </c>
      <c r="K45" s="647">
        <v>357.5</v>
      </c>
      <c r="L45" s="647">
        <v>240</v>
      </c>
      <c r="M45" s="647">
        <v>4.5999999999999996</v>
      </c>
      <c r="N45" s="647">
        <v>222.5</v>
      </c>
      <c r="O45" s="647">
        <v>387.5</v>
      </c>
      <c r="P45" s="668" t="s">
        <v>477</v>
      </c>
      <c r="Q45" s="646">
        <v>217.5</v>
      </c>
      <c r="R45" s="649">
        <v>300</v>
      </c>
      <c r="S45" s="646">
        <v>41.5</v>
      </c>
      <c r="T45" s="647">
        <v>655.46</v>
      </c>
      <c r="U45" s="647">
        <v>670</v>
      </c>
      <c r="V45" s="647">
        <v>670</v>
      </c>
      <c r="W45" s="647">
        <v>35</v>
      </c>
      <c r="X45" s="647">
        <v>11</v>
      </c>
      <c r="Y45" s="647">
        <v>182.5</v>
      </c>
      <c r="Z45" s="647">
        <v>152.5</v>
      </c>
      <c r="AA45" s="647">
        <v>325</v>
      </c>
      <c r="AB45" s="647">
        <v>825</v>
      </c>
      <c r="AC45" s="647">
        <v>4.25</v>
      </c>
      <c r="AD45" s="647">
        <v>455</v>
      </c>
      <c r="AE45" s="647">
        <v>592.5</v>
      </c>
    </row>
    <row r="46" spans="1:31" x14ac:dyDescent="0.35">
      <c r="A46" s="86" t="str">
        <f t="shared" si="31"/>
        <v>Cal-27</v>
      </c>
      <c r="B46" s="669" t="s">
        <v>196</v>
      </c>
      <c r="C46" s="655">
        <v>432.95398317664518</v>
      </c>
      <c r="D46" s="656">
        <v>204.57110609480813</v>
      </c>
      <c r="E46" s="656">
        <v>177.69002961500493</v>
      </c>
      <c r="F46" s="656">
        <v>266.26161543959972</v>
      </c>
      <c r="G46" s="656">
        <v>169.4915254237288</v>
      </c>
      <c r="H46" s="656">
        <v>427.01863354037266</v>
      </c>
      <c r="I46" s="656">
        <v>247.0088161209068</v>
      </c>
      <c r="J46" s="656">
        <v>171.38599105812222</v>
      </c>
      <c r="K46" s="656">
        <v>215.17302573203196</v>
      </c>
      <c r="L46" s="656">
        <v>196.06709080393293</v>
      </c>
      <c r="M46" s="656">
        <v>2.48</v>
      </c>
      <c r="N46" s="656">
        <v>126.66112956810632</v>
      </c>
      <c r="O46" s="656">
        <v>265.59454191033137</v>
      </c>
      <c r="P46" s="661" t="s">
        <v>196</v>
      </c>
      <c r="Q46" s="655">
        <v>121.91499999999999</v>
      </c>
      <c r="R46" s="657">
        <v>178.4975</v>
      </c>
      <c r="S46" s="655">
        <v>25.25</v>
      </c>
      <c r="T46" s="656">
        <v>279.05759162303661</v>
      </c>
      <c r="U46" s="656">
        <v>293.90766301761062</v>
      </c>
      <c r="V46" s="656">
        <v>287.61061946902657</v>
      </c>
      <c r="W46" s="656">
        <v>16.375</v>
      </c>
      <c r="X46" s="656">
        <v>6.25</v>
      </c>
      <c r="Y46" s="656">
        <v>131.54362416107384</v>
      </c>
      <c r="Z46" s="656">
        <v>92.916666666666671</v>
      </c>
      <c r="AA46" s="656">
        <v>177.6900296150049</v>
      </c>
      <c r="AB46" s="656">
        <v>425.99277978339347</v>
      </c>
      <c r="AC46" s="656">
        <v>2.4000000000000004</v>
      </c>
      <c r="AD46" s="656">
        <v>260.88929219600726</v>
      </c>
      <c r="AE46" s="656">
        <v>289.23406534547399</v>
      </c>
    </row>
    <row r="47" spans="1:31" x14ac:dyDescent="0.35">
      <c r="A47" s="86" t="str">
        <f t="shared" si="31"/>
        <v>Cal-28</v>
      </c>
      <c r="B47" s="670" t="s">
        <v>256</v>
      </c>
      <c r="C47" s="655">
        <v>138.0504700643246</v>
      </c>
      <c r="D47" s="656">
        <v>136.85101580135441</v>
      </c>
      <c r="E47" s="656">
        <v>143.13919052319841</v>
      </c>
      <c r="F47" s="656">
        <v>144.74624731951394</v>
      </c>
      <c r="G47" s="656">
        <v>117.7024482109228</v>
      </c>
      <c r="H47" s="656">
        <v>252.8837622005324</v>
      </c>
      <c r="I47" s="656">
        <v>157.43073047858942</v>
      </c>
      <c r="J47" s="656">
        <v>170.14406358668654</v>
      </c>
      <c r="K47" s="656">
        <v>147.51552795031057</v>
      </c>
      <c r="L47" s="656">
        <v>198.38056680161941</v>
      </c>
      <c r="M47" s="656">
        <v>2.48</v>
      </c>
      <c r="N47" s="656">
        <v>112.54152823920266</v>
      </c>
      <c r="O47" s="656">
        <v>146.19883040935673</v>
      </c>
      <c r="P47" s="662" t="s">
        <v>256</v>
      </c>
      <c r="Q47" s="655">
        <v>75</v>
      </c>
      <c r="R47" s="657">
        <v>130</v>
      </c>
      <c r="S47" s="655">
        <v>13.5</v>
      </c>
      <c r="T47" s="656">
        <v>187.434554973822</v>
      </c>
      <c r="U47" s="656">
        <v>202.28462636839598</v>
      </c>
      <c r="V47" s="656">
        <v>197.95062878435027</v>
      </c>
      <c r="W47" s="656">
        <v>12.75</v>
      </c>
      <c r="X47" s="656">
        <v>4.5</v>
      </c>
      <c r="Y47" s="656">
        <v>128.18791946308727</v>
      </c>
      <c r="Z47" s="656">
        <v>58.5</v>
      </c>
      <c r="AA47" s="656">
        <v>143.13919052319841</v>
      </c>
      <c r="AB47" s="656">
        <v>230.14440433212997</v>
      </c>
      <c r="AC47" s="656">
        <v>2.2999999999999998</v>
      </c>
      <c r="AD47" s="656">
        <v>136.11615245009074</v>
      </c>
      <c r="AE47" s="656">
        <v>101.76754151044456</v>
      </c>
    </row>
    <row r="48" spans="1:31" ht="15" thickBot="1" x14ac:dyDescent="0.4">
      <c r="A48" s="86" t="str">
        <f t="shared" si="31"/>
        <v>Cal-29</v>
      </c>
      <c r="B48" s="671" t="s">
        <v>257</v>
      </c>
      <c r="C48" s="663">
        <v>98.960910440376054</v>
      </c>
      <c r="D48" s="664">
        <v>102.99097065462755</v>
      </c>
      <c r="E48" s="664">
        <v>126.35735439289239</v>
      </c>
      <c r="F48" s="664">
        <v>140.81486776268764</v>
      </c>
      <c r="G48" s="664">
        <v>115.50533584431888</v>
      </c>
      <c r="H48" s="664">
        <v>168.58917480035493</v>
      </c>
      <c r="I48" s="664">
        <v>152.39294710327457</v>
      </c>
      <c r="J48" s="664">
        <v>167.6602086438152</v>
      </c>
      <c r="K48" s="664">
        <v>145.29724933451641</v>
      </c>
      <c r="L48" s="664">
        <v>196.06709080393293</v>
      </c>
      <c r="M48" s="664">
        <v>2.46</v>
      </c>
      <c r="N48" s="664">
        <v>110.04983388704319</v>
      </c>
      <c r="O48" s="664">
        <v>198.58674463937623</v>
      </c>
      <c r="P48" s="665" t="s">
        <v>257</v>
      </c>
      <c r="Q48" s="663">
        <v>73</v>
      </c>
      <c r="R48" s="666">
        <v>130</v>
      </c>
      <c r="S48" s="663">
        <v>12.5</v>
      </c>
      <c r="T48" s="664">
        <v>146.97762970014278</v>
      </c>
      <c r="U48" s="664">
        <v>161.82770109471679</v>
      </c>
      <c r="V48" s="664">
        <v>158.36050302748021</v>
      </c>
      <c r="W48" s="664">
        <v>12.5</v>
      </c>
      <c r="X48" s="664">
        <v>4.4000000000000004</v>
      </c>
      <c r="Y48" s="664">
        <v>125.503355704698</v>
      </c>
      <c r="Z48" s="664">
        <v>55.5</v>
      </c>
      <c r="AA48" s="664">
        <v>140.78735609234235</v>
      </c>
      <c r="AB48" s="664">
        <v>212.09386281588448</v>
      </c>
      <c r="AC48" s="664">
        <v>2.1999999999999997</v>
      </c>
      <c r="AD48" s="664">
        <v>90.744101633393825</v>
      </c>
      <c r="AE48" s="664">
        <v>69.63042313872522</v>
      </c>
    </row>
    <row r="49" spans="1:45" ht="15" thickBot="1" x14ac:dyDescent="0.4">
      <c r="B49" s="639"/>
      <c r="C49" s="672"/>
      <c r="D49" s="639"/>
      <c r="E49" s="639"/>
      <c r="F49" s="639"/>
      <c r="G49" s="639"/>
      <c r="H49" s="639"/>
      <c r="I49" s="639"/>
      <c r="J49" s="639"/>
      <c r="K49" s="639"/>
      <c r="L49" s="639"/>
      <c r="M49" s="639" t="s">
        <v>258</v>
      </c>
      <c r="N49" s="639"/>
      <c r="O49" s="639"/>
      <c r="P49" s="639"/>
      <c r="Q49" s="639" t="s">
        <v>258</v>
      </c>
      <c r="R49" s="639"/>
      <c r="S49" s="639"/>
      <c r="T49" s="639"/>
      <c r="U49" s="639"/>
      <c r="V49" s="639"/>
      <c r="W49" s="639"/>
      <c r="X49" s="639"/>
      <c r="Y49" s="639"/>
      <c r="Z49" s="639"/>
      <c r="AA49" s="639"/>
      <c r="AB49" s="639"/>
      <c r="AC49" s="639"/>
      <c r="AD49" s="639"/>
      <c r="AE49" s="639"/>
    </row>
    <row r="50" spans="1:45" ht="15" thickBot="1" x14ac:dyDescent="0.4">
      <c r="B50" s="673" t="s">
        <v>259</v>
      </c>
      <c r="C50" s="674">
        <v>20.21</v>
      </c>
      <c r="D50" s="675">
        <v>17.72</v>
      </c>
      <c r="E50" s="675">
        <v>10.130000000000001</v>
      </c>
      <c r="F50" s="675">
        <v>13.99</v>
      </c>
      <c r="G50" s="675">
        <v>15.93</v>
      </c>
      <c r="H50" s="675">
        <v>22.54</v>
      </c>
      <c r="I50" s="675">
        <v>7.94</v>
      </c>
      <c r="J50" s="675">
        <v>20.13</v>
      </c>
      <c r="K50" s="675">
        <v>22.54</v>
      </c>
      <c r="L50" s="675">
        <v>17.29</v>
      </c>
      <c r="M50" s="675" t="s">
        <v>260</v>
      </c>
      <c r="N50" s="675">
        <v>12.04</v>
      </c>
      <c r="O50" s="676">
        <v>20.52</v>
      </c>
      <c r="P50" s="673" t="s">
        <v>259</v>
      </c>
      <c r="Q50" s="675" t="s">
        <v>260</v>
      </c>
      <c r="R50" s="675" t="s">
        <v>260</v>
      </c>
      <c r="S50" s="674" t="s">
        <v>260</v>
      </c>
      <c r="T50" s="677">
        <v>21.01</v>
      </c>
      <c r="U50" s="677">
        <v>21.01</v>
      </c>
      <c r="V50" s="678">
        <v>21.47</v>
      </c>
      <c r="W50" s="679" t="s">
        <v>260</v>
      </c>
      <c r="X50" s="679" t="s">
        <v>260</v>
      </c>
      <c r="Y50" s="679">
        <v>7.45</v>
      </c>
      <c r="Z50" s="679" t="s">
        <v>260</v>
      </c>
      <c r="AA50" s="679">
        <v>10.63</v>
      </c>
      <c r="AB50" s="676">
        <v>11.08</v>
      </c>
      <c r="AC50" s="674" t="s">
        <v>260</v>
      </c>
      <c r="AD50" s="681">
        <v>33.06</v>
      </c>
      <c r="AE50" s="681">
        <v>18.670000000000002</v>
      </c>
    </row>
    <row r="51" spans="1:45" ht="15" thickBot="1" x14ac:dyDescent="0.4">
      <c r="B51" s="639"/>
      <c r="C51" s="639"/>
      <c r="D51" s="639"/>
      <c r="E51" s="639"/>
      <c r="F51" s="639"/>
      <c r="G51" s="639"/>
      <c r="H51" s="680"/>
      <c r="I51" s="639"/>
      <c r="J51" s="639"/>
      <c r="K51" s="639"/>
      <c r="L51" s="639"/>
      <c r="M51" s="639"/>
      <c r="N51" s="639"/>
      <c r="O51" s="639"/>
      <c r="P51" s="639"/>
      <c r="Q51" s="639"/>
      <c r="R51" s="639"/>
      <c r="S51" s="639"/>
      <c r="T51" s="639"/>
      <c r="U51" s="639"/>
      <c r="V51" s="639"/>
      <c r="W51" s="639"/>
      <c r="X51" s="639"/>
      <c r="Y51" s="639"/>
      <c r="Z51" s="639"/>
      <c r="AA51" s="639"/>
      <c r="AB51" s="639"/>
      <c r="AC51" s="639"/>
      <c r="AD51" s="639"/>
      <c r="AE51" s="639"/>
    </row>
    <row r="52" spans="1:45" ht="15" thickBot="1" x14ac:dyDescent="0.4">
      <c r="B52" s="642" t="s">
        <v>261</v>
      </c>
      <c r="C52" s="641" t="s">
        <v>226</v>
      </c>
      <c r="D52" s="641" t="s">
        <v>227</v>
      </c>
      <c r="E52" s="641" t="s">
        <v>228</v>
      </c>
      <c r="F52" s="641" t="s">
        <v>229</v>
      </c>
      <c r="G52" s="641" t="s">
        <v>230</v>
      </c>
      <c r="H52" s="641" t="s">
        <v>231</v>
      </c>
      <c r="I52" s="641" t="s">
        <v>232</v>
      </c>
      <c r="J52" s="641" t="s">
        <v>233</v>
      </c>
      <c r="K52" s="641" t="s">
        <v>234</v>
      </c>
      <c r="L52" s="641" t="s">
        <v>235</v>
      </c>
      <c r="M52" s="641" t="s">
        <v>236</v>
      </c>
      <c r="N52" s="641" t="s">
        <v>237</v>
      </c>
      <c r="O52" s="641" t="s">
        <v>238</v>
      </c>
      <c r="P52" s="642" t="s">
        <v>239</v>
      </c>
      <c r="Q52" s="643" t="s">
        <v>240</v>
      </c>
      <c r="R52" s="644" t="s">
        <v>241</v>
      </c>
      <c r="S52" s="643" t="s">
        <v>199</v>
      </c>
      <c r="T52" s="641" t="s">
        <v>242</v>
      </c>
      <c r="U52" s="641" t="s">
        <v>243</v>
      </c>
      <c r="V52" s="641" t="s">
        <v>421</v>
      </c>
      <c r="W52" s="641" t="s">
        <v>244</v>
      </c>
      <c r="X52" s="641" t="s">
        <v>245</v>
      </c>
      <c r="Y52" s="641" t="s">
        <v>246</v>
      </c>
      <c r="Z52" s="641" t="s">
        <v>247</v>
      </c>
      <c r="AA52" s="641" t="s">
        <v>248</v>
      </c>
      <c r="AB52" s="641" t="s">
        <v>249</v>
      </c>
      <c r="AC52" s="641" t="s">
        <v>250</v>
      </c>
      <c r="AD52" s="641" t="s">
        <v>373</v>
      </c>
      <c r="AE52" s="641" t="s">
        <v>476</v>
      </c>
      <c r="AS52">
        <f>AS50-AS49</f>
        <v>0</v>
      </c>
    </row>
    <row r="53" spans="1:45" ht="15" thickBot="1" x14ac:dyDescent="0.4">
      <c r="A53" s="86" t="str">
        <f>B53</f>
        <v>Balmo</v>
      </c>
      <c r="B53" s="667" t="s">
        <v>101</v>
      </c>
      <c r="C53" s="646">
        <v>236.69759523809526</v>
      </c>
      <c r="D53" s="647">
        <v>123.33685352380952</v>
      </c>
      <c r="E53" s="647">
        <v>40.467758142857143</v>
      </c>
      <c r="F53" s="647">
        <v>117.95455319047619</v>
      </c>
      <c r="G53" s="647">
        <v>41.820498000000008</v>
      </c>
      <c r="H53" s="647" t="e">
        <v>#DIV/0!</v>
      </c>
      <c r="I53" s="647">
        <v>29.894742761904762</v>
      </c>
      <c r="J53" s="647">
        <v>52.104300285714288</v>
      </c>
      <c r="K53" s="647">
        <v>85.483379333333332</v>
      </c>
      <c r="L53" s="647">
        <v>49.69994033333333</v>
      </c>
      <c r="M53" s="647">
        <v>73.625</v>
      </c>
      <c r="N53" s="647">
        <v>32.995333333333335</v>
      </c>
      <c r="O53" s="647">
        <v>83.573660571428576</v>
      </c>
      <c r="P53" s="648" t="s">
        <v>101</v>
      </c>
      <c r="Q53" s="646">
        <v>236.60952380952381</v>
      </c>
      <c r="R53" s="649">
        <v>330.38776190476193</v>
      </c>
      <c r="S53" s="646">
        <v>180.99843227513227</v>
      </c>
      <c r="T53" s="647" t="e">
        <v>#DIV/0!</v>
      </c>
      <c r="U53" s="647" t="e">
        <v>#DIV/0!</v>
      </c>
      <c r="V53" s="647">
        <v>168.08638076190479</v>
      </c>
      <c r="W53" s="647">
        <v>44.748285714285714</v>
      </c>
      <c r="X53" s="647">
        <v>171.26653439153438</v>
      </c>
      <c r="Y53" s="647">
        <v>18.234761904761907</v>
      </c>
      <c r="Z53" s="647">
        <v>159.4047619047619</v>
      </c>
      <c r="AA53" s="647" t="e">
        <v>#DIV/0!</v>
      </c>
      <c r="AB53" s="647">
        <v>97.379640190476209</v>
      </c>
      <c r="AC53" s="647">
        <v>60.639880952380942</v>
      </c>
      <c r="AD53" s="647">
        <v>164.99994114285715</v>
      </c>
      <c r="AE53" s="647">
        <v>126.23204852380952</v>
      </c>
      <c r="AS53">
        <f>AS52*10</f>
        <v>0</v>
      </c>
    </row>
    <row r="54" spans="1:45" x14ac:dyDescent="0.35">
      <c r="A54" s="86">
        <f>EOMONTH(B54,0)</f>
        <v>46326</v>
      </c>
      <c r="B54" s="660">
        <v>46296</v>
      </c>
      <c r="C54" s="651">
        <v>236.45699999999999</v>
      </c>
      <c r="D54" s="652">
        <v>123.59699999999998</v>
      </c>
      <c r="E54" s="652">
        <v>40.520000000000003</v>
      </c>
      <c r="F54" s="652">
        <v>118.91500000000001</v>
      </c>
      <c r="G54" s="652">
        <v>41.417999999999999</v>
      </c>
      <c r="H54" s="652">
        <v>198.352</v>
      </c>
      <c r="I54" s="652">
        <v>29.775000000000002</v>
      </c>
      <c r="J54" s="652">
        <v>54.350999999999999</v>
      </c>
      <c r="K54" s="652">
        <v>85.651999999999987</v>
      </c>
      <c r="L54" s="652">
        <v>51.87</v>
      </c>
      <c r="M54" s="652">
        <v>75</v>
      </c>
      <c r="N54" s="652">
        <v>34.915999999999997</v>
      </c>
      <c r="O54" s="652">
        <v>84.131999999999991</v>
      </c>
      <c r="P54" s="650">
        <v>46296</v>
      </c>
      <c r="Q54" s="651">
        <v>237</v>
      </c>
      <c r="R54" s="653">
        <v>330</v>
      </c>
      <c r="S54" s="651">
        <v>181.4814814814815</v>
      </c>
      <c r="T54" s="652">
        <v>163.97464600000004</v>
      </c>
      <c r="U54" s="652">
        <v>167.02950000000001</v>
      </c>
      <c r="V54" s="652">
        <v>170.6865</v>
      </c>
      <c r="W54" s="652">
        <v>45</v>
      </c>
      <c r="X54" s="652">
        <v>172.22222222222223</v>
      </c>
      <c r="Y54" s="652">
        <v>18.625</v>
      </c>
      <c r="Z54" s="652">
        <v>160</v>
      </c>
      <c r="AA54" s="652">
        <v>42.52</v>
      </c>
      <c r="AB54" s="652">
        <v>97.504000000000005</v>
      </c>
      <c r="AC54" s="652">
        <v>62.5</v>
      </c>
      <c r="AD54" s="652">
        <v>165.3</v>
      </c>
      <c r="AE54" s="652">
        <v>126.956</v>
      </c>
    </row>
    <row r="55" spans="1:45" x14ac:dyDescent="0.35">
      <c r="A55" s="86">
        <f t="shared" ref="A55:A61" si="32">EOMONTH(B55,0)</f>
        <v>46356</v>
      </c>
      <c r="B55" s="658">
        <v>46327</v>
      </c>
      <c r="C55" s="655">
        <v>210.18400000000003</v>
      </c>
      <c r="D55" s="656">
        <v>106.32</v>
      </c>
      <c r="E55" s="656">
        <v>35.455000000000005</v>
      </c>
      <c r="F55" s="656">
        <v>108.4225</v>
      </c>
      <c r="G55" s="656">
        <v>42.373800000000003</v>
      </c>
      <c r="H55" s="656">
        <v>183.13749999999999</v>
      </c>
      <c r="I55" s="656">
        <v>31.363000000000003</v>
      </c>
      <c r="J55" s="656">
        <v>50.324999999999996</v>
      </c>
      <c r="K55" s="656">
        <v>82.271000000000001</v>
      </c>
      <c r="L55" s="656">
        <v>45.818499999999993</v>
      </c>
      <c r="M55" s="656">
        <v>65</v>
      </c>
      <c r="N55" s="656">
        <v>29.498000000000001</v>
      </c>
      <c r="O55" s="656">
        <v>81.054000000000002</v>
      </c>
      <c r="P55" s="654">
        <v>46327</v>
      </c>
      <c r="Q55" s="655">
        <v>225</v>
      </c>
      <c r="R55" s="657">
        <v>307</v>
      </c>
      <c r="S55" s="655">
        <v>161.11111111111111</v>
      </c>
      <c r="T55" s="656">
        <v>154.52014600000001</v>
      </c>
      <c r="U55" s="656">
        <v>157.57500000000002</v>
      </c>
      <c r="V55" s="656">
        <v>161.02499999999998</v>
      </c>
      <c r="W55" s="656">
        <v>40</v>
      </c>
      <c r="X55" s="656">
        <v>138.88888888888889</v>
      </c>
      <c r="Y55" s="656">
        <v>14.9</v>
      </c>
      <c r="Z55" s="656">
        <v>155</v>
      </c>
      <c r="AA55" s="656">
        <v>37.205000000000005</v>
      </c>
      <c r="AB55" s="656">
        <v>93.072000000000003</v>
      </c>
      <c r="AC55" s="656">
        <v>56.25</v>
      </c>
      <c r="AD55" s="656">
        <v>155.38200000000001</v>
      </c>
      <c r="AE55" s="656">
        <v>118.5545</v>
      </c>
    </row>
    <row r="56" spans="1:45" x14ac:dyDescent="0.35">
      <c r="A56" s="86">
        <f t="shared" si="32"/>
        <v>46387</v>
      </c>
      <c r="B56" s="658">
        <v>46357</v>
      </c>
      <c r="C56" s="655">
        <v>179.36375000000001</v>
      </c>
      <c r="D56" s="656">
        <v>83.72699999999999</v>
      </c>
      <c r="E56" s="656">
        <v>30.39</v>
      </c>
      <c r="F56" s="656">
        <v>97.93</v>
      </c>
      <c r="G56" s="656">
        <v>41.895899999999997</v>
      </c>
      <c r="H56" s="656">
        <v>165.66899999999998</v>
      </c>
      <c r="I56" s="656">
        <v>33.348000000000006</v>
      </c>
      <c r="J56" s="656">
        <v>46.298999999999992</v>
      </c>
      <c r="K56" s="656">
        <v>78.89</v>
      </c>
      <c r="L56" s="656">
        <v>37.173499999999997</v>
      </c>
      <c r="M56" s="656">
        <v>50</v>
      </c>
      <c r="N56" s="656">
        <v>24.08</v>
      </c>
      <c r="O56" s="656">
        <v>77.975999999999999</v>
      </c>
      <c r="P56" s="654">
        <v>46357</v>
      </c>
      <c r="Q56" s="655">
        <v>210</v>
      </c>
      <c r="R56" s="657">
        <v>293</v>
      </c>
      <c r="S56" s="655">
        <v>146.29629629629628</v>
      </c>
      <c r="T56" s="656">
        <v>120.90414600000001</v>
      </c>
      <c r="U56" s="656">
        <v>123.95900000000002</v>
      </c>
      <c r="V56" s="656">
        <v>126.673</v>
      </c>
      <c r="W56" s="656">
        <v>30</v>
      </c>
      <c r="X56" s="656">
        <v>105.55555555555556</v>
      </c>
      <c r="Y56" s="656">
        <v>12.2925</v>
      </c>
      <c r="Z56" s="656">
        <v>150</v>
      </c>
      <c r="AA56" s="656">
        <v>31.89</v>
      </c>
      <c r="AB56" s="656">
        <v>89.74799999999999</v>
      </c>
      <c r="AC56" s="656">
        <v>50</v>
      </c>
      <c r="AD56" s="656">
        <v>145.46400000000003</v>
      </c>
      <c r="AE56" s="656">
        <v>102.685</v>
      </c>
    </row>
    <row r="57" spans="1:45" x14ac:dyDescent="0.35">
      <c r="A57" s="86">
        <f t="shared" si="32"/>
        <v>46418</v>
      </c>
      <c r="B57" s="658">
        <v>46388</v>
      </c>
      <c r="C57" s="655">
        <v>181.5</v>
      </c>
      <c r="D57" s="656">
        <v>56.5</v>
      </c>
      <c r="E57" s="656">
        <v>21.5</v>
      </c>
      <c r="F57" s="656">
        <v>65</v>
      </c>
      <c r="G57" s="656">
        <v>33.5</v>
      </c>
      <c r="H57" s="656">
        <v>147</v>
      </c>
      <c r="I57" s="656">
        <v>25</v>
      </c>
      <c r="J57" s="656">
        <v>36.25</v>
      </c>
      <c r="K57" s="656">
        <v>62</v>
      </c>
      <c r="L57" s="656">
        <v>34</v>
      </c>
      <c r="M57" s="656">
        <v>36</v>
      </c>
      <c r="N57" s="656">
        <v>19</v>
      </c>
      <c r="O57" s="656">
        <v>67</v>
      </c>
      <c r="P57" s="654">
        <v>46388</v>
      </c>
      <c r="Q57" s="655">
        <v>185</v>
      </c>
      <c r="R57" s="657">
        <v>225</v>
      </c>
      <c r="S57" s="655">
        <v>131.48148148148147</v>
      </c>
      <c r="T57" s="656">
        <v>77.38</v>
      </c>
      <c r="U57" s="656">
        <v>80.5</v>
      </c>
      <c r="V57" s="656">
        <v>77.5</v>
      </c>
      <c r="W57" s="656">
        <v>25</v>
      </c>
      <c r="X57" s="656">
        <v>88.888888888888886</v>
      </c>
      <c r="Y57" s="656">
        <v>10.55</v>
      </c>
      <c r="Z57" s="656">
        <v>125</v>
      </c>
      <c r="AA57" s="656">
        <v>22.561204343534058</v>
      </c>
      <c r="AB57" s="656">
        <v>76</v>
      </c>
      <c r="AC57" s="656">
        <v>32.5</v>
      </c>
      <c r="AD57" s="656">
        <v>140</v>
      </c>
      <c r="AE57" s="656">
        <v>105</v>
      </c>
    </row>
    <row r="58" spans="1:45" x14ac:dyDescent="0.35">
      <c r="A58" s="86">
        <f t="shared" si="32"/>
        <v>46446</v>
      </c>
      <c r="B58" s="658">
        <v>46419</v>
      </c>
      <c r="C58" s="655">
        <v>151.5</v>
      </c>
      <c r="D58" s="656">
        <v>52</v>
      </c>
      <c r="E58" s="656">
        <v>21</v>
      </c>
      <c r="F58" s="656">
        <v>60</v>
      </c>
      <c r="G58" s="656">
        <v>32.5</v>
      </c>
      <c r="H58" s="656">
        <v>145</v>
      </c>
      <c r="I58" s="656">
        <v>25</v>
      </c>
      <c r="J58" s="656">
        <v>35.25</v>
      </c>
      <c r="K58" s="656">
        <v>61</v>
      </c>
      <c r="L58" s="656">
        <v>33.5</v>
      </c>
      <c r="M58" s="656">
        <v>36</v>
      </c>
      <c r="N58" s="656">
        <v>18</v>
      </c>
      <c r="O58" s="656">
        <v>67</v>
      </c>
      <c r="P58" s="654">
        <v>46419</v>
      </c>
      <c r="Q58" s="655">
        <v>162</v>
      </c>
      <c r="R58" s="657">
        <v>237</v>
      </c>
      <c r="S58" s="655">
        <v>122.22222222222221</v>
      </c>
      <c r="T58" s="656">
        <v>74.38</v>
      </c>
      <c r="U58" s="656">
        <v>77.5</v>
      </c>
      <c r="V58" s="656">
        <v>77.5</v>
      </c>
      <c r="W58" s="656">
        <v>23</v>
      </c>
      <c r="X58" s="656">
        <v>88.888888888888886</v>
      </c>
      <c r="Y58" s="656">
        <v>10.55</v>
      </c>
      <c r="Z58" s="656">
        <v>110</v>
      </c>
      <c r="AA58" s="656">
        <v>22.036525172754196</v>
      </c>
      <c r="AB58" s="656">
        <v>76</v>
      </c>
      <c r="AC58" s="656">
        <v>32.5</v>
      </c>
      <c r="AD58" s="656">
        <v>130</v>
      </c>
      <c r="AE58" s="656">
        <v>95</v>
      </c>
    </row>
    <row r="59" spans="1:45" x14ac:dyDescent="0.35">
      <c r="A59" s="86">
        <f t="shared" si="32"/>
        <v>46477</v>
      </c>
      <c r="B59" s="658">
        <v>46447</v>
      </c>
      <c r="C59" s="655">
        <v>135</v>
      </c>
      <c r="D59" s="656">
        <v>47.5</v>
      </c>
      <c r="E59" s="656">
        <v>20.5</v>
      </c>
      <c r="F59" s="656">
        <v>55</v>
      </c>
      <c r="G59" s="656">
        <v>31.5</v>
      </c>
      <c r="H59" s="656">
        <v>143</v>
      </c>
      <c r="I59" s="656">
        <v>25</v>
      </c>
      <c r="J59" s="656">
        <v>34.25</v>
      </c>
      <c r="K59" s="656">
        <v>60</v>
      </c>
      <c r="L59" s="656">
        <v>33</v>
      </c>
      <c r="M59" s="656">
        <v>36</v>
      </c>
      <c r="N59" s="656">
        <v>17</v>
      </c>
      <c r="O59" s="656">
        <v>67</v>
      </c>
      <c r="P59" s="654">
        <v>46447</v>
      </c>
      <c r="Q59" s="655">
        <v>148</v>
      </c>
      <c r="R59" s="657">
        <v>216</v>
      </c>
      <c r="S59" s="655">
        <v>112.96296296296296</v>
      </c>
      <c r="T59" s="656">
        <v>71.38</v>
      </c>
      <c r="U59" s="656">
        <v>74.5</v>
      </c>
      <c r="V59" s="656">
        <v>77.5</v>
      </c>
      <c r="W59" s="656">
        <v>21</v>
      </c>
      <c r="X59" s="656">
        <v>88.888888888888886</v>
      </c>
      <c r="Y59" s="656">
        <v>10.55</v>
      </c>
      <c r="Z59" s="656">
        <v>100</v>
      </c>
      <c r="AA59" s="656">
        <v>21.511846001974334</v>
      </c>
      <c r="AB59" s="656">
        <v>76</v>
      </c>
      <c r="AC59" s="656">
        <v>32.5</v>
      </c>
      <c r="AD59" s="656">
        <v>120</v>
      </c>
      <c r="AE59" s="656">
        <v>85</v>
      </c>
    </row>
    <row r="60" spans="1:45" x14ac:dyDescent="0.35">
      <c r="A60" s="86">
        <f t="shared" si="32"/>
        <v>46507</v>
      </c>
      <c r="B60" s="658">
        <v>46478</v>
      </c>
      <c r="C60" s="655">
        <v>120</v>
      </c>
      <c r="D60" s="656">
        <v>40</v>
      </c>
      <c r="E60" s="656">
        <v>17</v>
      </c>
      <c r="F60" s="656">
        <v>40</v>
      </c>
      <c r="G60" s="656">
        <v>27</v>
      </c>
      <c r="H60" s="656">
        <v>90</v>
      </c>
      <c r="I60" s="656">
        <v>19.25</v>
      </c>
      <c r="J60" s="656">
        <v>33.75</v>
      </c>
      <c r="K60" s="656">
        <v>47.5</v>
      </c>
      <c r="L60" s="656">
        <v>33</v>
      </c>
      <c r="M60" s="656">
        <v>30</v>
      </c>
      <c r="N60" s="656">
        <v>15</v>
      </c>
      <c r="O60" s="656">
        <v>53.5</v>
      </c>
      <c r="P60" s="654">
        <v>46478</v>
      </c>
      <c r="Q60" s="655">
        <v>120</v>
      </c>
      <c r="R60" s="657">
        <v>188</v>
      </c>
      <c r="S60" s="655">
        <v>96.296296296296291</v>
      </c>
      <c r="T60" s="656">
        <v>59.88</v>
      </c>
      <c r="U60" s="656">
        <v>66</v>
      </c>
      <c r="V60" s="656">
        <v>63</v>
      </c>
      <c r="W60" s="656">
        <v>16</v>
      </c>
      <c r="X60" s="656">
        <v>66.666666666666671</v>
      </c>
      <c r="Y60" s="656">
        <v>9.0500000000000007</v>
      </c>
      <c r="Z60" s="656">
        <v>95</v>
      </c>
      <c r="AA60" s="656">
        <v>17.839091806515302</v>
      </c>
      <c r="AB60" s="656">
        <v>49.5</v>
      </c>
      <c r="AC60" s="656">
        <v>28.749999999999996</v>
      </c>
      <c r="AD60" s="656">
        <v>110</v>
      </c>
      <c r="AE60" s="656">
        <v>75</v>
      </c>
    </row>
    <row r="61" spans="1:45" ht="15" thickBot="1" x14ac:dyDescent="0.4">
      <c r="A61" s="86">
        <f t="shared" si="32"/>
        <v>46538</v>
      </c>
      <c r="B61" s="645">
        <v>46508</v>
      </c>
      <c r="C61" s="655">
        <v>100</v>
      </c>
      <c r="D61" s="656">
        <v>36</v>
      </c>
      <c r="E61" s="656">
        <v>17</v>
      </c>
      <c r="F61" s="656">
        <v>40</v>
      </c>
      <c r="G61" s="656">
        <v>27</v>
      </c>
      <c r="H61" s="656">
        <v>90</v>
      </c>
      <c r="I61" s="656">
        <v>19.25</v>
      </c>
      <c r="J61" s="656">
        <v>33.75</v>
      </c>
      <c r="K61" s="656">
        <v>47.5</v>
      </c>
      <c r="L61" s="656">
        <v>33</v>
      </c>
      <c r="M61" s="656">
        <v>30</v>
      </c>
      <c r="N61" s="656">
        <v>15</v>
      </c>
      <c r="O61" s="656">
        <v>53.5</v>
      </c>
      <c r="P61" s="659">
        <v>46508</v>
      </c>
      <c r="Q61" s="655">
        <v>120</v>
      </c>
      <c r="R61" s="657">
        <v>188</v>
      </c>
      <c r="S61" s="655">
        <v>96.296296296296291</v>
      </c>
      <c r="T61" s="656">
        <v>59.88</v>
      </c>
      <c r="U61" s="656">
        <v>63</v>
      </c>
      <c r="V61" s="656">
        <v>63</v>
      </c>
      <c r="W61" s="656">
        <v>16</v>
      </c>
      <c r="X61" s="656">
        <v>66.666666666666671</v>
      </c>
      <c r="Y61" s="656">
        <v>9.0500000000000007</v>
      </c>
      <c r="Z61" s="656">
        <v>95</v>
      </c>
      <c r="AA61" s="656">
        <v>17.839091806515302</v>
      </c>
      <c r="AB61" s="656">
        <v>49.5</v>
      </c>
      <c r="AC61" s="656">
        <v>28.749999999999996</v>
      </c>
      <c r="AD61" s="656">
        <v>95</v>
      </c>
      <c r="AE61" s="656">
        <v>65</v>
      </c>
    </row>
    <row r="62" spans="1:45" x14ac:dyDescent="0.35">
      <c r="A62" s="86" t="str">
        <f t="shared" ref="A62:A72" si="33">B62</f>
        <v>Q4-26</v>
      </c>
      <c r="B62" s="660" t="s">
        <v>251</v>
      </c>
      <c r="C62" s="651">
        <v>208.66825</v>
      </c>
      <c r="D62" s="652">
        <v>104.548</v>
      </c>
      <c r="E62" s="652">
        <v>35.455000000000005</v>
      </c>
      <c r="F62" s="652">
        <v>108.4225</v>
      </c>
      <c r="G62" s="652">
        <v>41.895899999999997</v>
      </c>
      <c r="H62" s="652">
        <v>182.38616666666667</v>
      </c>
      <c r="I62" s="652">
        <v>31.495333333333335</v>
      </c>
      <c r="J62" s="652">
        <v>50.324999999999996</v>
      </c>
      <c r="K62" s="652">
        <v>82.271000000000001</v>
      </c>
      <c r="L62" s="652">
        <v>44.954000000000001</v>
      </c>
      <c r="M62" s="652">
        <v>63.333333333333336</v>
      </c>
      <c r="N62" s="652">
        <v>29.498000000000001</v>
      </c>
      <c r="O62" s="652">
        <v>81.054000000000002</v>
      </c>
      <c r="P62" s="650" t="s">
        <v>251</v>
      </c>
      <c r="Q62" s="651">
        <v>224</v>
      </c>
      <c r="R62" s="653">
        <v>310</v>
      </c>
      <c r="S62" s="651">
        <v>162.96296296296299</v>
      </c>
      <c r="T62" s="652">
        <v>146.46631266666668</v>
      </c>
      <c r="U62" s="652">
        <v>149.52116666666666</v>
      </c>
      <c r="V62" s="652">
        <v>152.79483333333332</v>
      </c>
      <c r="W62" s="652">
        <v>38.333333333333336</v>
      </c>
      <c r="X62" s="652">
        <v>138.88888888888889</v>
      </c>
      <c r="Y62" s="652">
        <v>15.272499999999999</v>
      </c>
      <c r="Z62" s="652">
        <v>155</v>
      </c>
      <c r="AA62" s="652">
        <v>37.205000000000005</v>
      </c>
      <c r="AB62" s="652">
        <v>93.441333333333333</v>
      </c>
      <c r="AC62" s="652">
        <v>56.25</v>
      </c>
      <c r="AD62" s="652">
        <v>155.38200000000001</v>
      </c>
      <c r="AE62" s="652">
        <v>116.06516666666667</v>
      </c>
    </row>
    <row r="63" spans="1:45" x14ac:dyDescent="0.35">
      <c r="A63" s="86" t="str">
        <f t="shared" si="33"/>
        <v>Q1-27</v>
      </c>
      <c r="B63" s="658" t="s">
        <v>252</v>
      </c>
      <c r="C63" s="655">
        <v>156</v>
      </c>
      <c r="D63" s="656">
        <v>52</v>
      </c>
      <c r="E63" s="656">
        <v>21</v>
      </c>
      <c r="F63" s="656">
        <v>60</v>
      </c>
      <c r="G63" s="656">
        <v>32.5</v>
      </c>
      <c r="H63" s="656">
        <v>145</v>
      </c>
      <c r="I63" s="656">
        <v>25</v>
      </c>
      <c r="J63" s="656">
        <v>35.25</v>
      </c>
      <c r="K63" s="656">
        <v>61</v>
      </c>
      <c r="L63" s="656">
        <v>33.5</v>
      </c>
      <c r="M63" s="656">
        <v>36</v>
      </c>
      <c r="N63" s="656">
        <v>18</v>
      </c>
      <c r="O63" s="656">
        <v>67</v>
      </c>
      <c r="P63" s="662" t="s">
        <v>252</v>
      </c>
      <c r="Q63" s="655">
        <v>165</v>
      </c>
      <c r="R63" s="657">
        <v>226</v>
      </c>
      <c r="S63" s="655">
        <v>122.22222222222221</v>
      </c>
      <c r="T63" s="656">
        <v>74.38</v>
      </c>
      <c r="U63" s="656">
        <v>77.5</v>
      </c>
      <c r="V63" s="656">
        <v>77.5</v>
      </c>
      <c r="W63" s="656">
        <v>23</v>
      </c>
      <c r="X63" s="656">
        <v>88.888888888888886</v>
      </c>
      <c r="Y63" s="656">
        <v>10.55</v>
      </c>
      <c r="Z63" s="656">
        <v>111.66666666666667</v>
      </c>
      <c r="AA63" s="656">
        <v>22.036525172754196</v>
      </c>
      <c r="AB63" s="656">
        <v>76</v>
      </c>
      <c r="AC63" s="656">
        <v>32.5</v>
      </c>
      <c r="AD63" s="656">
        <v>130</v>
      </c>
      <c r="AE63" s="656">
        <v>95</v>
      </c>
    </row>
    <row r="64" spans="1:45" x14ac:dyDescent="0.35">
      <c r="A64" s="86" t="str">
        <f t="shared" si="33"/>
        <v>Q2-27</v>
      </c>
      <c r="B64" s="658" t="s">
        <v>253</v>
      </c>
      <c r="C64" s="655">
        <v>100</v>
      </c>
      <c r="D64" s="656">
        <v>36</v>
      </c>
      <c r="E64" s="656">
        <v>17</v>
      </c>
      <c r="F64" s="656">
        <v>40</v>
      </c>
      <c r="G64" s="656">
        <v>27</v>
      </c>
      <c r="H64" s="656">
        <v>90</v>
      </c>
      <c r="I64" s="656">
        <v>19.25</v>
      </c>
      <c r="J64" s="656">
        <v>33.75</v>
      </c>
      <c r="K64" s="656">
        <v>47.5</v>
      </c>
      <c r="L64" s="656">
        <v>33</v>
      </c>
      <c r="M64" s="656">
        <v>30</v>
      </c>
      <c r="N64" s="656">
        <v>15</v>
      </c>
      <c r="O64" s="656">
        <v>53.5</v>
      </c>
      <c r="P64" s="662" t="s">
        <v>253</v>
      </c>
      <c r="Q64" s="655">
        <v>120</v>
      </c>
      <c r="R64" s="657">
        <v>188</v>
      </c>
      <c r="S64" s="655">
        <v>96.296296296296291</v>
      </c>
      <c r="T64" s="656">
        <v>59.88</v>
      </c>
      <c r="U64" s="656">
        <v>63</v>
      </c>
      <c r="V64" s="656">
        <v>63</v>
      </c>
      <c r="W64" s="656">
        <v>16</v>
      </c>
      <c r="X64" s="656">
        <v>66.666666666666671</v>
      </c>
      <c r="Y64" s="656">
        <v>9.0500000000000007</v>
      </c>
      <c r="Z64" s="656">
        <v>95</v>
      </c>
      <c r="AA64" s="656">
        <v>17.839091806515302</v>
      </c>
      <c r="AB64" s="656">
        <v>49.5</v>
      </c>
      <c r="AC64" s="656">
        <v>28.749999999999996</v>
      </c>
      <c r="AD64" s="656">
        <v>100</v>
      </c>
      <c r="AE64" s="656">
        <v>65</v>
      </c>
    </row>
    <row r="65" spans="1:31" x14ac:dyDescent="0.35">
      <c r="A65" s="86" t="str">
        <f t="shared" si="33"/>
        <v>Q3-27</v>
      </c>
      <c r="B65" s="658" t="s">
        <v>254</v>
      </c>
      <c r="C65" s="655">
        <v>54</v>
      </c>
      <c r="D65" s="656">
        <v>27.5</v>
      </c>
      <c r="E65" s="656">
        <v>16</v>
      </c>
      <c r="F65" s="656">
        <v>22</v>
      </c>
      <c r="G65" s="656">
        <v>22.5</v>
      </c>
      <c r="H65" s="656">
        <v>72.5</v>
      </c>
      <c r="I65" s="656">
        <v>16.600000000000001</v>
      </c>
      <c r="J65" s="656">
        <v>33.5</v>
      </c>
      <c r="K65" s="656">
        <v>38.5</v>
      </c>
      <c r="L65" s="656">
        <v>33.549999999999997</v>
      </c>
      <c r="M65" s="656">
        <v>28</v>
      </c>
      <c r="N65" s="656">
        <v>13</v>
      </c>
      <c r="O65" s="656">
        <v>44.5</v>
      </c>
      <c r="P65" s="662" t="s">
        <v>254</v>
      </c>
      <c r="Q65" s="655">
        <v>102.66</v>
      </c>
      <c r="R65" s="657">
        <v>154.66</v>
      </c>
      <c r="S65" s="655">
        <v>74.074074074074076</v>
      </c>
      <c r="T65" s="656">
        <v>49.38</v>
      </c>
      <c r="U65" s="656">
        <v>52.5</v>
      </c>
      <c r="V65" s="656">
        <v>52.5</v>
      </c>
      <c r="W65" s="656">
        <v>12.25</v>
      </c>
      <c r="X65" s="656">
        <v>55.555555555555557</v>
      </c>
      <c r="Y65" s="656">
        <v>8.8000000000000007</v>
      </c>
      <c r="Z65" s="656">
        <v>85</v>
      </c>
      <c r="AA65" s="656">
        <v>16.789733464955578</v>
      </c>
      <c r="AB65" s="656">
        <v>30.75</v>
      </c>
      <c r="AC65" s="656">
        <v>27.500000000000004</v>
      </c>
      <c r="AD65" s="656">
        <v>65</v>
      </c>
      <c r="AE65" s="656">
        <v>32.5</v>
      </c>
    </row>
    <row r="66" spans="1:31" x14ac:dyDescent="0.35">
      <c r="A66" s="86" t="str">
        <f t="shared" si="33"/>
        <v>Q4-27</v>
      </c>
      <c r="B66" s="658" t="s">
        <v>255</v>
      </c>
      <c r="C66" s="655">
        <v>40</v>
      </c>
      <c r="D66" s="656">
        <v>29.5</v>
      </c>
      <c r="E66" s="656">
        <v>18</v>
      </c>
      <c r="F66" s="656">
        <v>27</v>
      </c>
      <c r="G66" s="656">
        <v>26</v>
      </c>
      <c r="H66" s="656">
        <v>77.5</v>
      </c>
      <c r="I66" s="656">
        <v>17.600000000000001</v>
      </c>
      <c r="J66" s="656">
        <v>35.5</v>
      </c>
      <c r="K66" s="656">
        <v>47</v>
      </c>
      <c r="L66" s="656">
        <v>35.549999999999997</v>
      </c>
      <c r="M66" s="656">
        <v>30</v>
      </c>
      <c r="N66" s="656">
        <v>14.999999999999996</v>
      </c>
      <c r="O66" s="656">
        <v>53</v>
      </c>
      <c r="P66" s="662" t="s">
        <v>255</v>
      </c>
      <c r="Q66" s="655">
        <v>100</v>
      </c>
      <c r="R66" s="657">
        <v>145.33000000000001</v>
      </c>
      <c r="S66" s="655">
        <v>81.481481481481495</v>
      </c>
      <c r="T66" s="656">
        <v>50.88</v>
      </c>
      <c r="U66" s="656">
        <v>54</v>
      </c>
      <c r="V66" s="656">
        <v>54</v>
      </c>
      <c r="W66" s="656">
        <v>14.25</v>
      </c>
      <c r="X66" s="656">
        <v>66.666666666666671</v>
      </c>
      <c r="Y66" s="656">
        <v>10.8</v>
      </c>
      <c r="Z66" s="656">
        <v>80</v>
      </c>
      <c r="AA66" s="656">
        <v>18.888450148075027</v>
      </c>
      <c r="AB66" s="656">
        <v>32.549999999999997</v>
      </c>
      <c r="AC66" s="656">
        <v>31.25</v>
      </c>
      <c r="AD66" s="656">
        <v>50</v>
      </c>
      <c r="AE66" s="656">
        <v>23.5</v>
      </c>
    </row>
    <row r="67" spans="1:31" x14ac:dyDescent="0.35">
      <c r="A67" s="86" t="str">
        <f t="shared" si="33"/>
        <v>Q1-28</v>
      </c>
      <c r="B67" s="658" t="s">
        <v>426</v>
      </c>
      <c r="C67" s="655">
        <v>29.9</v>
      </c>
      <c r="D67" s="656">
        <v>26.25</v>
      </c>
      <c r="E67" s="656">
        <v>16.5</v>
      </c>
      <c r="F67" s="656">
        <v>22.25</v>
      </c>
      <c r="G67" s="656">
        <v>20.75</v>
      </c>
      <c r="H67" s="656">
        <v>59</v>
      </c>
      <c r="I67" s="656">
        <v>14.5</v>
      </c>
      <c r="J67" s="656">
        <v>36.25</v>
      </c>
      <c r="K67" s="656">
        <v>35.25</v>
      </c>
      <c r="L67" s="656">
        <v>36.299999999999997</v>
      </c>
      <c r="M67" s="656">
        <v>33</v>
      </c>
      <c r="N67" s="656">
        <v>15.55</v>
      </c>
      <c r="O67" s="656">
        <v>32</v>
      </c>
      <c r="P67" s="662" t="s">
        <v>426</v>
      </c>
      <c r="Q67" s="655">
        <v>80</v>
      </c>
      <c r="R67" s="657">
        <v>136</v>
      </c>
      <c r="S67" s="655">
        <v>57.407407407407405</v>
      </c>
      <c r="T67" s="656">
        <v>41.38</v>
      </c>
      <c r="U67" s="656">
        <v>44.5</v>
      </c>
      <c r="V67" s="656">
        <v>44.5</v>
      </c>
      <c r="W67" s="656">
        <v>14.75</v>
      </c>
      <c r="X67" s="656">
        <v>55.555555555555557</v>
      </c>
      <c r="Y67" s="656">
        <v>11.55</v>
      </c>
      <c r="Z67" s="656">
        <v>60.5</v>
      </c>
      <c r="AA67" s="656">
        <v>17.31441263573544</v>
      </c>
      <c r="AB67" s="656">
        <v>27.5</v>
      </c>
      <c r="AC67" s="656">
        <v>33.749999999999993</v>
      </c>
      <c r="AD67" s="656">
        <v>47</v>
      </c>
      <c r="AE67" s="656">
        <v>20</v>
      </c>
    </row>
    <row r="68" spans="1:31" ht="15" thickBot="1" x14ac:dyDescent="0.4">
      <c r="A68" s="86" t="str">
        <f t="shared" si="33"/>
        <v>Q2-28</v>
      </c>
      <c r="B68" s="645" t="s">
        <v>475</v>
      </c>
      <c r="C68" s="663">
        <v>27.9</v>
      </c>
      <c r="D68" s="664">
        <v>24.25</v>
      </c>
      <c r="E68" s="664">
        <v>14.5</v>
      </c>
      <c r="F68" s="664">
        <v>20.25</v>
      </c>
      <c r="G68" s="664">
        <v>18.75</v>
      </c>
      <c r="H68" s="664">
        <v>57</v>
      </c>
      <c r="I68" s="664">
        <v>12.5</v>
      </c>
      <c r="J68" s="664">
        <v>34.25</v>
      </c>
      <c r="K68" s="664">
        <v>33.25</v>
      </c>
      <c r="L68" s="664">
        <v>34.299999999999997</v>
      </c>
      <c r="M68" s="664">
        <v>31</v>
      </c>
      <c r="N68" s="664">
        <v>13.55</v>
      </c>
      <c r="O68" s="664">
        <v>30</v>
      </c>
      <c r="P68" s="665" t="s">
        <v>475</v>
      </c>
      <c r="Q68" s="663">
        <v>75</v>
      </c>
      <c r="R68" s="666">
        <v>135</v>
      </c>
      <c r="S68" s="663">
        <v>50</v>
      </c>
      <c r="T68" s="664">
        <v>39.380000000000003</v>
      </c>
      <c r="U68" s="664">
        <v>42.5</v>
      </c>
      <c r="V68" s="664">
        <v>42.5</v>
      </c>
      <c r="W68" s="664">
        <v>12.75</v>
      </c>
      <c r="X68" s="664">
        <v>50</v>
      </c>
      <c r="Y68" s="664">
        <v>9.5500000000000007</v>
      </c>
      <c r="Z68" s="664">
        <v>58.5</v>
      </c>
      <c r="AA68" s="664">
        <v>15.215695952615993</v>
      </c>
      <c r="AB68" s="664">
        <v>25.5</v>
      </c>
      <c r="AC68" s="664">
        <v>28.749999999999996</v>
      </c>
      <c r="AD68" s="664">
        <v>45</v>
      </c>
      <c r="AE68" s="664">
        <v>19</v>
      </c>
    </row>
    <row r="69" spans="1:31" ht="15" thickBot="1" x14ac:dyDescent="0.4">
      <c r="A69" s="86" t="str">
        <f t="shared" si="33"/>
        <v>Nov-Dec'26</v>
      </c>
      <c r="B69" s="667" t="s">
        <v>477</v>
      </c>
      <c r="C69" s="646">
        <v>194.773875</v>
      </c>
      <c r="D69" s="647">
        <v>95.023499999999984</v>
      </c>
      <c r="E69" s="647">
        <v>32.922499999999999</v>
      </c>
      <c r="F69" s="647">
        <v>103.17625</v>
      </c>
      <c r="G69" s="647">
        <v>42.13485</v>
      </c>
      <c r="H69" s="647">
        <v>174.40324999999999</v>
      </c>
      <c r="I69" s="647">
        <v>32.355500000000006</v>
      </c>
      <c r="J69" s="647">
        <v>48.311999999999998</v>
      </c>
      <c r="K69" s="647">
        <v>80.580500000000001</v>
      </c>
      <c r="L69" s="647">
        <v>41.495999999999995</v>
      </c>
      <c r="M69" s="647">
        <v>57.5</v>
      </c>
      <c r="N69" s="647">
        <v>26.788999999999998</v>
      </c>
      <c r="O69" s="647">
        <v>79.515000000000001</v>
      </c>
      <c r="P69" s="668" t="s">
        <v>477</v>
      </c>
      <c r="Q69" s="646">
        <v>217.5</v>
      </c>
      <c r="R69" s="649">
        <v>300</v>
      </c>
      <c r="S69" s="646">
        <v>153.7037037037037</v>
      </c>
      <c r="T69" s="647">
        <v>137.71214600000002</v>
      </c>
      <c r="U69" s="647">
        <v>140.76700000000002</v>
      </c>
      <c r="V69" s="647">
        <v>143.84899999999999</v>
      </c>
      <c r="W69" s="647">
        <v>35</v>
      </c>
      <c r="X69" s="647">
        <v>122.22222222222223</v>
      </c>
      <c r="Y69" s="647">
        <v>13.59625</v>
      </c>
      <c r="Z69" s="647">
        <v>152.5</v>
      </c>
      <c r="AA69" s="647">
        <v>34.547499999999999</v>
      </c>
      <c r="AB69" s="647">
        <v>91.41</v>
      </c>
      <c r="AC69" s="647">
        <v>53.125</v>
      </c>
      <c r="AD69" s="647">
        <v>150.423</v>
      </c>
      <c r="AE69" s="647">
        <v>110.61975000000001</v>
      </c>
    </row>
    <row r="70" spans="1:31" x14ac:dyDescent="0.35">
      <c r="A70" s="86" t="str">
        <f t="shared" si="33"/>
        <v>Cal-27</v>
      </c>
      <c r="B70" s="669" t="s">
        <v>196</v>
      </c>
      <c r="C70" s="655">
        <v>87.5</v>
      </c>
      <c r="D70" s="656">
        <v>36.25</v>
      </c>
      <c r="E70" s="656">
        <v>18</v>
      </c>
      <c r="F70" s="656">
        <v>37.25</v>
      </c>
      <c r="G70" s="656">
        <v>27</v>
      </c>
      <c r="H70" s="656">
        <v>96.25</v>
      </c>
      <c r="I70" s="656">
        <v>19.612500000000001</v>
      </c>
      <c r="J70" s="656">
        <v>34.5</v>
      </c>
      <c r="K70" s="656">
        <v>48.5</v>
      </c>
      <c r="L70" s="656">
        <v>33.9</v>
      </c>
      <c r="M70" s="656">
        <v>31</v>
      </c>
      <c r="N70" s="656">
        <v>15.25</v>
      </c>
      <c r="O70" s="656">
        <v>54.5</v>
      </c>
      <c r="P70" s="661" t="s">
        <v>196</v>
      </c>
      <c r="Q70" s="655">
        <v>121.91499999999999</v>
      </c>
      <c r="R70" s="657">
        <v>178.4975</v>
      </c>
      <c r="S70" s="655">
        <v>93.518518518518519</v>
      </c>
      <c r="T70" s="656">
        <v>58.629999999999995</v>
      </c>
      <c r="U70" s="656">
        <v>61.75</v>
      </c>
      <c r="V70" s="656">
        <v>61.75</v>
      </c>
      <c r="W70" s="656">
        <v>16.375</v>
      </c>
      <c r="X70" s="656">
        <v>69.444444444444443</v>
      </c>
      <c r="Y70" s="656">
        <v>9.8000000000000007</v>
      </c>
      <c r="Z70" s="656">
        <v>92.916666666666671</v>
      </c>
      <c r="AA70" s="656">
        <v>18.888450148075023</v>
      </c>
      <c r="AB70" s="656">
        <v>47.2</v>
      </c>
      <c r="AC70" s="656">
        <v>30.000000000000007</v>
      </c>
      <c r="AD70" s="656">
        <v>86.25</v>
      </c>
      <c r="AE70" s="656">
        <v>54</v>
      </c>
    </row>
    <row r="71" spans="1:31" x14ac:dyDescent="0.35">
      <c r="A71" s="86" t="str">
        <f t="shared" si="33"/>
        <v>Cal-28</v>
      </c>
      <c r="B71" s="670" t="s">
        <v>256</v>
      </c>
      <c r="C71" s="655">
        <v>27.9</v>
      </c>
      <c r="D71" s="656">
        <v>24.25</v>
      </c>
      <c r="E71" s="656">
        <v>14.5</v>
      </c>
      <c r="F71" s="656">
        <v>20.25</v>
      </c>
      <c r="G71" s="656">
        <v>18.75</v>
      </c>
      <c r="H71" s="656">
        <v>57</v>
      </c>
      <c r="I71" s="656">
        <v>12.5</v>
      </c>
      <c r="J71" s="656">
        <v>34.25</v>
      </c>
      <c r="K71" s="656">
        <v>33.25</v>
      </c>
      <c r="L71" s="656">
        <v>34.299999999999997</v>
      </c>
      <c r="M71" s="656">
        <v>31</v>
      </c>
      <c r="N71" s="656">
        <v>13.55</v>
      </c>
      <c r="O71" s="656">
        <v>30</v>
      </c>
      <c r="P71" s="662" t="s">
        <v>256</v>
      </c>
      <c r="Q71" s="655">
        <v>75</v>
      </c>
      <c r="R71" s="657">
        <v>130</v>
      </c>
      <c r="S71" s="655">
        <v>50</v>
      </c>
      <c r="T71" s="656">
        <v>39.380000000000003</v>
      </c>
      <c r="U71" s="656">
        <v>42.5</v>
      </c>
      <c r="V71" s="656">
        <v>42.5</v>
      </c>
      <c r="W71" s="656">
        <v>12.75</v>
      </c>
      <c r="X71" s="656">
        <v>50</v>
      </c>
      <c r="Y71" s="656">
        <v>9.5500000000000007</v>
      </c>
      <c r="Z71" s="656">
        <v>58.5</v>
      </c>
      <c r="AA71" s="656">
        <v>15.215695952615993</v>
      </c>
      <c r="AB71" s="656">
        <v>25.5</v>
      </c>
      <c r="AC71" s="656">
        <v>28.749999999999996</v>
      </c>
      <c r="AD71" s="656">
        <v>45</v>
      </c>
      <c r="AE71" s="656">
        <v>19</v>
      </c>
    </row>
    <row r="72" spans="1:31" ht="15" thickBot="1" x14ac:dyDescent="0.4">
      <c r="A72" s="86" t="str">
        <f t="shared" si="33"/>
        <v>Cal-29</v>
      </c>
      <c r="B72" s="671" t="s">
        <v>257</v>
      </c>
      <c r="C72" s="663">
        <v>20</v>
      </c>
      <c r="D72" s="664">
        <v>18.25</v>
      </c>
      <c r="E72" s="664">
        <v>12.8</v>
      </c>
      <c r="F72" s="664">
        <v>19.7</v>
      </c>
      <c r="G72" s="664">
        <v>18.399999999999999</v>
      </c>
      <c r="H72" s="664">
        <v>38</v>
      </c>
      <c r="I72" s="664">
        <v>12.1</v>
      </c>
      <c r="J72" s="664">
        <v>33.75</v>
      </c>
      <c r="K72" s="664">
        <v>32.75</v>
      </c>
      <c r="L72" s="664">
        <v>33.9</v>
      </c>
      <c r="M72" s="664">
        <v>30.75</v>
      </c>
      <c r="N72" s="664">
        <v>13.25</v>
      </c>
      <c r="O72" s="664">
        <v>40.75</v>
      </c>
      <c r="P72" s="665" t="s">
        <v>257</v>
      </c>
      <c r="Q72" s="663">
        <v>73</v>
      </c>
      <c r="R72" s="666">
        <v>130</v>
      </c>
      <c r="S72" s="663">
        <v>46.296296296296291</v>
      </c>
      <c r="T72" s="664">
        <v>30.88</v>
      </c>
      <c r="U72" s="664">
        <v>34</v>
      </c>
      <c r="V72" s="664">
        <v>34</v>
      </c>
      <c r="W72" s="664">
        <v>12.5</v>
      </c>
      <c r="X72" s="664">
        <v>48.888888888888886</v>
      </c>
      <c r="Y72" s="664">
        <v>9.3500000000000014</v>
      </c>
      <c r="Z72" s="664">
        <v>55.5</v>
      </c>
      <c r="AA72" s="664">
        <v>14.965695952615993</v>
      </c>
      <c r="AB72" s="664">
        <v>23.5</v>
      </c>
      <c r="AC72" s="664">
        <v>27.499999999999996</v>
      </c>
      <c r="AD72" s="664">
        <v>30</v>
      </c>
      <c r="AE72" s="664">
        <v>13</v>
      </c>
    </row>
    <row r="73" spans="1:31" x14ac:dyDescent="0.35">
      <c r="I73" t="e">
        <f t="shared" ref="I73:I82" si="34">VLOOKUP(K73,$E$59:$F$70,2,FALSE)</f>
        <v>#N/A</v>
      </c>
      <c r="J73">
        <f t="shared" ref="J73:J82" si="35">YEAR(L73)</f>
        <v>2028</v>
      </c>
      <c r="K73">
        <f t="shared" ref="K73:K94" si="36">MONTH(L73)</f>
        <v>1</v>
      </c>
      <c r="L73" s="86">
        <f>FWD!E19</f>
        <v>46783</v>
      </c>
      <c r="M73" t="e">
        <f t="shared" ref="M73:M86" si="37">"q"&amp;I73&amp;"-"&amp;RIGHT(J73,2)</f>
        <v>#N/A</v>
      </c>
    </row>
    <row r="74" spans="1:31" x14ac:dyDescent="0.35">
      <c r="I74" t="e">
        <f t="shared" si="34"/>
        <v>#N/A</v>
      </c>
      <c r="J74">
        <f t="shared" si="35"/>
        <v>2028</v>
      </c>
      <c r="K74">
        <f t="shared" si="36"/>
        <v>2</v>
      </c>
      <c r="L74" s="86">
        <f>FWD!E20</f>
        <v>46812</v>
      </c>
      <c r="M74" t="e">
        <f t="shared" si="37"/>
        <v>#N/A</v>
      </c>
    </row>
    <row r="75" spans="1:31" x14ac:dyDescent="0.35">
      <c r="I75" t="e">
        <f t="shared" si="34"/>
        <v>#N/A</v>
      </c>
      <c r="J75">
        <f t="shared" si="35"/>
        <v>2028</v>
      </c>
      <c r="K75">
        <f t="shared" si="36"/>
        <v>3</v>
      </c>
      <c r="L75" s="86">
        <f>FWD!E21</f>
        <v>46843</v>
      </c>
      <c r="M75" t="e">
        <f t="shared" si="37"/>
        <v>#N/A</v>
      </c>
    </row>
    <row r="76" spans="1:31" x14ac:dyDescent="0.35">
      <c r="I76" t="e">
        <f t="shared" si="34"/>
        <v>#N/A</v>
      </c>
      <c r="J76">
        <f t="shared" si="35"/>
        <v>2028</v>
      </c>
      <c r="K76">
        <f t="shared" si="36"/>
        <v>4</v>
      </c>
      <c r="L76" s="86">
        <f>FWD!E22</f>
        <v>46873</v>
      </c>
      <c r="M76" t="e">
        <f t="shared" si="37"/>
        <v>#N/A</v>
      </c>
    </row>
    <row r="77" spans="1:31" x14ac:dyDescent="0.35">
      <c r="I77" t="e">
        <f t="shared" si="34"/>
        <v>#N/A</v>
      </c>
      <c r="J77">
        <f t="shared" si="35"/>
        <v>2028</v>
      </c>
      <c r="K77">
        <f t="shared" si="36"/>
        <v>5</v>
      </c>
      <c r="L77" s="86">
        <f>FWD!E23</f>
        <v>46904</v>
      </c>
      <c r="M77" t="e">
        <f t="shared" si="37"/>
        <v>#N/A</v>
      </c>
    </row>
    <row r="78" spans="1:31" x14ac:dyDescent="0.35">
      <c r="I78" t="e">
        <f t="shared" si="34"/>
        <v>#N/A</v>
      </c>
      <c r="J78">
        <f t="shared" si="35"/>
        <v>2028</v>
      </c>
      <c r="K78">
        <f t="shared" si="36"/>
        <v>6</v>
      </c>
      <c r="L78" s="86">
        <f>FWD!E24</f>
        <v>46934</v>
      </c>
      <c r="M78" t="e">
        <f t="shared" si="37"/>
        <v>#N/A</v>
      </c>
    </row>
    <row r="79" spans="1:31" x14ac:dyDescent="0.35">
      <c r="I79" t="e">
        <f t="shared" si="34"/>
        <v>#N/A</v>
      </c>
      <c r="J79">
        <f t="shared" si="35"/>
        <v>2028</v>
      </c>
      <c r="K79">
        <f t="shared" si="36"/>
        <v>7</v>
      </c>
      <c r="L79" s="86">
        <f>FWD!E25</f>
        <v>46965</v>
      </c>
      <c r="M79" t="e">
        <f t="shared" si="37"/>
        <v>#N/A</v>
      </c>
    </row>
    <row r="80" spans="1:31" x14ac:dyDescent="0.35">
      <c r="I80" t="e">
        <f t="shared" si="34"/>
        <v>#N/A</v>
      </c>
      <c r="J80">
        <f t="shared" si="35"/>
        <v>2028</v>
      </c>
      <c r="K80">
        <f t="shared" si="36"/>
        <v>8</v>
      </c>
      <c r="L80" s="86">
        <f>FWD!E26</f>
        <v>46996</v>
      </c>
      <c r="M80" t="e">
        <f t="shared" si="37"/>
        <v>#N/A</v>
      </c>
    </row>
    <row r="81" spans="9:13" x14ac:dyDescent="0.35">
      <c r="I81" t="e">
        <f t="shared" si="34"/>
        <v>#N/A</v>
      </c>
      <c r="J81">
        <f t="shared" si="35"/>
        <v>2028</v>
      </c>
      <c r="K81">
        <f t="shared" si="36"/>
        <v>9</v>
      </c>
      <c r="L81" s="86">
        <f>FWD!E27</f>
        <v>47026</v>
      </c>
      <c r="M81" t="e">
        <f t="shared" si="37"/>
        <v>#N/A</v>
      </c>
    </row>
    <row r="82" spans="9:13" x14ac:dyDescent="0.35">
      <c r="I82" t="e">
        <f t="shared" si="34"/>
        <v>#N/A</v>
      </c>
      <c r="J82">
        <f t="shared" si="35"/>
        <v>2028</v>
      </c>
      <c r="K82">
        <f t="shared" si="36"/>
        <v>10</v>
      </c>
      <c r="L82" s="86">
        <f>FWD!E28</f>
        <v>47057</v>
      </c>
      <c r="M82" t="e">
        <f t="shared" si="37"/>
        <v>#N/A</v>
      </c>
    </row>
    <row r="83" spans="9:13" x14ac:dyDescent="0.35">
      <c r="K83">
        <f t="shared" si="36"/>
        <v>11</v>
      </c>
      <c r="L83" s="86">
        <f>FWD!E29</f>
        <v>47087</v>
      </c>
      <c r="M83" t="str">
        <f t="shared" si="37"/>
        <v>q-</v>
      </c>
    </row>
    <row r="84" spans="9:13" x14ac:dyDescent="0.35">
      <c r="K84">
        <f t="shared" si="36"/>
        <v>12</v>
      </c>
      <c r="L84" s="86">
        <f>FWD!E30</f>
        <v>47118</v>
      </c>
      <c r="M84" t="str">
        <f t="shared" si="37"/>
        <v>q-</v>
      </c>
    </row>
    <row r="85" spans="9:13" x14ac:dyDescent="0.35">
      <c r="K85">
        <f t="shared" si="36"/>
        <v>1</v>
      </c>
      <c r="L85" s="86">
        <f>FWD!E31</f>
        <v>47149</v>
      </c>
      <c r="M85" t="str">
        <f t="shared" si="37"/>
        <v>q-</v>
      </c>
    </row>
    <row r="86" spans="9:13" x14ac:dyDescent="0.35">
      <c r="K86">
        <f t="shared" si="36"/>
        <v>2</v>
      </c>
      <c r="L86" s="86">
        <f>FWD!E32</f>
        <v>47177</v>
      </c>
      <c r="M86" t="str">
        <f t="shared" si="37"/>
        <v>q-</v>
      </c>
    </row>
    <row r="87" spans="9:13" x14ac:dyDescent="0.35">
      <c r="K87">
        <f t="shared" si="36"/>
        <v>1</v>
      </c>
    </row>
    <row r="88" spans="9:13" x14ac:dyDescent="0.35">
      <c r="K88">
        <f t="shared" si="36"/>
        <v>1</v>
      </c>
    </row>
    <row r="89" spans="9:13" x14ac:dyDescent="0.35">
      <c r="K89">
        <f t="shared" si="36"/>
        <v>1</v>
      </c>
    </row>
    <row r="90" spans="9:13" x14ac:dyDescent="0.35">
      <c r="K90">
        <f t="shared" si="36"/>
        <v>1</v>
      </c>
    </row>
    <row r="91" spans="9:13" x14ac:dyDescent="0.35">
      <c r="K91">
        <f t="shared" si="36"/>
        <v>1</v>
      </c>
    </row>
    <row r="92" spans="9:13" x14ac:dyDescent="0.35">
      <c r="K92">
        <f t="shared" si="36"/>
        <v>1</v>
      </c>
    </row>
    <row r="93" spans="9:13" x14ac:dyDescent="0.35">
      <c r="K93">
        <f t="shared" si="36"/>
        <v>1</v>
      </c>
    </row>
    <row r="94" spans="9:13" x14ac:dyDescent="0.35">
      <c r="K94">
        <f t="shared" si="36"/>
        <v>1</v>
      </c>
    </row>
  </sheetData>
  <mergeCells count="3">
    <mergeCell ref="P4:Q4"/>
    <mergeCell ref="R4:S4"/>
    <mergeCell ref="T4:U4"/>
  </mergeCell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E48"/>
  <sheetViews>
    <sheetView topLeftCell="A4" zoomScaleNormal="100" workbookViewId="0">
      <selection activeCell="Q34" sqref="Q34"/>
    </sheetView>
  </sheetViews>
  <sheetFormatPr defaultColWidth="9" defaultRowHeight="15.5" x14ac:dyDescent="0.35"/>
  <cols>
    <col min="1" max="1" width="12.453125" style="9" bestFit="1" customWidth="1"/>
    <col min="2" max="3" width="7.453125" style="2" customWidth="1"/>
    <col min="4" max="5" width="7.453125" style="2" bestFit="1" customWidth="1"/>
    <col min="6" max="6" width="6.54296875" style="2" bestFit="1" customWidth="1"/>
    <col min="7" max="7" width="7.54296875" style="2" customWidth="1"/>
    <col min="8" max="8" width="7.453125" style="2" bestFit="1" customWidth="1"/>
    <col min="9" max="9" width="7" style="2" bestFit="1" customWidth="1"/>
    <col min="10" max="10" width="7.453125" style="2" bestFit="1" customWidth="1"/>
    <col min="11" max="12" width="7" style="2" bestFit="1" customWidth="1"/>
    <col min="13" max="13" width="7.453125" style="5" customWidth="1"/>
    <col min="14" max="15" width="9" style="2"/>
    <col min="16" max="16" width="16.54296875" style="2" bestFit="1" customWidth="1"/>
    <col min="17" max="18" width="9" style="2"/>
    <col min="19" max="19" width="9.453125" style="2" customWidth="1"/>
    <col min="20" max="16384" width="9" style="2"/>
  </cols>
  <sheetData>
    <row r="1" spans="1:31" s="1" customFormat="1" ht="15.75" customHeight="1" x14ac:dyDescent="0.35">
      <c r="A1" s="22"/>
      <c r="B1" s="23"/>
      <c r="C1" s="23"/>
      <c r="D1" s="23"/>
      <c r="E1" s="23"/>
      <c r="F1" s="23"/>
      <c r="G1" s="23"/>
      <c r="H1" s="23"/>
      <c r="I1" s="593">
        <v>43671.643180092593</v>
      </c>
      <c r="J1" s="593"/>
      <c r="K1" s="593"/>
      <c r="L1" s="593"/>
      <c r="M1" s="594"/>
    </row>
    <row r="2" spans="1:31" x14ac:dyDescent="0.35">
      <c r="A2" s="595" t="s">
        <v>5</v>
      </c>
      <c r="B2" s="596"/>
      <c r="C2" s="596"/>
      <c r="D2" s="596"/>
      <c r="E2" s="596"/>
      <c r="F2" s="596"/>
      <c r="G2" s="596"/>
      <c r="H2" s="596"/>
      <c r="I2" s="596"/>
      <c r="J2" s="596"/>
      <c r="K2" s="596"/>
      <c r="L2" s="596"/>
      <c r="M2" s="597"/>
      <c r="P2" s="2" t="s">
        <v>262</v>
      </c>
      <c r="Q2" s="19">
        <f>Q9-3</f>
        <v>-3.60318181818183</v>
      </c>
      <c r="Z2" s="2" t="s">
        <v>2</v>
      </c>
      <c r="AB2" s="2" t="s">
        <v>1</v>
      </c>
      <c r="AE2" s="2">
        <v>3</v>
      </c>
    </row>
    <row r="3" spans="1:31" ht="16" thickBot="1" x14ac:dyDescent="0.4">
      <c r="A3" s="598" t="s">
        <v>263</v>
      </c>
      <c r="B3" s="599"/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600"/>
      <c r="P3" s="2" t="s">
        <v>264</v>
      </c>
      <c r="Q3" s="16">
        <f>Q8-AE2-AE3+0.99</f>
        <v>-0.49000000000000399</v>
      </c>
      <c r="S3" s="4" t="s">
        <v>265</v>
      </c>
      <c r="T3" s="4" t="s">
        <v>266</v>
      </c>
      <c r="U3" s="4" t="s">
        <v>267</v>
      </c>
      <c r="V3" s="4"/>
      <c r="Z3" s="11">
        <v>43738</v>
      </c>
      <c r="AA3" s="4">
        <f t="array" ref="AA3">_xll.BDP("CL1 Comdty","LAST_PRICE")</f>
        <v>93.14</v>
      </c>
      <c r="AB3" s="13">
        <v>43738</v>
      </c>
      <c r="AC3" s="3">
        <f t="array" ref="AC3">_xll.BDP("CO1 Comdty","LAST_PRICE")</f>
        <v>102.49</v>
      </c>
      <c r="AE3" s="2">
        <v>1</v>
      </c>
    </row>
    <row r="4" spans="1:31" s="3" customFormat="1" ht="16" thickBot="1" x14ac:dyDescent="0.4">
      <c r="A4" s="24" t="s">
        <v>7</v>
      </c>
      <c r="B4" s="25">
        <v>43678</v>
      </c>
      <c r="C4" s="25">
        <v>43709</v>
      </c>
      <c r="D4" s="25">
        <v>43739</v>
      </c>
      <c r="E4" s="26">
        <v>43770</v>
      </c>
      <c r="F4" s="26">
        <v>43800</v>
      </c>
      <c r="G4" s="26">
        <v>43831</v>
      </c>
      <c r="H4" s="25">
        <v>43862</v>
      </c>
      <c r="I4" s="26">
        <v>43891</v>
      </c>
      <c r="J4" s="25">
        <v>43922</v>
      </c>
      <c r="K4" s="26">
        <v>43952</v>
      </c>
      <c r="L4" s="26">
        <v>43983</v>
      </c>
      <c r="M4" s="27">
        <v>44013</v>
      </c>
      <c r="Z4" s="13">
        <f>EOMONTH(Z3,1)</f>
        <v>43769</v>
      </c>
      <c r="AA4" s="4">
        <f t="array" ref="AA4">_xll.BDP("CL2 Comdty","LAST_PRICE")</f>
        <v>91.08</v>
      </c>
      <c r="AB4" s="13">
        <f>EOMONTH(AB3,1)</f>
        <v>43769</v>
      </c>
      <c r="AC4" s="2">
        <f t="array" ref="AC4">_xll.BDP("CO2 Comdty","LAST_PRICE")</f>
        <v>98.62</v>
      </c>
    </row>
    <row r="5" spans="1:31" s="4" customFormat="1" x14ac:dyDescent="0.35">
      <c r="A5" s="28" t="s">
        <v>8</v>
      </c>
      <c r="B5" s="29">
        <v>-0.18</v>
      </c>
      <c r="C5" s="29">
        <v>-6.3913043478260878E-2</v>
      </c>
      <c r="D5" s="29">
        <v>4.7E-2</v>
      </c>
      <c r="E5" s="29">
        <v>0.14333333333333331</v>
      </c>
      <c r="F5" s="29">
        <v>0.5714285714285714</v>
      </c>
      <c r="G5" s="29">
        <v>1.08</v>
      </c>
      <c r="H5" s="29">
        <v>0.13045454545454663</v>
      </c>
      <c r="I5" s="29">
        <v>0.50000000000000233</v>
      </c>
      <c r="J5" s="29">
        <v>0.27699999999999714</v>
      </c>
      <c r="K5" s="29">
        <v>8.0000000000002805E-2</v>
      </c>
      <c r="L5" s="29">
        <v>0.24999999999999764</v>
      </c>
      <c r="M5" s="30">
        <v>0.22571428571428648</v>
      </c>
      <c r="Z5" s="13">
        <f>EOMONTH(Z4,1)</f>
        <v>43799</v>
      </c>
      <c r="AA5" s="4">
        <f t="array" ref="AA5">_xll.BDP("CL3 Comdty","LAST_PRICE")</f>
        <v>88.99</v>
      </c>
      <c r="AB5" s="13">
        <f>EOMONTH(AB4,1)</f>
        <v>43799</v>
      </c>
      <c r="AC5" s="2">
        <f t="array" ref="AC5">_xll.BDP("CO3 Comdty","LAST_PRICE")</f>
        <v>95.54</v>
      </c>
    </row>
    <row r="6" spans="1:31" s="4" customFormat="1" x14ac:dyDescent="0.35">
      <c r="A6" s="31" t="s">
        <v>268</v>
      </c>
      <c r="B6" s="32">
        <v>-5.85</v>
      </c>
      <c r="C6" s="32">
        <v>-6.3999999999999995</v>
      </c>
      <c r="D6" s="32">
        <v>-7.1499999999999995</v>
      </c>
      <c r="E6" s="32">
        <v>-7.8999999999999995</v>
      </c>
      <c r="F6" s="32">
        <v>-8.6499999999999986</v>
      </c>
      <c r="G6" s="32">
        <v>-9.1999999999999993</v>
      </c>
      <c r="H6" s="32">
        <v>-9.1999999999999993</v>
      </c>
      <c r="I6" s="32">
        <v>-9.25</v>
      </c>
      <c r="J6" s="32">
        <v>-9.3000000000000007</v>
      </c>
      <c r="K6" s="32">
        <v>-9.3500000000000014</v>
      </c>
      <c r="L6" s="32">
        <v>-9.4000000000000021</v>
      </c>
      <c r="M6" s="33">
        <v>-9.4500000000000028</v>
      </c>
      <c r="Q6" s="14">
        <v>43708</v>
      </c>
      <c r="R6" s="14">
        <v>43738</v>
      </c>
      <c r="S6" s="14">
        <v>43769</v>
      </c>
      <c r="T6" s="14">
        <v>43799</v>
      </c>
      <c r="U6" s="14">
        <v>43830</v>
      </c>
      <c r="Z6" s="13">
        <f>EOMONTH(Z5,1)</f>
        <v>43830</v>
      </c>
      <c r="AA6" s="4">
        <f t="array" ref="AA6">_xll.BDP("CL4 Comdty","LAST_PRICE")</f>
        <v>86.89</v>
      </c>
      <c r="AB6" s="13">
        <f>EOMONTH(AB5,1)</f>
        <v>43830</v>
      </c>
      <c r="AC6" s="2">
        <f t="array" ref="AC6">_xll.BDP("CO4 Comdty","LAST_PRICE")</f>
        <v>93.22</v>
      </c>
    </row>
    <row r="7" spans="1:31" s="4" customFormat="1" x14ac:dyDescent="0.35">
      <c r="A7" s="31" t="s">
        <v>10</v>
      </c>
      <c r="B7" s="32">
        <v>4.6500000000000004</v>
      </c>
      <c r="C7" s="32">
        <v>4.1500000000000004</v>
      </c>
      <c r="D7" s="32">
        <v>3.6500000000000004</v>
      </c>
      <c r="E7" s="32">
        <v>3.2500000000000004</v>
      </c>
      <c r="F7" s="32">
        <v>2.8500000000000005</v>
      </c>
      <c r="G7" s="32">
        <v>2.9000000000000004</v>
      </c>
      <c r="H7" s="32">
        <v>2.95</v>
      </c>
      <c r="I7" s="32">
        <v>3</v>
      </c>
      <c r="J7" s="32">
        <v>2.9</v>
      </c>
      <c r="K7" s="32">
        <v>2.9</v>
      </c>
      <c r="L7" s="32">
        <v>2.9</v>
      </c>
      <c r="M7" s="33">
        <v>2.75</v>
      </c>
      <c r="P7" s="15" t="s">
        <v>17</v>
      </c>
      <c r="Q7" s="12">
        <v>8</v>
      </c>
      <c r="R7" s="12">
        <v>4.0999999999999996</v>
      </c>
      <c r="S7" s="12">
        <f>R7-(D32-E32)</f>
        <v>2.8</v>
      </c>
      <c r="T7" s="12">
        <f>S7-(E32-F32)</f>
        <v>1.4</v>
      </c>
      <c r="U7" s="12">
        <f>T7-(F32-G32)</f>
        <v>0</v>
      </c>
      <c r="Z7" s="13">
        <f>EOMONTH(Z6,1)</f>
        <v>43861</v>
      </c>
      <c r="AA7" s="4">
        <f t="array" ref="AA7">_xll.BDP("CL5 Comdty","LAST_PRICE")</f>
        <v>84.93</v>
      </c>
      <c r="AB7" s="13">
        <f>EOMONTH(AB6,1)</f>
        <v>43861</v>
      </c>
      <c r="AC7" s="4">
        <f t="array" ref="AC7">_xll.BDP("CO5 Comdty","LAST_PRICE")</f>
        <v>91.31</v>
      </c>
    </row>
    <row r="8" spans="1:31" x14ac:dyDescent="0.35">
      <c r="A8" s="34" t="s">
        <v>11</v>
      </c>
      <c r="B8" s="35">
        <v>-3.5</v>
      </c>
      <c r="C8" s="35">
        <v>-0.5</v>
      </c>
      <c r="D8" s="35">
        <v>-0.2</v>
      </c>
      <c r="E8" s="35">
        <v>-5.0000000000000017E-2</v>
      </c>
      <c r="F8" s="35">
        <v>9.9999999999999978E-2</v>
      </c>
      <c r="G8" s="35">
        <v>0.14999999999999997</v>
      </c>
      <c r="H8" s="35">
        <v>0.19999999999999996</v>
      </c>
      <c r="I8" s="35">
        <v>0.24999999999999994</v>
      </c>
      <c r="J8" s="35">
        <v>0.29999999999999993</v>
      </c>
      <c r="K8" s="35">
        <v>0.34999999999999992</v>
      </c>
      <c r="L8" s="35">
        <v>0.39999999999999991</v>
      </c>
      <c r="M8" s="36">
        <v>0.4499999999999999</v>
      </c>
      <c r="P8" s="2" t="s">
        <v>128</v>
      </c>
      <c r="Q8" s="16">
        <f>Q7+AA3-AC4</f>
        <v>2.519999999999996</v>
      </c>
      <c r="R8" s="16">
        <f>R7+AA4-AC5</f>
        <v>-0.36000000000001364</v>
      </c>
      <c r="S8" s="16">
        <f>S7+AA5-AC6</f>
        <v>-1.4300000000000068</v>
      </c>
      <c r="T8" s="16">
        <f>T7+AA6-AC7</f>
        <v>-3.019999999999996</v>
      </c>
      <c r="U8" s="16">
        <f>U7+AA7-AC8</f>
        <v>-4.6899999999999977</v>
      </c>
      <c r="AB8" s="13">
        <f>EOMONTH(AB7,1)</f>
        <v>43890</v>
      </c>
      <c r="AC8" s="2">
        <f t="array" ref="AC8">_xll.BDP("CO6 Comdty","LAST_PRICE")</f>
        <v>89.62</v>
      </c>
    </row>
    <row r="9" spans="1:31" x14ac:dyDescent="0.35">
      <c r="A9" s="34" t="s">
        <v>13</v>
      </c>
      <c r="B9" s="35">
        <v>-3.5</v>
      </c>
      <c r="C9" s="35">
        <v>-0.75</v>
      </c>
      <c r="D9" s="35">
        <v>-0.4</v>
      </c>
      <c r="E9" s="35">
        <v>-5.0000000000000044E-2</v>
      </c>
      <c r="F9" s="35">
        <v>0.29999999999999993</v>
      </c>
      <c r="G9" s="35">
        <v>0.24999999999999994</v>
      </c>
      <c r="H9" s="35">
        <v>0.24999999999999994</v>
      </c>
      <c r="I9" s="35">
        <v>0.24999999999999994</v>
      </c>
      <c r="J9" s="35">
        <v>0.35</v>
      </c>
      <c r="K9" s="35">
        <v>0.39999999999999997</v>
      </c>
      <c r="L9" s="35">
        <v>0.44999999999999996</v>
      </c>
      <c r="M9" s="36">
        <v>0.49999999999999994</v>
      </c>
      <c r="P9" s="2" t="s">
        <v>269</v>
      </c>
      <c r="Q9" s="18">
        <f>SUMPRODUCT(R8:S8,AA10:AB10/SUM(AA10:AB10))</f>
        <v>-0.60318181818183025</v>
      </c>
      <c r="R9" s="18">
        <f>SUMPRODUCT(S8:T8,AA11:AB11/SUM(AA11:AB11))</f>
        <v>-1.6685000000000052</v>
      </c>
      <c r="S9" s="18">
        <f>SUMPRODUCT(T8:U8,AA12:AB12/SUM(AA12:AB12))</f>
        <v>-3.310434782608692</v>
      </c>
      <c r="Z9" s="2" t="s">
        <v>270</v>
      </c>
    </row>
    <row r="10" spans="1:31" x14ac:dyDescent="0.35">
      <c r="A10" s="34" t="s">
        <v>15</v>
      </c>
      <c r="B10" s="35">
        <v>6.25</v>
      </c>
      <c r="C10" s="35">
        <v>5</v>
      </c>
      <c r="D10" s="35">
        <v>4.1500000000000004</v>
      </c>
      <c r="E10" s="35">
        <v>3.9000000000000004</v>
      </c>
      <c r="F10" s="35">
        <v>3.6500000000000004</v>
      </c>
      <c r="G10" s="35">
        <v>3.5500000000000003</v>
      </c>
      <c r="H10" s="35">
        <v>3.45</v>
      </c>
      <c r="I10" s="35">
        <v>3.35</v>
      </c>
      <c r="J10" s="35">
        <v>3.4</v>
      </c>
      <c r="K10" s="35">
        <v>3.4499999999999997</v>
      </c>
      <c r="L10" s="35">
        <v>3.4999999999999996</v>
      </c>
      <c r="M10" s="36">
        <v>3.4499999999999997</v>
      </c>
      <c r="Q10" s="17"/>
      <c r="R10" s="17"/>
      <c r="S10" s="17"/>
      <c r="Z10" s="11">
        <v>43708</v>
      </c>
      <c r="AA10" s="2">
        <v>17</v>
      </c>
      <c r="AB10" s="2">
        <v>5</v>
      </c>
    </row>
    <row r="11" spans="1:31" x14ac:dyDescent="0.35">
      <c r="A11" s="34" t="s">
        <v>16</v>
      </c>
      <c r="B11" s="35">
        <v>5</v>
      </c>
      <c r="C11" s="35">
        <v>3.75</v>
      </c>
      <c r="D11" s="35">
        <v>2.9000000000000004</v>
      </c>
      <c r="E11" s="35">
        <v>2.6500000000000004</v>
      </c>
      <c r="F11" s="35">
        <v>2.4000000000000004</v>
      </c>
      <c r="G11" s="35">
        <v>2.3000000000000003</v>
      </c>
      <c r="H11" s="35">
        <v>2.2000000000000002</v>
      </c>
      <c r="I11" s="35">
        <v>2.1</v>
      </c>
      <c r="J11" s="35">
        <v>2.15</v>
      </c>
      <c r="K11" s="35">
        <v>2.1999999999999997</v>
      </c>
      <c r="L11" s="35">
        <v>2.2499999999999996</v>
      </c>
      <c r="M11" s="36">
        <v>2.1999999999999997</v>
      </c>
      <c r="Q11" s="11">
        <f>Q6</f>
        <v>43708</v>
      </c>
      <c r="R11" s="11">
        <f>R6</f>
        <v>43738</v>
      </c>
      <c r="S11" s="11">
        <f>S6</f>
        <v>43769</v>
      </c>
      <c r="T11" s="11">
        <f>T6</f>
        <v>43799</v>
      </c>
      <c r="Z11" s="11">
        <v>43738</v>
      </c>
      <c r="AA11" s="2">
        <v>17</v>
      </c>
      <c r="AB11" s="2">
        <v>3</v>
      </c>
    </row>
    <row r="12" spans="1:31" x14ac:dyDescent="0.35">
      <c r="A12" s="34" t="s">
        <v>17</v>
      </c>
      <c r="B12" s="35">
        <v>7.5</v>
      </c>
      <c r="C12" s="35">
        <v>4</v>
      </c>
      <c r="D12" s="35">
        <v>2.7</v>
      </c>
      <c r="E12" s="35">
        <v>1.3000000000000003</v>
      </c>
      <c r="F12" s="35">
        <v>-9.9999999999999645E-2</v>
      </c>
      <c r="G12" s="35">
        <v>-0.19999999999999965</v>
      </c>
      <c r="H12" s="35">
        <v>-0.29999999999999966</v>
      </c>
      <c r="I12" s="35">
        <v>-0.39999999999999969</v>
      </c>
      <c r="J12" s="35">
        <v>-0.49999999999999967</v>
      </c>
      <c r="K12" s="35">
        <v>-0.59999999999999964</v>
      </c>
      <c r="L12" s="35">
        <v>-0.69999999999999962</v>
      </c>
      <c r="M12" s="36">
        <v>-0.7999999999999996</v>
      </c>
      <c r="P12" s="15" t="s">
        <v>271</v>
      </c>
      <c r="Q12" s="2">
        <v>4</v>
      </c>
      <c r="R12" s="16">
        <f>Q12-(C33-D33)</f>
        <v>3.5</v>
      </c>
      <c r="S12" s="16">
        <f>R12-(D33-E33)</f>
        <v>3</v>
      </c>
      <c r="T12" s="16">
        <f>S12-(E33-F33)</f>
        <v>2.6</v>
      </c>
      <c r="Z12" s="11">
        <v>43769</v>
      </c>
      <c r="AA12" s="2">
        <v>19</v>
      </c>
      <c r="AB12" s="2">
        <v>4</v>
      </c>
    </row>
    <row r="13" spans="1:31" x14ac:dyDescent="0.35">
      <c r="A13" s="34" t="s">
        <v>18</v>
      </c>
      <c r="B13" s="35">
        <v>7.1</v>
      </c>
      <c r="C13" s="35">
        <v>3.6</v>
      </c>
      <c r="D13" s="35">
        <v>2.3000000000000003</v>
      </c>
      <c r="E13" s="35">
        <v>0.90000000000000024</v>
      </c>
      <c r="F13" s="35">
        <v>-0.49999999999999967</v>
      </c>
      <c r="G13" s="35">
        <v>-0.59999999999999964</v>
      </c>
      <c r="H13" s="35">
        <v>-0.69999999999999973</v>
      </c>
      <c r="I13" s="35">
        <v>-0.79999999999999971</v>
      </c>
      <c r="J13" s="35">
        <v>-0.89999999999999969</v>
      </c>
      <c r="K13" s="35">
        <v>-0.99999999999999967</v>
      </c>
      <c r="L13" s="35">
        <v>-1.0999999999999996</v>
      </c>
      <c r="M13" s="36">
        <v>-1.1999999999999997</v>
      </c>
      <c r="Q13" s="16">
        <f>Q12+AA3-AC4</f>
        <v>-1.480000000000004</v>
      </c>
      <c r="R13" s="16">
        <f>R12+AA4-AC5</f>
        <v>-0.96000000000000796</v>
      </c>
      <c r="S13" s="16">
        <f>S12+AA5-AC6</f>
        <v>-1.230000000000004</v>
      </c>
      <c r="T13" s="16">
        <f>T12+AA6-AC7</f>
        <v>-1.8200000000000074</v>
      </c>
      <c r="Z13" s="11">
        <v>43799</v>
      </c>
      <c r="AA13" s="2">
        <v>17</v>
      </c>
      <c r="AB13" s="2">
        <v>3</v>
      </c>
    </row>
    <row r="14" spans="1:31" x14ac:dyDescent="0.35">
      <c r="A14" s="34" t="s">
        <v>19</v>
      </c>
      <c r="B14" s="35">
        <v>6.4</v>
      </c>
      <c r="C14" s="35">
        <v>3.2</v>
      </c>
      <c r="D14" s="35">
        <v>1.9000000000000001</v>
      </c>
      <c r="E14" s="35">
        <v>0.50000000000000022</v>
      </c>
      <c r="F14" s="35">
        <v>-0.89999999999999969</v>
      </c>
      <c r="G14" s="35">
        <v>-0.99999999999999967</v>
      </c>
      <c r="H14" s="35">
        <v>-1.0999999999999996</v>
      </c>
      <c r="I14" s="35">
        <v>-1.1999999999999997</v>
      </c>
      <c r="J14" s="35">
        <v>-1.2999999999999998</v>
      </c>
      <c r="K14" s="35">
        <v>-1.3999999999999997</v>
      </c>
      <c r="L14" s="35">
        <v>-1.4999999999999996</v>
      </c>
      <c r="M14" s="36">
        <v>-1.5999999999999996</v>
      </c>
      <c r="Q14" s="16"/>
      <c r="R14" s="16"/>
      <c r="S14" s="16"/>
      <c r="T14" s="16"/>
    </row>
    <row r="15" spans="1:31" x14ac:dyDescent="0.35">
      <c r="A15" s="34" t="s">
        <v>272</v>
      </c>
      <c r="B15" s="35">
        <v>8.1999999999999993</v>
      </c>
      <c r="C15" s="35">
        <v>5</v>
      </c>
      <c r="D15" s="35">
        <v>3.7</v>
      </c>
      <c r="E15" s="35">
        <v>2.3000000000000003</v>
      </c>
      <c r="F15" s="35">
        <v>0.90000000000000036</v>
      </c>
      <c r="G15" s="35">
        <v>0.80000000000000038</v>
      </c>
      <c r="H15" s="35">
        <v>0.7000000000000004</v>
      </c>
      <c r="I15" s="35">
        <v>0.60000000000000031</v>
      </c>
      <c r="J15" s="35">
        <v>0.50000000000000033</v>
      </c>
      <c r="K15" s="35">
        <v>0.40000000000000036</v>
      </c>
      <c r="L15" s="35">
        <v>0.40000000000000036</v>
      </c>
      <c r="M15" s="36">
        <v>0.40000000000000036</v>
      </c>
      <c r="Q15" s="11">
        <f>Q11</f>
        <v>43708</v>
      </c>
      <c r="Z15" s="2" t="s">
        <v>273</v>
      </c>
    </row>
    <row r="16" spans="1:31" x14ac:dyDescent="0.35">
      <c r="A16" s="34" t="s">
        <v>20</v>
      </c>
      <c r="B16" s="35">
        <v>7.5</v>
      </c>
      <c r="C16" s="35">
        <v>4.75</v>
      </c>
      <c r="D16" s="35">
        <v>3.45</v>
      </c>
      <c r="E16" s="35">
        <v>2.0500000000000003</v>
      </c>
      <c r="F16" s="35">
        <v>0.65000000000000036</v>
      </c>
      <c r="G16" s="35">
        <v>0.55000000000000038</v>
      </c>
      <c r="H16" s="35">
        <v>0.45000000000000034</v>
      </c>
      <c r="I16" s="35">
        <v>0.35000000000000031</v>
      </c>
      <c r="J16" s="35">
        <v>0.25000000000000033</v>
      </c>
      <c r="K16" s="35">
        <v>0.15000000000000036</v>
      </c>
      <c r="L16" s="35">
        <v>5.0000000000000377E-2</v>
      </c>
      <c r="M16" s="36">
        <v>-4.99999999999996E-2</v>
      </c>
      <c r="P16" s="15" t="s">
        <v>274</v>
      </c>
      <c r="Q16" s="2">
        <v>4.4000000000000004</v>
      </c>
      <c r="R16" s="2">
        <f>R12-0.4</f>
        <v>3.1</v>
      </c>
      <c r="Z16" s="11">
        <f>Z10</f>
        <v>43708</v>
      </c>
      <c r="AA16" s="2">
        <v>14</v>
      </c>
      <c r="AB16" s="2">
        <v>8</v>
      </c>
      <c r="AC16" s="2">
        <f>(((AA4*AA16)+(AA5*AB16))/SUM(AA16:AB16))</f>
        <v>90.32</v>
      </c>
    </row>
    <row r="17" spans="1:28" ht="16" thickBot="1" x14ac:dyDescent="0.4">
      <c r="A17" s="37" t="s">
        <v>21</v>
      </c>
      <c r="B17" s="38">
        <v>4</v>
      </c>
      <c r="C17" s="38">
        <v>2.75</v>
      </c>
      <c r="D17" s="38">
        <v>1.4500000000000002</v>
      </c>
      <c r="E17" s="38">
        <v>5.0000000000000266E-2</v>
      </c>
      <c r="F17" s="38">
        <v>-1.3499999999999996</v>
      </c>
      <c r="G17" s="38">
        <v>-1.4499999999999997</v>
      </c>
      <c r="H17" s="38">
        <v>-1.5499999999999996</v>
      </c>
      <c r="I17" s="38">
        <v>-1.6499999999999997</v>
      </c>
      <c r="J17" s="38">
        <v>-1.7499999999999996</v>
      </c>
      <c r="K17" s="38">
        <v>-1.8499999999999996</v>
      </c>
      <c r="L17" s="38">
        <v>-1.9499999999999997</v>
      </c>
      <c r="M17" s="39">
        <v>-2.0499999999999998</v>
      </c>
      <c r="P17" s="2" t="s">
        <v>275</v>
      </c>
      <c r="Q17" s="17">
        <f>(((AA4*AA16)+(AA5*AB16))/SUM(AA16:AB16))-AC4</f>
        <v>-8.3000000000000114</v>
      </c>
      <c r="Z17" s="11">
        <f>Z11</f>
        <v>43738</v>
      </c>
      <c r="AA17" s="2">
        <v>14</v>
      </c>
      <c r="AB17" s="2">
        <v>6</v>
      </c>
    </row>
    <row r="18" spans="1:28" ht="16.5" hidden="1" customHeight="1" thickBot="1" x14ac:dyDescent="0.4">
      <c r="A18" s="40"/>
      <c r="B18" s="41"/>
      <c r="C18" s="41"/>
      <c r="D18" s="42"/>
      <c r="E18" s="41"/>
      <c r="F18" s="41"/>
      <c r="G18" s="43"/>
      <c r="H18" s="41"/>
      <c r="I18" s="41"/>
      <c r="J18" s="41"/>
      <c r="K18" s="41"/>
      <c r="L18" s="41"/>
      <c r="M18" s="44"/>
      <c r="Q18" s="17"/>
      <c r="Z18" s="11">
        <f>Z12</f>
        <v>43769</v>
      </c>
      <c r="AA18" s="2">
        <v>16</v>
      </c>
      <c r="AB18" s="2">
        <v>7</v>
      </c>
    </row>
    <row r="19" spans="1:28" ht="16" thickBot="1" x14ac:dyDescent="0.4">
      <c r="A19" s="601" t="s">
        <v>276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3"/>
      <c r="P19" s="2" t="s">
        <v>128</v>
      </c>
      <c r="Q19" s="17">
        <f>Q16+Q17</f>
        <v>-3.900000000000011</v>
      </c>
      <c r="Z19" s="11"/>
    </row>
    <row r="20" spans="1:28" s="5" customFormat="1" ht="16" thickBot="1" x14ac:dyDescent="0.4">
      <c r="A20" s="604" t="s">
        <v>7</v>
      </c>
      <c r="B20" s="605"/>
      <c r="C20" s="605"/>
      <c r="D20" s="605"/>
      <c r="E20" s="45" t="s">
        <v>277</v>
      </c>
      <c r="F20" s="46" t="s">
        <v>278</v>
      </c>
      <c r="G20" s="46" t="s">
        <v>279</v>
      </c>
      <c r="H20" s="46" t="s">
        <v>280</v>
      </c>
      <c r="I20" s="47" t="s">
        <v>281</v>
      </c>
      <c r="J20" s="47" t="s">
        <v>282</v>
      </c>
      <c r="K20" s="47" t="s">
        <v>283</v>
      </c>
      <c r="L20" s="47" t="s">
        <v>284</v>
      </c>
      <c r="M20" s="48" t="s">
        <v>285</v>
      </c>
      <c r="P20" s="2" t="s">
        <v>286</v>
      </c>
      <c r="Q20" s="16">
        <f>Q19+0.62</f>
        <v>-3.2800000000000109</v>
      </c>
      <c r="R20" s="2"/>
      <c r="S20" s="2"/>
      <c r="T20" s="2"/>
    </row>
    <row r="21" spans="1:28" x14ac:dyDescent="0.35">
      <c r="A21" s="606" t="s">
        <v>11</v>
      </c>
      <c r="B21" s="607"/>
      <c r="C21" s="607"/>
      <c r="D21" s="608"/>
      <c r="E21" s="49">
        <v>-1.55</v>
      </c>
      <c r="F21" s="49">
        <v>-5.000000000000001E-2</v>
      </c>
      <c r="G21" s="49">
        <v>-0.7994444444444444</v>
      </c>
      <c r="H21" s="49">
        <v>0.19999999999999996</v>
      </c>
      <c r="I21" s="50">
        <v>0.34999999999999992</v>
      </c>
      <c r="J21" s="50">
        <v>0.49999999999999983</v>
      </c>
      <c r="K21" s="50">
        <v>0.54999999999999993</v>
      </c>
      <c r="L21" s="50">
        <v>0.39999999999999991</v>
      </c>
      <c r="M21" s="51">
        <v>0.4499999999999999</v>
      </c>
    </row>
    <row r="22" spans="1:28" x14ac:dyDescent="0.35">
      <c r="A22" s="609" t="s">
        <v>10</v>
      </c>
      <c r="B22" s="610"/>
      <c r="C22" s="610"/>
      <c r="D22" s="611"/>
      <c r="E22" s="52">
        <v>5.1166666666666663</v>
      </c>
      <c r="F22" s="52">
        <v>3.25</v>
      </c>
      <c r="G22" s="52">
        <v>4.1834126984126989</v>
      </c>
      <c r="H22" s="52">
        <v>2.9500000000000006</v>
      </c>
      <c r="I22" s="35">
        <v>2.9</v>
      </c>
      <c r="J22" s="35">
        <v>2.6</v>
      </c>
      <c r="K22" s="35">
        <v>2.3500000000000005</v>
      </c>
      <c r="L22" s="35">
        <v>2.7</v>
      </c>
      <c r="M22" s="36">
        <v>2.25</v>
      </c>
      <c r="P22" s="5"/>
      <c r="Q22" s="5"/>
      <c r="R22" s="5"/>
      <c r="S22" s="5"/>
      <c r="T22" s="21"/>
      <c r="U22" s="16"/>
    </row>
    <row r="23" spans="1:28" x14ac:dyDescent="0.35">
      <c r="A23" s="609" t="s">
        <v>13</v>
      </c>
      <c r="B23" s="610"/>
      <c r="C23" s="610"/>
      <c r="D23" s="611"/>
      <c r="E23" s="52">
        <v>-1.5466666666666669</v>
      </c>
      <c r="F23" s="52">
        <v>-5.0000000000000044E-2</v>
      </c>
      <c r="G23" s="52">
        <v>-0.79809523809523819</v>
      </c>
      <c r="H23" s="52">
        <v>0.24999999999999992</v>
      </c>
      <c r="I23" s="35">
        <v>0.39999999999999997</v>
      </c>
      <c r="J23" s="35">
        <v>0.54999999999999993</v>
      </c>
      <c r="K23" s="35">
        <v>0.45</v>
      </c>
      <c r="L23" s="35">
        <v>0.41249999999999992</v>
      </c>
      <c r="M23" s="36">
        <v>0.16249999999999992</v>
      </c>
    </row>
    <row r="24" spans="1:28" x14ac:dyDescent="0.35">
      <c r="A24" s="609" t="s">
        <v>15</v>
      </c>
      <c r="B24" s="610"/>
      <c r="C24" s="610"/>
      <c r="D24" s="611"/>
      <c r="E24" s="52">
        <v>6.1533333333333333</v>
      </c>
      <c r="F24" s="52">
        <v>3.9000000000000004</v>
      </c>
      <c r="G24" s="52">
        <v>5.0261904761904761</v>
      </c>
      <c r="H24" s="52">
        <v>3.4499999999999997</v>
      </c>
      <c r="I24" s="35">
        <v>3.4499999999999997</v>
      </c>
      <c r="J24" s="35">
        <v>3.4</v>
      </c>
      <c r="K24" s="35">
        <v>3.3000000000000003</v>
      </c>
      <c r="L24" s="35">
        <v>3.4</v>
      </c>
      <c r="M24" s="36">
        <v>2.9</v>
      </c>
      <c r="O24" s="6"/>
    </row>
    <row r="25" spans="1:28" ht="16" thickBot="1" x14ac:dyDescent="0.4">
      <c r="A25" s="612" t="s">
        <v>17</v>
      </c>
      <c r="B25" s="613"/>
      <c r="C25" s="613"/>
      <c r="D25" s="614"/>
      <c r="E25" s="53">
        <v>5.4633333333333338</v>
      </c>
      <c r="F25" s="53">
        <v>1.3</v>
      </c>
      <c r="G25" s="53">
        <v>3.422857142857143</v>
      </c>
      <c r="H25" s="53">
        <v>-0.29999999999999966</v>
      </c>
      <c r="I25" s="38">
        <v>-0.59999999999999964</v>
      </c>
      <c r="J25" s="38">
        <v>-0.84999999999999964</v>
      </c>
      <c r="K25" s="38">
        <v>-1.0499999999999996</v>
      </c>
      <c r="L25" s="38">
        <v>-0.69999999999999962</v>
      </c>
      <c r="M25" s="39">
        <v>-0.99999999999999956</v>
      </c>
      <c r="O25" s="6"/>
      <c r="P25" s="16"/>
    </row>
    <row r="26" spans="1:28" ht="16" thickBot="1" x14ac:dyDescent="0.4">
      <c r="A26" s="615" t="s">
        <v>287</v>
      </c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7"/>
      <c r="O26" s="6"/>
      <c r="P26" s="6"/>
      <c r="Q26" s="6"/>
      <c r="R26" s="6"/>
      <c r="S26" s="6"/>
    </row>
    <row r="27" spans="1:28" s="5" customFormat="1" ht="16" thickBot="1" x14ac:dyDescent="0.4">
      <c r="A27" s="54" t="s">
        <v>288</v>
      </c>
      <c r="B27" s="55">
        <v>43647</v>
      </c>
      <c r="C27" s="55">
        <v>43678</v>
      </c>
      <c r="D27" s="56">
        <v>43709</v>
      </c>
      <c r="E27" s="56">
        <v>43739</v>
      </c>
      <c r="F27" s="55">
        <v>43770</v>
      </c>
      <c r="G27" s="55">
        <v>43800</v>
      </c>
      <c r="H27" s="55">
        <v>43831</v>
      </c>
      <c r="I27" s="56">
        <v>43862</v>
      </c>
      <c r="J27" s="56">
        <v>43891</v>
      </c>
      <c r="K27" s="56">
        <v>43922</v>
      </c>
      <c r="L27" s="55">
        <v>43952</v>
      </c>
      <c r="M27" s="57">
        <v>43983</v>
      </c>
      <c r="P27" s="6"/>
      <c r="Q27" s="6"/>
      <c r="R27" s="6"/>
      <c r="S27" s="20"/>
      <c r="T27" s="2"/>
      <c r="U27" s="5">
        <v>390.93</v>
      </c>
    </row>
    <row r="28" spans="1:28" x14ac:dyDescent="0.35">
      <c r="A28" s="58" t="s">
        <v>289</v>
      </c>
      <c r="B28" s="59">
        <v>-7.2</v>
      </c>
      <c r="C28" s="59">
        <v>-7.05</v>
      </c>
      <c r="D28" s="59">
        <v>-6.6</v>
      </c>
      <c r="E28" s="59">
        <v>-6.2</v>
      </c>
      <c r="F28" s="59">
        <v>-5.9</v>
      </c>
      <c r="G28" s="59">
        <v>-5.8</v>
      </c>
      <c r="H28" s="59">
        <v>-5.85</v>
      </c>
      <c r="I28" s="59">
        <v>-5.9</v>
      </c>
      <c r="J28" s="59">
        <v>-5.95</v>
      </c>
      <c r="K28" s="59">
        <v>-6</v>
      </c>
      <c r="L28" s="59">
        <v>-6.05</v>
      </c>
      <c r="M28" s="60">
        <v>-6.1</v>
      </c>
      <c r="P28" s="6"/>
      <c r="Q28" s="6"/>
      <c r="R28" s="6"/>
      <c r="S28" s="6"/>
    </row>
    <row r="29" spans="1:28" ht="15.75" customHeight="1" x14ac:dyDescent="0.35">
      <c r="A29" s="61" t="s">
        <v>290</v>
      </c>
      <c r="B29" s="35">
        <v>6.08</v>
      </c>
      <c r="C29" s="35">
        <v>4.8844000000000003</v>
      </c>
      <c r="D29" s="35">
        <v>4.1160000000000005</v>
      </c>
      <c r="E29" s="35">
        <v>3.8660000000000001</v>
      </c>
      <c r="F29" s="35">
        <v>3.6364000000000005</v>
      </c>
      <c r="G29" s="35">
        <v>3.5364000000000004</v>
      </c>
      <c r="H29" s="35">
        <v>3.4364000000000003</v>
      </c>
      <c r="I29" s="35">
        <v>3.3568000000000002</v>
      </c>
      <c r="J29" s="35">
        <v>3.4067999999999996</v>
      </c>
      <c r="K29" s="35">
        <v>3.4567999999999999</v>
      </c>
      <c r="L29" s="35">
        <v>3.4931999999999994</v>
      </c>
      <c r="M29" s="36">
        <v>3.4432</v>
      </c>
      <c r="P29" s="5"/>
      <c r="Q29" s="5"/>
      <c r="R29" s="5"/>
      <c r="S29" s="5"/>
      <c r="T29" s="5"/>
    </row>
    <row r="30" spans="1:28" x14ac:dyDescent="0.35">
      <c r="A30" s="61" t="s">
        <v>291</v>
      </c>
      <c r="B30" s="35">
        <v>7.2071428571428573</v>
      </c>
      <c r="C30" s="35">
        <v>6.25</v>
      </c>
      <c r="D30" s="35">
        <v>5</v>
      </c>
      <c r="E30" s="35">
        <v>4.1500000000000004</v>
      </c>
      <c r="F30" s="35">
        <v>3.9000000000000004</v>
      </c>
      <c r="G30" s="35">
        <v>3.6500000000000004</v>
      </c>
      <c r="H30" s="35">
        <v>3.5500000000000003</v>
      </c>
      <c r="I30" s="35">
        <v>3.45</v>
      </c>
      <c r="J30" s="35">
        <v>3.35</v>
      </c>
      <c r="K30" s="35">
        <v>3.4</v>
      </c>
      <c r="L30" s="35">
        <v>3.4499999999999997</v>
      </c>
      <c r="M30" s="36">
        <v>3.4999999999999996</v>
      </c>
      <c r="O30" s="10">
        <f>C31+C28</f>
        <v>-3.2267999999999999</v>
      </c>
      <c r="P30" s="10">
        <f>D31+D28</f>
        <v>-4.0903999999999989</v>
      </c>
    </row>
    <row r="31" spans="1:28" ht="15.75" customHeight="1" x14ac:dyDescent="0.35">
      <c r="A31" s="61" t="s">
        <v>292</v>
      </c>
      <c r="B31" s="35">
        <v>7.0239999999999991</v>
      </c>
      <c r="C31" s="35">
        <v>3.8231999999999999</v>
      </c>
      <c r="D31" s="35">
        <v>2.5096000000000003</v>
      </c>
      <c r="E31" s="35">
        <v>1.1096000000000001</v>
      </c>
      <c r="F31" s="35">
        <v>-0.11359999999999965</v>
      </c>
      <c r="G31" s="35">
        <v>-0.21359999999999965</v>
      </c>
      <c r="H31" s="35">
        <v>-0.31359999999999966</v>
      </c>
      <c r="I31" s="35">
        <v>-0.41359999999999969</v>
      </c>
      <c r="J31" s="35">
        <v>-0.51359999999999972</v>
      </c>
      <c r="K31" s="35">
        <v>-0.61359999999999959</v>
      </c>
      <c r="L31" s="35">
        <v>-0.71359999999999957</v>
      </c>
      <c r="M31" s="36">
        <v>-0.80679999999999952</v>
      </c>
      <c r="O31" s="2">
        <f>SUMPRODUCT(D32:E32,AA10:AB10/SUM(AA10:AB10))</f>
        <v>3.7045454545454546</v>
      </c>
    </row>
    <row r="32" spans="1:28" x14ac:dyDescent="0.35">
      <c r="A32" s="61" t="s">
        <v>293</v>
      </c>
      <c r="B32" s="35">
        <v>5.1371428571428579</v>
      </c>
      <c r="C32" s="35">
        <v>7.5</v>
      </c>
      <c r="D32" s="35">
        <v>4</v>
      </c>
      <c r="E32" s="35">
        <v>2.7</v>
      </c>
      <c r="F32" s="35">
        <v>1.3000000000000003</v>
      </c>
      <c r="G32" s="35">
        <v>-9.9999999999999645E-2</v>
      </c>
      <c r="H32" s="35">
        <v>-0.19999999999999965</v>
      </c>
      <c r="I32" s="35">
        <v>-0.29999999999999966</v>
      </c>
      <c r="J32" s="35">
        <v>-0.39999999999999969</v>
      </c>
      <c r="K32" s="35">
        <v>0.1</v>
      </c>
      <c r="L32" s="35">
        <v>-0.59999999999999964</v>
      </c>
      <c r="M32" s="36">
        <v>-0.69999999999999962</v>
      </c>
    </row>
    <row r="33" spans="1:22" x14ac:dyDescent="0.35">
      <c r="A33" s="61" t="s">
        <v>294</v>
      </c>
      <c r="B33" s="35">
        <v>6.550476190476191</v>
      </c>
      <c r="C33" s="35">
        <v>4.6500000000000004</v>
      </c>
      <c r="D33" s="35">
        <v>4.1500000000000004</v>
      </c>
      <c r="E33" s="35">
        <v>3.6500000000000004</v>
      </c>
      <c r="F33" s="35">
        <v>3.2500000000000004</v>
      </c>
      <c r="G33" s="35">
        <v>2.8500000000000005</v>
      </c>
      <c r="H33" s="35">
        <v>2.9000000000000004</v>
      </c>
      <c r="I33" s="35">
        <v>2.95</v>
      </c>
      <c r="J33" s="35">
        <v>3</v>
      </c>
      <c r="K33" s="35">
        <v>2.9</v>
      </c>
      <c r="L33" s="35">
        <v>2.9</v>
      </c>
      <c r="M33" s="36">
        <v>2.9</v>
      </c>
      <c r="P33" s="10"/>
      <c r="Q33" s="10"/>
      <c r="R33" s="10"/>
    </row>
    <row r="34" spans="1:22" x14ac:dyDescent="0.35">
      <c r="A34" s="61" t="s">
        <v>295</v>
      </c>
      <c r="B34" s="35">
        <v>-0.64666666666666672</v>
      </c>
      <c r="C34" s="35">
        <v>-3.5</v>
      </c>
      <c r="D34" s="35">
        <v>-0.5</v>
      </c>
      <c r="E34" s="35">
        <v>-0.2</v>
      </c>
      <c r="F34" s="35">
        <v>-5.0000000000000017E-2</v>
      </c>
      <c r="G34" s="35">
        <v>9.9999999999999978E-2</v>
      </c>
      <c r="H34" s="35">
        <v>0.14999999999999997</v>
      </c>
      <c r="I34" s="35">
        <v>0.19999999999999996</v>
      </c>
      <c r="J34" s="35">
        <v>0.24999999999999994</v>
      </c>
      <c r="K34" s="35">
        <v>0.29999999999999993</v>
      </c>
      <c r="L34" s="35">
        <v>0.34999999999999992</v>
      </c>
      <c r="M34" s="36">
        <v>0.39999999999999991</v>
      </c>
    </row>
    <row r="35" spans="1:22" x14ac:dyDescent="0.35">
      <c r="A35" s="61" t="s">
        <v>296</v>
      </c>
      <c r="B35" s="35">
        <v>-3.0920000000000001</v>
      </c>
      <c r="C35" s="35">
        <v>-0.4592</v>
      </c>
      <c r="D35" s="35">
        <v>-0.17960000000000001</v>
      </c>
      <c r="E35" s="35">
        <v>-2.9600000000000019E-2</v>
      </c>
      <c r="F35" s="35">
        <v>0.10679999999999998</v>
      </c>
      <c r="G35" s="35">
        <v>0.15679999999999997</v>
      </c>
      <c r="H35" s="35">
        <v>0.20679999999999996</v>
      </c>
      <c r="I35" s="35">
        <v>0.25679999999999992</v>
      </c>
      <c r="J35" s="35">
        <v>0.30679999999999991</v>
      </c>
      <c r="K35" s="35">
        <v>0.35679999999999995</v>
      </c>
      <c r="L35" s="35">
        <v>0.40679999999999988</v>
      </c>
      <c r="M35" s="36">
        <v>0.45679999999999993</v>
      </c>
    </row>
    <row r="36" spans="1:22" ht="16" thickBot="1" x14ac:dyDescent="0.4">
      <c r="A36" s="62" t="s">
        <v>297</v>
      </c>
      <c r="B36" s="38">
        <v>-0.38857142857142857</v>
      </c>
      <c r="C36" s="38">
        <v>-3.5</v>
      </c>
      <c r="D36" s="38">
        <v>-0.75</v>
      </c>
      <c r="E36" s="38">
        <v>-0.4</v>
      </c>
      <c r="F36" s="38">
        <v>-5.0000000000000044E-2</v>
      </c>
      <c r="G36" s="38">
        <v>0.29999999999999993</v>
      </c>
      <c r="H36" s="38">
        <v>0.24999999999999994</v>
      </c>
      <c r="I36" s="38">
        <v>0.24999999999999994</v>
      </c>
      <c r="J36" s="38">
        <v>0.24999999999999994</v>
      </c>
      <c r="K36" s="38">
        <v>0.35</v>
      </c>
      <c r="L36" s="38">
        <v>2.9</v>
      </c>
      <c r="M36" s="39">
        <v>2.9</v>
      </c>
    </row>
    <row r="37" spans="1:22" ht="16" thickBot="1" x14ac:dyDescent="0.4">
      <c r="A37" s="590" t="s">
        <v>287</v>
      </c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2"/>
      <c r="U37" s="7"/>
      <c r="V37" s="7"/>
    </row>
    <row r="38" spans="1:22" s="5" customFormat="1" ht="16" thickBot="1" x14ac:dyDescent="0.4">
      <c r="A38" s="627" t="s">
        <v>288</v>
      </c>
      <c r="B38" s="628"/>
      <c r="C38" s="628"/>
      <c r="D38" s="629"/>
      <c r="E38" s="63" t="s">
        <v>277</v>
      </c>
      <c r="F38" s="63" t="s">
        <v>278</v>
      </c>
      <c r="G38" s="63" t="s">
        <v>279</v>
      </c>
      <c r="H38" s="63" t="s">
        <v>280</v>
      </c>
      <c r="I38" s="64" t="s">
        <v>281</v>
      </c>
      <c r="J38" s="64" t="s">
        <v>282</v>
      </c>
      <c r="K38" s="64" t="s">
        <v>283</v>
      </c>
      <c r="L38" s="64" t="s">
        <v>284</v>
      </c>
      <c r="M38" s="65" t="s">
        <v>285</v>
      </c>
      <c r="P38" s="2"/>
      <c r="Q38" s="2"/>
      <c r="R38" s="2"/>
      <c r="S38" s="2"/>
      <c r="T38" s="2"/>
    </row>
    <row r="39" spans="1:22" x14ac:dyDescent="0.35">
      <c r="A39" s="630" t="s">
        <v>290</v>
      </c>
      <c r="B39" s="631"/>
      <c r="C39" s="631"/>
      <c r="D39" s="632"/>
      <c r="E39" s="66">
        <v>5.0268000000000006</v>
      </c>
      <c r="F39" s="66">
        <v>3.6796000000000006</v>
      </c>
      <c r="G39" s="66">
        <v>4.3532000000000011</v>
      </c>
      <c r="H39" s="66">
        <v>3.4</v>
      </c>
      <c r="I39" s="59">
        <v>3.4643999999999999</v>
      </c>
      <c r="J39" s="59">
        <v>3.3454666666666668</v>
      </c>
      <c r="K39" s="59">
        <v>3.3000000000000007</v>
      </c>
      <c r="L39" s="59">
        <v>3.3774666666666668</v>
      </c>
      <c r="M39" s="60">
        <v>2.8</v>
      </c>
      <c r="N39" s="8"/>
      <c r="O39" s="8"/>
      <c r="P39" s="7"/>
      <c r="Q39" s="7"/>
      <c r="R39" s="7"/>
      <c r="S39" s="7"/>
      <c r="T39" s="7"/>
    </row>
    <row r="40" spans="1:22" x14ac:dyDescent="0.35">
      <c r="A40" s="621" t="s">
        <v>291</v>
      </c>
      <c r="B40" s="622"/>
      <c r="C40" s="622"/>
      <c r="D40" s="623"/>
      <c r="E40" s="52">
        <v>6.1523809523809518</v>
      </c>
      <c r="F40" s="52">
        <v>3.9000000000000004</v>
      </c>
      <c r="G40" s="52">
        <v>5.0261904761904761</v>
      </c>
      <c r="H40" s="52">
        <v>3.4499999999999997</v>
      </c>
      <c r="I40" s="35">
        <v>3.4499999999999997</v>
      </c>
      <c r="J40" s="35">
        <v>3.4</v>
      </c>
      <c r="K40" s="35">
        <v>3.3000000000000003</v>
      </c>
      <c r="L40" s="35">
        <v>3.4</v>
      </c>
      <c r="M40" s="36">
        <v>2.9</v>
      </c>
      <c r="N40" s="8"/>
      <c r="O40" s="8"/>
      <c r="P40" s="5"/>
      <c r="Q40" s="5"/>
      <c r="R40" s="5"/>
      <c r="S40" s="5"/>
      <c r="T40" s="5"/>
    </row>
    <row r="41" spans="1:22" x14ac:dyDescent="0.35">
      <c r="A41" s="621" t="s">
        <v>294</v>
      </c>
      <c r="B41" s="622"/>
      <c r="C41" s="622"/>
      <c r="D41" s="623"/>
      <c r="E41" s="52">
        <v>5.1168253968253969</v>
      </c>
      <c r="F41" s="52">
        <v>3.25</v>
      </c>
      <c r="G41" s="52">
        <v>4.1834126984126989</v>
      </c>
      <c r="H41" s="52">
        <v>2.9500000000000006</v>
      </c>
      <c r="I41" s="35">
        <v>2.9</v>
      </c>
      <c r="J41" s="35">
        <v>2.6</v>
      </c>
      <c r="K41" s="35">
        <v>2.3500000000000005</v>
      </c>
      <c r="L41" s="35">
        <v>2.7</v>
      </c>
      <c r="M41" s="36">
        <v>2.25</v>
      </c>
      <c r="N41" s="8"/>
      <c r="O41" s="8"/>
      <c r="P41" s="8"/>
      <c r="Q41" s="8"/>
      <c r="R41" s="8"/>
    </row>
    <row r="42" spans="1:22" x14ac:dyDescent="0.35">
      <c r="A42" s="621" t="s">
        <v>292</v>
      </c>
      <c r="B42" s="622"/>
      <c r="C42" s="622"/>
      <c r="D42" s="623"/>
      <c r="E42" s="52">
        <v>4.4522666666666666</v>
      </c>
      <c r="F42" s="52">
        <v>0.26080000000000025</v>
      </c>
      <c r="G42" s="52">
        <v>2.3565333333333336</v>
      </c>
      <c r="H42" s="52">
        <v>-0.41359999999999975</v>
      </c>
      <c r="I42" s="35">
        <v>-0.71133333333333282</v>
      </c>
      <c r="J42" s="35">
        <v>-0.92573333333333307</v>
      </c>
      <c r="K42" s="35">
        <v>-1.0711999999999995</v>
      </c>
      <c r="L42" s="35">
        <v>-0.7804666666666662</v>
      </c>
      <c r="M42" s="36">
        <v>-1.0804666666666662</v>
      </c>
      <c r="N42" s="8"/>
      <c r="O42" s="8"/>
      <c r="P42" s="8"/>
      <c r="Q42" s="8"/>
      <c r="R42" s="8"/>
    </row>
    <row r="43" spans="1:22" x14ac:dyDescent="0.35">
      <c r="A43" s="618" t="s">
        <v>293</v>
      </c>
      <c r="B43" s="619"/>
      <c r="C43" s="619"/>
      <c r="D43" s="620"/>
      <c r="E43" s="52">
        <v>5.5457142857142863</v>
      </c>
      <c r="F43" s="52">
        <v>1.3</v>
      </c>
      <c r="G43" s="52">
        <v>3.422857142857143</v>
      </c>
      <c r="H43" s="52">
        <v>-0.29999999999999966</v>
      </c>
      <c r="I43" s="35">
        <v>-0.59999999999999964</v>
      </c>
      <c r="J43" s="35">
        <v>-0.84999999999999964</v>
      </c>
      <c r="K43" s="35">
        <v>-1.0499999999999996</v>
      </c>
      <c r="L43" s="35">
        <v>-0.69999999999999962</v>
      </c>
      <c r="M43" s="36">
        <v>-0.99999999999999956</v>
      </c>
      <c r="N43" s="8"/>
      <c r="O43" s="8"/>
      <c r="P43" s="8"/>
      <c r="Q43" s="8"/>
      <c r="R43" s="8"/>
    </row>
    <row r="44" spans="1:22" x14ac:dyDescent="0.35">
      <c r="A44" s="618" t="s">
        <v>298</v>
      </c>
      <c r="B44" s="619"/>
      <c r="C44" s="619"/>
      <c r="D44" s="620"/>
      <c r="E44" s="52">
        <v>-1.5488888888888888</v>
      </c>
      <c r="F44" s="52">
        <v>-5.000000000000001E-2</v>
      </c>
      <c r="G44" s="52">
        <v>-0.7994444444444444</v>
      </c>
      <c r="H44" s="52">
        <v>0.19999999999999996</v>
      </c>
      <c r="I44" s="35">
        <v>0.34999999999999992</v>
      </c>
      <c r="J44" s="35">
        <v>0.49999999999999983</v>
      </c>
      <c r="K44" s="35">
        <v>0.54999999999999993</v>
      </c>
      <c r="L44" s="35">
        <v>0.39999999999999991</v>
      </c>
      <c r="M44" s="36">
        <v>0.4499999999999999</v>
      </c>
      <c r="N44" s="8"/>
      <c r="O44" s="8"/>
      <c r="P44" s="8"/>
      <c r="Q44" s="8"/>
      <c r="R44" s="8"/>
    </row>
    <row r="45" spans="1:22" x14ac:dyDescent="0.35">
      <c r="A45" s="621" t="s">
        <v>296</v>
      </c>
      <c r="B45" s="622"/>
      <c r="C45" s="622"/>
      <c r="D45" s="623"/>
      <c r="E45" s="52">
        <v>-1.2436</v>
      </c>
      <c r="F45" s="52">
        <v>7.7999999999999972E-2</v>
      </c>
      <c r="G45" s="52">
        <v>-0.58279999999999998</v>
      </c>
      <c r="H45" s="52">
        <v>0.25679999999999992</v>
      </c>
      <c r="I45" s="35">
        <v>0.40679999999999988</v>
      </c>
      <c r="J45" s="35">
        <v>0.55226666666666657</v>
      </c>
      <c r="K45" s="35">
        <v>0.52879999999999994</v>
      </c>
      <c r="L45" s="35">
        <v>0.43616666666666659</v>
      </c>
      <c r="M45" s="36">
        <v>0.39999999999999991</v>
      </c>
      <c r="N45" s="8"/>
      <c r="O45" s="8"/>
      <c r="P45" s="8"/>
      <c r="Q45" s="8"/>
      <c r="R45" s="8"/>
    </row>
    <row r="46" spans="1:22" ht="16" thickBot="1" x14ac:dyDescent="0.4">
      <c r="A46" s="624" t="s">
        <v>297</v>
      </c>
      <c r="B46" s="625"/>
      <c r="C46" s="625"/>
      <c r="D46" s="626"/>
      <c r="E46" s="53">
        <v>-1.5461904761904763</v>
      </c>
      <c r="F46" s="53">
        <v>-5.0000000000000044E-2</v>
      </c>
      <c r="G46" s="53">
        <v>-0.79809523809523819</v>
      </c>
      <c r="H46" s="53">
        <v>0.24999999999999992</v>
      </c>
      <c r="I46" s="38">
        <v>0.39999999999999997</v>
      </c>
      <c r="J46" s="38">
        <v>0.54999999999999993</v>
      </c>
      <c r="K46" s="38">
        <v>0.45</v>
      </c>
      <c r="L46" s="38">
        <v>0.41249999999999992</v>
      </c>
      <c r="M46" s="39">
        <v>0.16249999999999992</v>
      </c>
      <c r="N46" s="8"/>
      <c r="O46" s="8"/>
      <c r="P46" s="8"/>
      <c r="Q46" s="8"/>
      <c r="R46" s="8"/>
    </row>
    <row r="47" spans="1:22" x14ac:dyDescent="0.35">
      <c r="P47" s="8"/>
      <c r="Q47" s="8"/>
      <c r="R47" s="8"/>
    </row>
    <row r="48" spans="1:22" x14ac:dyDescent="0.35">
      <c r="P48" s="8"/>
      <c r="Q48" s="8"/>
      <c r="R48" s="8"/>
    </row>
  </sheetData>
  <mergeCells count="21">
    <mergeCell ref="A44:D44"/>
    <mergeCell ref="A45:D45"/>
    <mergeCell ref="A46:D46"/>
    <mergeCell ref="A38:D38"/>
    <mergeCell ref="A39:D39"/>
    <mergeCell ref="A40:D40"/>
    <mergeCell ref="A41:D41"/>
    <mergeCell ref="A42:D42"/>
    <mergeCell ref="A43:D43"/>
    <mergeCell ref="A37:M37"/>
    <mergeCell ref="I1:M1"/>
    <mergeCell ref="A2:M2"/>
    <mergeCell ref="A3:M3"/>
    <mergeCell ref="A19:M19"/>
    <mergeCell ref="A20:D20"/>
    <mergeCell ref="A21:D21"/>
    <mergeCell ref="A22:D22"/>
    <mergeCell ref="A23:D23"/>
    <mergeCell ref="A24:D24"/>
    <mergeCell ref="A25:D25"/>
    <mergeCell ref="A26:M26"/>
  </mergeCells>
  <printOptions horizontalCentered="1" verticalCentered="1"/>
  <pageMargins left="0.25" right="0.25" top="0.75" bottom="0.2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S147"/>
  <sheetViews>
    <sheetView topLeftCell="A53" zoomScale="70" zoomScaleNormal="70" workbookViewId="0">
      <selection activeCell="N64" sqref="N64"/>
    </sheetView>
  </sheetViews>
  <sheetFormatPr defaultRowHeight="14.5" x14ac:dyDescent="0.35"/>
  <cols>
    <col min="1" max="1" width="13.7265625" customWidth="1"/>
    <col min="2" max="2" width="11.7265625" bestFit="1" customWidth="1"/>
    <col min="3" max="3" width="16.7265625" bestFit="1" customWidth="1"/>
    <col min="4" max="4" width="31.453125" bestFit="1" customWidth="1"/>
    <col min="5" max="5" width="19.7265625" bestFit="1" customWidth="1"/>
    <col min="6" max="6" width="21.54296875" bestFit="1" customWidth="1"/>
    <col min="7" max="7" width="6.26953125" bestFit="1" customWidth="1"/>
    <col min="8" max="8" width="14.453125" bestFit="1" customWidth="1"/>
    <col min="9" max="9" width="14.7265625" bestFit="1" customWidth="1"/>
    <col min="10" max="10" width="8.54296875" bestFit="1" customWidth="1"/>
    <col min="11" max="12" width="19.7265625" bestFit="1" customWidth="1"/>
    <col min="13" max="13" width="7.1796875" bestFit="1" customWidth="1"/>
    <col min="14" max="14" width="17.54296875" bestFit="1" customWidth="1"/>
    <col min="15" max="15" width="31.453125" bestFit="1" customWidth="1"/>
    <col min="16" max="16" width="11.26953125" bestFit="1" customWidth="1"/>
    <col min="17" max="17" width="21.54296875" bestFit="1" customWidth="1"/>
    <col min="18" max="18" width="10.7265625" bestFit="1" customWidth="1"/>
    <col min="19" max="19" width="30.7265625" bestFit="1" customWidth="1"/>
    <col min="20" max="20" width="8.54296875" bestFit="1" customWidth="1"/>
    <col min="21" max="21" width="17" bestFit="1" customWidth="1"/>
    <col min="22" max="22" width="14" bestFit="1" customWidth="1"/>
    <col min="23" max="23" width="8.26953125" bestFit="1" customWidth="1"/>
    <col min="24" max="24" width="11.7265625" bestFit="1" customWidth="1"/>
    <col min="25" max="25" width="18.26953125" bestFit="1" customWidth="1"/>
    <col min="26" max="26" width="31.453125" bestFit="1" customWidth="1"/>
    <col min="27" max="27" width="15.54296875" bestFit="1" customWidth="1"/>
    <col min="28" max="28" width="21.54296875" bestFit="1" customWidth="1"/>
    <col min="29" max="30" width="5.54296875" bestFit="1" customWidth="1"/>
    <col min="31" max="31" width="12.26953125" bestFit="1" customWidth="1"/>
    <col min="32" max="32" width="8.26953125" bestFit="1" customWidth="1"/>
    <col min="33" max="33" width="15.26953125" bestFit="1" customWidth="1"/>
    <col min="34" max="35" width="6.7265625" bestFit="1" customWidth="1"/>
    <col min="36" max="36" width="5.54296875" bestFit="1" customWidth="1"/>
    <col min="38" max="38" width="11.7265625" bestFit="1" customWidth="1"/>
    <col min="39" max="39" width="8.26953125" bestFit="1" customWidth="1"/>
    <col min="40" max="40" width="14.7265625" bestFit="1" customWidth="1"/>
    <col min="41" max="42" width="6.7265625" bestFit="1" customWidth="1"/>
    <col min="43" max="43" width="5.54296875" bestFit="1" customWidth="1"/>
    <col min="45" max="45" width="6.26953125" bestFit="1" customWidth="1"/>
  </cols>
  <sheetData>
    <row r="1" spans="1:34" x14ac:dyDescent="0.35">
      <c r="F1">
        <f>F5-F64</f>
        <v>2.4200000000000017</v>
      </c>
      <c r="K1" t="s">
        <v>299</v>
      </c>
      <c r="U1" t="s">
        <v>299</v>
      </c>
    </row>
    <row r="2" spans="1:34" x14ac:dyDescent="0.35">
      <c r="E2" t="s">
        <v>300</v>
      </c>
      <c r="P2" t="s">
        <v>301</v>
      </c>
    </row>
    <row r="3" spans="1:34" x14ac:dyDescent="0.35">
      <c r="D3" t="s">
        <v>302</v>
      </c>
      <c r="E3" t="s">
        <v>301</v>
      </c>
      <c r="F3" t="s">
        <v>303</v>
      </c>
      <c r="O3" t="s">
        <v>302</v>
      </c>
      <c r="P3" t="s">
        <v>301</v>
      </c>
      <c r="Q3" t="s">
        <v>304</v>
      </c>
      <c r="Z3" t="s">
        <v>302</v>
      </c>
      <c r="AA3" t="s">
        <v>301</v>
      </c>
      <c r="AB3" t="s">
        <v>304</v>
      </c>
    </row>
    <row r="4" spans="1:34" x14ac:dyDescent="0.35">
      <c r="B4">
        <v>0</v>
      </c>
      <c r="C4" t="str">
        <f>"CL"&amp;B4&amp;" Comdty"</f>
        <v>CL0 Comdty</v>
      </c>
      <c r="D4" t="s">
        <v>305</v>
      </c>
      <c r="E4" t="s">
        <v>306</v>
      </c>
      <c r="F4" t="s">
        <v>307</v>
      </c>
      <c r="J4" t="s">
        <v>305</v>
      </c>
      <c r="K4" t="s">
        <v>306</v>
      </c>
      <c r="L4" t="s">
        <v>307</v>
      </c>
      <c r="N4" t="str">
        <f>"FSWTM"&amp;B4&amp;" Comdty"</f>
        <v>FSWTM0 Comdty</v>
      </c>
      <c r="O4" t="s">
        <v>305</v>
      </c>
      <c r="P4" t="s">
        <v>306</v>
      </c>
      <c r="Q4" t="s">
        <v>307</v>
      </c>
      <c r="T4" t="s">
        <v>305</v>
      </c>
      <c r="U4" t="s">
        <v>306</v>
      </c>
      <c r="V4" t="s">
        <v>307</v>
      </c>
      <c r="X4" s="87"/>
      <c r="Z4" t="s">
        <v>305</v>
      </c>
      <c r="AA4" t="s">
        <v>306</v>
      </c>
      <c r="AB4" t="s">
        <v>307</v>
      </c>
      <c r="AF4">
        <v>1</v>
      </c>
      <c r="AG4" t="s">
        <v>308</v>
      </c>
      <c r="AH4" t="s">
        <v>309</v>
      </c>
    </row>
    <row r="5" spans="1:34" x14ac:dyDescent="0.35">
      <c r="B5">
        <f>+B4+1</f>
        <v>1</v>
      </c>
      <c r="C5" t="str">
        <f t="shared" ref="C5:C28" si="0">"CL"&amp;B5&amp;" Comdty"</f>
        <v>CL1 Comdty</v>
      </c>
      <c r="D5" s="85" t="str">
        <f t="array" ref="D5">_xll.BDP($C5,$D$3)</f>
        <v>NOV 26</v>
      </c>
      <c r="E5">
        <f t="array" ref="E5">_xll.BDP($C5,E$3)</f>
        <v>93.14</v>
      </c>
      <c r="F5">
        <f t="array" ref="F5">_xll.BDP($C5,F$3)</f>
        <v>90.42</v>
      </c>
      <c r="H5" s="375">
        <f>EOMONTH(J5,0)</f>
        <v>46387</v>
      </c>
      <c r="I5" t="str">
        <f>"CO"&amp;B5&amp;" Comdty"</f>
        <v>CO1 Comdty</v>
      </c>
      <c r="J5" s="85" t="str">
        <f t="array" ref="J5">_xll.BDP($I5,$D$3)</f>
        <v>DEC 26</v>
      </c>
      <c r="K5">
        <f t="array" ref="K5">_xll.BDP($I5,E$3)</f>
        <v>102.49</v>
      </c>
      <c r="L5">
        <f t="array" ref="L5">_xll.BDP($I5,F$3)</f>
        <v>98.03</v>
      </c>
      <c r="M5">
        <f>L5-L7</f>
        <v>5.1799999999999926</v>
      </c>
      <c r="N5" t="str">
        <f t="shared" ref="N5:N53" si="1">"FSWTM"&amp;B5&amp;" Comdty"</f>
        <v>FSWTM1 Comdty</v>
      </c>
      <c r="O5" s="85" t="str">
        <f t="array" ref="O5">_xll.BDP($C5,$D$3)</f>
        <v>NOV 26</v>
      </c>
      <c r="P5">
        <f t="array" ref="P5">_xll.BDP($N5,P$3)</f>
        <v>93.14</v>
      </c>
      <c r="Q5">
        <f t="array" ref="Q5">_xll.BDP($N5,Q$3)</f>
        <v>92.41</v>
      </c>
      <c r="R5" s="87">
        <v>45351</v>
      </c>
      <c r="S5" t="str">
        <f>"DBR"&amp;M5&amp;" Comdty"</f>
        <v>DBR5.17999999999999 Comdty</v>
      </c>
      <c r="T5" s="85" t="str">
        <f t="array" ref="T5">_xll.BDP($I5,$D$3)</f>
        <v>DEC 26</v>
      </c>
      <c r="U5">
        <f t="array" ref="U5">_xll.BDP($I5,P$3)</f>
        <v>102.49</v>
      </c>
      <c r="V5">
        <f t="array" ref="V5">_xll.BDP($I5,Q$3)</f>
        <v>102.31</v>
      </c>
      <c r="X5" s="87">
        <f>H5</f>
        <v>46387</v>
      </c>
      <c r="Y5" t="str">
        <f>"HWTCO"&amp;_xlfn.XLOOKUP(LEFT(Z5,3),$AH$4:$AH$15,$AG$4:$AG$15)&amp;RIGHT(Z5,1)&amp; " Comdty"</f>
        <v>HWTCOZ6 Comdty</v>
      </c>
      <c r="Z5" s="85" t="str">
        <f>J5</f>
        <v>DEC 26</v>
      </c>
      <c r="AA5">
        <f t="array" ref="AA5">_xll.BDP($Y5,AA$3)</f>
        <v>-10.41</v>
      </c>
      <c r="AB5">
        <f t="array" ref="AB5">_xll.BDP($Y5,AB$3)</f>
        <v>-8.59</v>
      </c>
      <c r="AF5">
        <f>+AF4+1</f>
        <v>2</v>
      </c>
      <c r="AG5" t="s">
        <v>310</v>
      </c>
      <c r="AH5" t="s">
        <v>311</v>
      </c>
    </row>
    <row r="6" spans="1:34" x14ac:dyDescent="0.35">
      <c r="B6">
        <f>+B5+1</f>
        <v>2</v>
      </c>
      <c r="C6" t="str">
        <f t="shared" si="0"/>
        <v>CL2 Comdty</v>
      </c>
      <c r="D6" t="str">
        <f t="array" ref="D6">_xll.BDP($C6,$D$3)</f>
        <v>DEC 26</v>
      </c>
      <c r="E6">
        <f t="array" ref="E6">_xll.BDP($C6,E$3)</f>
        <v>91.08</v>
      </c>
      <c r="F6">
        <f t="array" ref="F6">_xll.BDP($C6,F$3)</f>
        <v>88.42</v>
      </c>
      <c r="H6" s="87">
        <f>EOMONTH(H5,1)</f>
        <v>46418</v>
      </c>
      <c r="I6" t="str">
        <f t="shared" ref="I6:I28" si="2">"CO"&amp;B6&amp;" Comdty"</f>
        <v>CO2 Comdty</v>
      </c>
      <c r="J6" t="str">
        <f t="array" ref="J6">_xll.BDP($I6,$D$3)</f>
        <v>JAN 27</v>
      </c>
      <c r="K6">
        <f t="array" ref="K6">_xll.BDP($I6,E$3)</f>
        <v>98.62</v>
      </c>
      <c r="L6">
        <f t="array" ref="L6">_xll.BDP($I6,F$3)</f>
        <v>95.09</v>
      </c>
      <c r="N6" t="str">
        <f t="shared" si="1"/>
        <v>FSWTM2 Comdty</v>
      </c>
      <c r="O6" t="str">
        <f t="array" ref="O6">_xll.BDP($C6,$D$3)</f>
        <v>DEC 26</v>
      </c>
      <c r="P6">
        <f t="array" ref="P6">_xll.BDP($N6,P$3)</f>
        <v>91.09</v>
      </c>
      <c r="Q6">
        <f t="array" ref="Q6">_xll.BDP($N6,Q$3)</f>
        <v>88.71</v>
      </c>
      <c r="R6">
        <f t="shared" ref="R6:R53" si="3">EOMONTH(R5,0)</f>
        <v>45351</v>
      </c>
      <c r="S6" t="str">
        <f t="shared" ref="S6:S53" si="4">"DBR"&amp;M6&amp;" Comdty"</f>
        <v>DBR Comdty</v>
      </c>
      <c r="T6" t="str">
        <f t="array" ref="T6">_xll.BDP($I6,$D$3)</f>
        <v>JAN 27</v>
      </c>
      <c r="U6">
        <f t="array" ref="U6">_xll.BDP($I6,P$3)</f>
        <v>98.62</v>
      </c>
      <c r="V6">
        <f t="array" ref="V6">_xll.BDP($I6,Q$3)</f>
        <v>98.43</v>
      </c>
      <c r="X6" s="87">
        <f t="shared" ref="X6:X28" si="5">H6</f>
        <v>46418</v>
      </c>
      <c r="Y6" t="str">
        <f t="shared" ref="Y6:Y28" si="6">"HWTCO"&amp;_xlfn.XLOOKUP(LEFT(Z6,3),$AH$4:$AH$15,$AG$4:$AG$15)&amp;RIGHT(Z6,1)&amp; " Comdty"</f>
        <v>HWTCOF7 Comdty</v>
      </c>
      <c r="Z6" t="str">
        <f t="shared" ref="Z6:Z28" si="7">J6</f>
        <v>JAN 27</v>
      </c>
      <c r="AA6">
        <f t="array" ref="AA6">_xll.BDP($Y6,AA$3)</f>
        <v>-7.92</v>
      </c>
      <c r="AB6">
        <f t="array" ref="AB6">_xll.BDP($Y6,AB$3)</f>
        <v>-7.08</v>
      </c>
      <c r="AF6">
        <f t="shared" ref="AF6:AF15" si="8">+AF5+1</f>
        <v>3</v>
      </c>
      <c r="AG6" t="s">
        <v>312</v>
      </c>
      <c r="AH6" t="s">
        <v>313</v>
      </c>
    </row>
    <row r="7" spans="1:34" x14ac:dyDescent="0.35">
      <c r="A7">
        <f>E5-K6</f>
        <v>-5.480000000000004</v>
      </c>
      <c r="B7">
        <f t="shared" ref="B7:B53" si="9">+B6+1</f>
        <v>3</v>
      </c>
      <c r="C7" t="str">
        <f t="shared" si="0"/>
        <v>CL3 Comdty</v>
      </c>
      <c r="D7" t="str">
        <f t="array" ref="D7">_xll.BDP($C7,$D$3)</f>
        <v>JAN 27</v>
      </c>
      <c r="E7">
        <f t="array" ref="E7">_xll.BDP($C7,E$3)</f>
        <v>88.99</v>
      </c>
      <c r="F7">
        <f t="array" ref="F7">_xll.BDP($C7,F$3)</f>
        <v>86.73</v>
      </c>
      <c r="H7" s="87">
        <f t="shared" ref="H7:H53" si="10">EOMONTH(H6,1)</f>
        <v>46446</v>
      </c>
      <c r="I7" t="str">
        <f t="shared" si="2"/>
        <v>CO3 Comdty</v>
      </c>
      <c r="J7" t="str">
        <f t="array" ref="J7">_xll.BDP($I7,$D$3)</f>
        <v>FEB 27</v>
      </c>
      <c r="K7">
        <f t="array" ref="K7">_xll.BDP($I7,E$3)</f>
        <v>95.54</v>
      </c>
      <c r="L7">
        <f t="array" ref="L7">_xll.BDP($I7,F$3)</f>
        <v>92.850000000000009</v>
      </c>
      <c r="N7" t="str">
        <f t="shared" si="1"/>
        <v>FSWTM3 Comdty</v>
      </c>
      <c r="O7" t="str">
        <f t="array" ref="O7">_xll.BDP($C7,$D$3)</f>
        <v>JAN 27</v>
      </c>
      <c r="P7">
        <f t="array" ref="P7">_xll.BDP($N7,P$3)</f>
        <v>89</v>
      </c>
      <c r="Q7">
        <f t="array" ref="Q7">_xll.BDP($N7,Q$3)</f>
        <v>86.01</v>
      </c>
      <c r="R7">
        <f t="shared" si="3"/>
        <v>45351</v>
      </c>
      <c r="S7" t="str">
        <f t="shared" si="4"/>
        <v>DBR Comdty</v>
      </c>
      <c r="T7" t="str">
        <f t="array" ref="T7">_xll.BDP($I7,$D$3)</f>
        <v>FEB 27</v>
      </c>
      <c r="U7">
        <f t="array" ref="U7">_xll.BDP($I7,P$3)</f>
        <v>95.54</v>
      </c>
      <c r="V7">
        <f t="array" ref="V7">_xll.BDP($I7,Q$3)</f>
        <v>95.38</v>
      </c>
      <c r="X7" s="87">
        <f t="shared" si="5"/>
        <v>46446</v>
      </c>
      <c r="Y7" t="str">
        <f t="shared" si="6"/>
        <v>HWTCOG7 Comdty</v>
      </c>
      <c r="Z7" t="str">
        <f t="shared" si="7"/>
        <v>FEB 27</v>
      </c>
      <c r="AA7">
        <f t="array" ref="AA7">_xll.BDP($Y7,AA$3)</f>
        <v>-7.3</v>
      </c>
      <c r="AB7">
        <f t="array" ref="AB7">_xll.BDP($Y7,AB$3)</f>
        <v>-6.38</v>
      </c>
      <c r="AF7">
        <f t="shared" si="8"/>
        <v>4</v>
      </c>
      <c r="AG7" t="s">
        <v>314</v>
      </c>
      <c r="AH7" t="s">
        <v>315</v>
      </c>
    </row>
    <row r="8" spans="1:34" x14ac:dyDescent="0.35">
      <c r="B8">
        <f t="shared" si="9"/>
        <v>4</v>
      </c>
      <c r="C8" t="str">
        <f t="shared" si="0"/>
        <v>CL4 Comdty</v>
      </c>
      <c r="D8" t="str">
        <f t="array" ref="D8">_xll.BDP($C8,$D$3)</f>
        <v>FEB 27</v>
      </c>
      <c r="E8">
        <f t="array" ref="E8">_xll.BDP($C8,E$3)</f>
        <v>86.89</v>
      </c>
      <c r="F8">
        <f t="array" ref="F8">_xll.BDP($C8,F$3)</f>
        <v>85.11</v>
      </c>
      <c r="H8" s="87">
        <f t="shared" si="10"/>
        <v>46477</v>
      </c>
      <c r="I8" t="str">
        <f t="shared" si="2"/>
        <v>CO4 Comdty</v>
      </c>
      <c r="J8" t="str">
        <f t="array" ref="J8">_xll.BDP($I8,$D$3)</f>
        <v>MAR 27</v>
      </c>
      <c r="K8">
        <f t="array" ref="K8">_xll.BDP($I8,E$3)</f>
        <v>93.22</v>
      </c>
      <c r="L8">
        <f t="array" ref="L8">_xll.BDP($I8,F$3)</f>
        <v>91.15</v>
      </c>
      <c r="N8" t="str">
        <f t="shared" si="1"/>
        <v>FSWTM4 Comdty</v>
      </c>
      <c r="O8" t="str">
        <f t="array" ref="O8">_xll.BDP($C8,$D$3)</f>
        <v>FEB 27</v>
      </c>
      <c r="P8">
        <f t="array" ref="P8">_xll.BDP($N8,P$3)</f>
        <v>86.85</v>
      </c>
      <c r="Q8">
        <f t="array" ref="Q8">_xll.BDP($N8,Q$3)</f>
        <v>83.97</v>
      </c>
      <c r="R8">
        <f t="shared" si="3"/>
        <v>45351</v>
      </c>
      <c r="S8" t="str">
        <f t="shared" si="4"/>
        <v>DBR Comdty</v>
      </c>
      <c r="T8" t="str">
        <f t="array" ref="T8">_xll.BDP($I8,$D$3)</f>
        <v>MAR 27</v>
      </c>
      <c r="U8">
        <f t="array" ref="U8">_xll.BDP($I8,P$3)</f>
        <v>93.22</v>
      </c>
      <c r="V8">
        <f t="array" ref="V8">_xll.BDP($I8,Q$3)</f>
        <v>93.1</v>
      </c>
      <c r="X8" s="87">
        <f t="shared" si="5"/>
        <v>46477</v>
      </c>
      <c r="Y8" t="str">
        <f t="shared" si="6"/>
        <v>HWTCOH7 Comdty</v>
      </c>
      <c r="Z8" t="str">
        <f t="shared" si="7"/>
        <v>MAR 27</v>
      </c>
      <c r="AA8">
        <f t="array" ref="AA8">_xll.BDP($Y8,AA$3)</f>
        <v>-6</v>
      </c>
      <c r="AB8">
        <f t="array" ref="AB8">_xll.BDP($Y8,AB$3)</f>
        <v>-6</v>
      </c>
      <c r="AF8">
        <f t="shared" si="8"/>
        <v>5</v>
      </c>
      <c r="AG8" t="s">
        <v>316</v>
      </c>
      <c r="AH8" t="s">
        <v>317</v>
      </c>
    </row>
    <row r="9" spans="1:34" x14ac:dyDescent="0.35">
      <c r="B9">
        <f t="shared" si="9"/>
        <v>5</v>
      </c>
      <c r="C9" t="str">
        <f t="shared" si="0"/>
        <v>CL5 Comdty</v>
      </c>
      <c r="D9" t="str">
        <f t="array" ref="D9">_xll.BDP($C9,$D$3)</f>
        <v>MAR 27</v>
      </c>
      <c r="E9">
        <f t="array" ref="E9">_xll.BDP($C9,E$3)</f>
        <v>84.93</v>
      </c>
      <c r="F9">
        <f t="array" ref="F9">_xll.BDP($C9,F$3)</f>
        <v>83.710000000000008</v>
      </c>
      <c r="H9" s="87">
        <f t="shared" si="10"/>
        <v>46507</v>
      </c>
      <c r="I9" t="str">
        <f t="shared" si="2"/>
        <v>CO5 Comdty</v>
      </c>
      <c r="J9" t="str">
        <f t="array" ref="J9">_xll.BDP($I9,$D$3)</f>
        <v>APR 27</v>
      </c>
      <c r="K9">
        <f t="array" ref="K9">_xll.BDP($I9,E$3)</f>
        <v>91.31</v>
      </c>
      <c r="L9">
        <f t="array" ref="L9">_xll.BDP($I9,F$3)</f>
        <v>89.67</v>
      </c>
      <c r="N9" t="str">
        <f t="shared" si="1"/>
        <v>FSWTM5 Comdty</v>
      </c>
      <c r="O9" t="str">
        <f t="array" ref="O9">_xll.BDP($C9,$D$3)</f>
        <v>MAR 27</v>
      </c>
      <c r="P9">
        <f t="array" ref="P9">_xll.BDP($N9,P$3)</f>
        <v>84.93</v>
      </c>
      <c r="Q9">
        <f t="array" ref="Q9">_xll.BDP($N9,Q$3)</f>
        <v>82.46</v>
      </c>
      <c r="R9">
        <f t="shared" si="3"/>
        <v>45351</v>
      </c>
      <c r="S9" t="str">
        <f t="shared" si="4"/>
        <v>DBR Comdty</v>
      </c>
      <c r="T9" t="str">
        <f t="array" ref="T9">_xll.BDP($I9,$D$3)</f>
        <v>APR 27</v>
      </c>
      <c r="U9">
        <f t="array" ref="U9">_xll.BDP($I9,P$3)</f>
        <v>91.31</v>
      </c>
      <c r="V9">
        <f t="array" ref="V9">_xll.BDP($I9,Q$3)</f>
        <v>91.2</v>
      </c>
      <c r="X9" s="87">
        <f t="shared" si="5"/>
        <v>46507</v>
      </c>
      <c r="Y9" t="str">
        <f t="shared" si="6"/>
        <v>HWTCOJ7 Comdty</v>
      </c>
      <c r="Z9" t="str">
        <f t="shared" si="7"/>
        <v>APR 27</v>
      </c>
      <c r="AA9">
        <f t="array" ref="AA9">_xll.BDP($Y9,AA$3)</f>
        <v>-6.5</v>
      </c>
      <c r="AB9">
        <f t="array" ref="AB9">_xll.BDP($Y9,AB$3)</f>
        <v>-5.7</v>
      </c>
      <c r="AF9">
        <f t="shared" si="8"/>
        <v>6</v>
      </c>
      <c r="AG9" t="s">
        <v>318</v>
      </c>
      <c r="AH9" t="s">
        <v>319</v>
      </c>
    </row>
    <row r="10" spans="1:34" x14ac:dyDescent="0.35">
      <c r="B10">
        <f t="shared" si="9"/>
        <v>6</v>
      </c>
      <c r="C10" t="str">
        <f t="shared" si="0"/>
        <v>CL6 Comdty</v>
      </c>
      <c r="D10" t="str">
        <f t="array" ref="D10">_xll.BDP($C10,$D$3)</f>
        <v>APR 27</v>
      </c>
      <c r="E10">
        <f t="array" ref="E10">_xll.BDP($C10,E$3)</f>
        <v>83.27</v>
      </c>
      <c r="F10">
        <f t="array" ref="F10">_xll.BDP($C10,F$3)</f>
        <v>82.45</v>
      </c>
      <c r="H10" s="87">
        <f t="shared" si="10"/>
        <v>46538</v>
      </c>
      <c r="I10" t="str">
        <f t="shared" si="2"/>
        <v>CO6 Comdty</v>
      </c>
      <c r="J10" t="str">
        <f t="array" ref="J10">_xll.BDP($I10,$D$3)</f>
        <v>MAY 27</v>
      </c>
      <c r="K10">
        <f t="array" ref="K10">_xll.BDP($I10,E$3)</f>
        <v>89.62</v>
      </c>
      <c r="L10">
        <f t="array" ref="L10">_xll.BDP($I10,F$3)</f>
        <v>88.34</v>
      </c>
      <c r="N10" t="str">
        <f t="shared" si="1"/>
        <v>FSWTM6 Comdty</v>
      </c>
      <c r="O10" t="str">
        <f t="array" ref="O10">_xll.BDP($C10,$D$3)</f>
        <v>APR 27</v>
      </c>
      <c r="P10">
        <f t="array" ref="P10">_xll.BDP($N10,P$3)</f>
        <v>83.29</v>
      </c>
      <c r="Q10">
        <f t="array" ref="Q10">_xll.BDP($N10,Q$3)</f>
        <v>81.12</v>
      </c>
      <c r="R10">
        <f t="shared" si="3"/>
        <v>45351</v>
      </c>
      <c r="S10" t="str">
        <f t="shared" si="4"/>
        <v>DBR Comdty</v>
      </c>
      <c r="T10" t="str">
        <f t="array" ref="T10">_xll.BDP($I10,$D$3)</f>
        <v>MAY 27</v>
      </c>
      <c r="U10">
        <f t="array" ref="U10">_xll.BDP($I10,P$3)</f>
        <v>89.62</v>
      </c>
      <c r="V10">
        <f t="array" ref="V10">_xll.BDP($I10,Q$3)</f>
        <v>89.53</v>
      </c>
      <c r="X10" s="87">
        <f t="shared" si="5"/>
        <v>46538</v>
      </c>
      <c r="Y10" t="str">
        <f t="shared" si="6"/>
        <v>HWTCOK7 Comdty</v>
      </c>
      <c r="Z10" t="str">
        <f t="shared" si="7"/>
        <v>MAY 27</v>
      </c>
      <c r="AA10">
        <f t="array" ref="AA10">_xll.BDP($Y10,AA$3)</f>
        <v>-5.42</v>
      </c>
      <c r="AB10">
        <f t="array" ref="AB10">_xll.BDP($Y10,AB$3)</f>
        <v>-5.42</v>
      </c>
      <c r="AF10">
        <f t="shared" si="8"/>
        <v>7</v>
      </c>
      <c r="AG10" t="s">
        <v>320</v>
      </c>
      <c r="AH10" t="s">
        <v>321</v>
      </c>
    </row>
    <row r="11" spans="1:34" x14ac:dyDescent="0.35">
      <c r="B11">
        <f t="shared" si="9"/>
        <v>7</v>
      </c>
      <c r="C11" t="str">
        <f t="shared" si="0"/>
        <v>CL7 Comdty</v>
      </c>
      <c r="D11" t="str">
        <f t="array" ref="D11">_xll.BDP($C11,$D$3)</f>
        <v>MAY 27</v>
      </c>
      <c r="E11">
        <f t="array" ref="E11">_xll.BDP($C11,E$3)</f>
        <v>81.91</v>
      </c>
      <c r="F11">
        <f t="array" ref="F11">_xll.BDP($C11,F$3)</f>
        <v>81.320000000000007</v>
      </c>
      <c r="H11" s="87">
        <f t="shared" si="10"/>
        <v>46568</v>
      </c>
      <c r="I11" t="str">
        <f t="shared" si="2"/>
        <v>CO7 Comdty</v>
      </c>
      <c r="J11" t="str">
        <f t="array" ref="J11">_xll.BDP($I11,$D$3)</f>
        <v>JUN 27</v>
      </c>
      <c r="K11">
        <f t="array" ref="K11">_xll.BDP($I11,E$3)</f>
        <v>88.09</v>
      </c>
      <c r="L11">
        <f t="array" ref="L11">_xll.BDP($I11,F$3)</f>
        <v>87.09</v>
      </c>
      <c r="N11" t="str">
        <f t="shared" si="1"/>
        <v>FSWTM7 Comdty</v>
      </c>
      <c r="O11" t="str">
        <f t="array" ref="O11">_xll.BDP($C11,$D$3)</f>
        <v>MAY 27</v>
      </c>
      <c r="P11">
        <f t="array" ref="P11">_xll.BDP($N11,P$3)</f>
        <v>81.88</v>
      </c>
      <c r="Q11">
        <f t="array" ref="Q11">_xll.BDP($N11,Q$3)</f>
        <v>79.94</v>
      </c>
      <c r="R11">
        <f t="shared" si="3"/>
        <v>45351</v>
      </c>
      <c r="S11" t="str">
        <f t="shared" si="4"/>
        <v>DBR Comdty</v>
      </c>
      <c r="T11" t="str">
        <f t="array" ref="T11">_xll.BDP($I11,$D$3)</f>
        <v>JUN 27</v>
      </c>
      <c r="U11">
        <f t="array" ref="U11">_xll.BDP($I11,P$3)</f>
        <v>88.09</v>
      </c>
      <c r="V11">
        <f t="array" ref="V11">_xll.BDP($I11,Q$3)</f>
        <v>88.03</v>
      </c>
      <c r="X11" s="87">
        <f t="shared" si="5"/>
        <v>46568</v>
      </c>
      <c r="Y11" t="str">
        <f t="shared" si="6"/>
        <v>HWTCOM7 Comdty</v>
      </c>
      <c r="Z11" t="str">
        <f t="shared" si="7"/>
        <v>JUN 27</v>
      </c>
      <c r="AA11">
        <f t="array" ref="AA11">_xll.BDP($Y11,AA$3)</f>
        <v>-5.04</v>
      </c>
      <c r="AB11">
        <f t="array" ref="AB11">_xll.BDP($Y11,AB$3)</f>
        <v>-5.04</v>
      </c>
      <c r="AF11">
        <f t="shared" si="8"/>
        <v>8</v>
      </c>
      <c r="AG11" t="s">
        <v>322</v>
      </c>
      <c r="AH11" t="s">
        <v>323</v>
      </c>
    </row>
    <row r="12" spans="1:34" x14ac:dyDescent="0.35">
      <c r="B12">
        <f t="shared" si="9"/>
        <v>8</v>
      </c>
      <c r="C12" t="str">
        <f t="shared" si="0"/>
        <v>CL8 Comdty</v>
      </c>
      <c r="D12" t="str">
        <f t="array" ref="D12">_xll.BDP($C12,$D$3)</f>
        <v>JUN 27</v>
      </c>
      <c r="E12">
        <f t="array" ref="E12">_xll.BDP($C12,E$3)</f>
        <v>80.650000000000006</v>
      </c>
      <c r="F12">
        <f t="array" ref="F12">_xll.BDP($C12,F$3)</f>
        <v>80.28</v>
      </c>
      <c r="H12" s="87">
        <f t="shared" si="10"/>
        <v>46599</v>
      </c>
      <c r="I12" t="str">
        <f t="shared" si="2"/>
        <v>CO8 Comdty</v>
      </c>
      <c r="J12" t="str">
        <f t="array" ref="J12">_xll.BDP($I12,$D$3)</f>
        <v>JUL 27</v>
      </c>
      <c r="K12">
        <f t="array" ref="K12">_xll.BDP($I12,E$3)</f>
        <v>86.69</v>
      </c>
      <c r="L12">
        <f t="array" ref="L12">_xll.BDP($I12,F$3)</f>
        <v>85.91</v>
      </c>
      <c r="N12" t="str">
        <f t="shared" si="1"/>
        <v>FSWTM8 Comdty</v>
      </c>
      <c r="O12" t="str">
        <f t="array" ref="O12">_xll.BDP($C12,$D$3)</f>
        <v>JUN 27</v>
      </c>
      <c r="P12">
        <f t="array" ref="P12">_xll.BDP($N12,P$3)</f>
        <v>80.66</v>
      </c>
      <c r="Q12">
        <f t="array" ref="Q12">_xll.BDP($N12,Q$3)</f>
        <v>78.86</v>
      </c>
      <c r="R12">
        <f t="shared" si="3"/>
        <v>45351</v>
      </c>
      <c r="S12" t="str">
        <f t="shared" si="4"/>
        <v>DBR Comdty</v>
      </c>
      <c r="T12" t="str">
        <f t="array" ref="T12">_xll.BDP($I12,$D$3)</f>
        <v>JUL 27</v>
      </c>
      <c r="U12">
        <f t="array" ref="U12">_xll.BDP($I12,P$3)</f>
        <v>86.69</v>
      </c>
      <c r="V12">
        <f t="array" ref="V12">_xll.BDP($I12,Q$3)</f>
        <v>86.67</v>
      </c>
      <c r="X12" s="87">
        <f t="shared" si="5"/>
        <v>46599</v>
      </c>
      <c r="Y12" t="str">
        <f t="shared" si="6"/>
        <v>HWTCON7 Comdty</v>
      </c>
      <c r="Z12" t="str">
        <f t="shared" si="7"/>
        <v>JUL 27</v>
      </c>
      <c r="AA12">
        <f t="array" ref="AA12">_xll.BDP($Y12,AA$3)</f>
        <v>-4.74</v>
      </c>
      <c r="AB12">
        <f t="array" ref="AB12">_xll.BDP($Y12,AB$3)</f>
        <v>-4.74</v>
      </c>
      <c r="AF12">
        <f t="shared" si="8"/>
        <v>9</v>
      </c>
      <c r="AG12" t="s">
        <v>324</v>
      </c>
      <c r="AH12" t="s">
        <v>325</v>
      </c>
    </row>
    <row r="13" spans="1:34" x14ac:dyDescent="0.35">
      <c r="B13">
        <f t="shared" si="9"/>
        <v>9</v>
      </c>
      <c r="C13" t="str">
        <f t="shared" si="0"/>
        <v>CL9 Comdty</v>
      </c>
      <c r="D13" t="str">
        <f t="array" ref="D13">_xll.BDP($C13,$D$3)</f>
        <v>JUL 27</v>
      </c>
      <c r="E13">
        <f t="array" ref="E13">_xll.BDP($C13,E$3)</f>
        <v>79.510000000000005</v>
      </c>
      <c r="F13">
        <f t="array" ref="F13">_xll.BDP($C13,F$3)</f>
        <v>79.31</v>
      </c>
      <c r="H13" s="87">
        <f t="shared" si="10"/>
        <v>46630</v>
      </c>
      <c r="I13" t="str">
        <f t="shared" si="2"/>
        <v>CO9 Comdty</v>
      </c>
      <c r="J13" t="str">
        <f t="array" ref="J13">_xll.BDP($I13,$D$3)</f>
        <v>AUG 27</v>
      </c>
      <c r="K13">
        <f t="array" ref="K13">_xll.BDP($I13,E$3)</f>
        <v>85.46</v>
      </c>
      <c r="L13">
        <f t="array" ref="L13">_xll.BDP($I13,F$3)</f>
        <v>84.81</v>
      </c>
      <c r="N13" t="str">
        <f t="shared" si="1"/>
        <v>FSWTM9 Comdty</v>
      </c>
      <c r="O13" t="str">
        <f t="array" ref="O13">_xll.BDP($C13,$D$3)</f>
        <v>JUL 27</v>
      </c>
      <c r="P13">
        <f t="array" ref="P13">_xll.BDP($N13,P$3)</f>
        <v>79.55</v>
      </c>
      <c r="Q13">
        <f t="array" ref="Q13">_xll.BDP($N13,Q$3)</f>
        <v>77.86</v>
      </c>
      <c r="R13">
        <f t="shared" si="3"/>
        <v>45351</v>
      </c>
      <c r="S13" t="str">
        <f t="shared" si="4"/>
        <v>DBR Comdty</v>
      </c>
      <c r="T13" t="str">
        <f t="array" ref="T13">_xll.BDP($I13,$D$3)</f>
        <v>AUG 27</v>
      </c>
      <c r="U13">
        <f t="array" ref="U13">_xll.BDP($I13,P$3)</f>
        <v>85.46</v>
      </c>
      <c r="V13">
        <f t="array" ref="V13">_xll.BDP($I13,Q$3)</f>
        <v>85.43</v>
      </c>
      <c r="X13" s="87">
        <f t="shared" si="5"/>
        <v>46630</v>
      </c>
      <c r="Y13" t="str">
        <f t="shared" si="6"/>
        <v>HWTCOQ7 Comdty</v>
      </c>
      <c r="Z13" t="str">
        <f t="shared" si="7"/>
        <v>AUG 27</v>
      </c>
      <c r="AA13">
        <f t="array" ref="AA13">_xll.BDP($Y13,AA$3)</f>
        <v>-4.5199999999999996</v>
      </c>
      <c r="AB13">
        <f t="array" ref="AB13">_xll.BDP($Y13,AB$3)</f>
        <v>-4.5199999999999996</v>
      </c>
      <c r="AF13">
        <f t="shared" si="8"/>
        <v>10</v>
      </c>
      <c r="AG13" t="s">
        <v>326</v>
      </c>
      <c r="AH13" t="s">
        <v>327</v>
      </c>
    </row>
    <row r="14" spans="1:34" x14ac:dyDescent="0.35">
      <c r="B14">
        <f t="shared" si="9"/>
        <v>10</v>
      </c>
      <c r="C14" t="str">
        <f t="shared" si="0"/>
        <v>CL10 Comdty</v>
      </c>
      <c r="D14" t="str">
        <f t="array" ref="D14">_xll.BDP($C14,$D$3)</f>
        <v>AUG 27</v>
      </c>
      <c r="E14">
        <f t="array" ref="E14">_xll.BDP($C14,E$3)</f>
        <v>78.62</v>
      </c>
      <c r="F14">
        <f t="array" ref="F14">_xll.BDP($C14,F$3)</f>
        <v>78.400000000000006</v>
      </c>
      <c r="H14" s="87">
        <f t="shared" si="10"/>
        <v>46660</v>
      </c>
      <c r="I14" t="str">
        <f t="shared" si="2"/>
        <v>CO10 Comdty</v>
      </c>
      <c r="J14" t="str">
        <f t="array" ref="J14">_xll.BDP($I14,$D$3)</f>
        <v>SEP 27</v>
      </c>
      <c r="K14">
        <f t="array" ref="K14">_xll.BDP($I14,E$3)</f>
        <v>84.33</v>
      </c>
      <c r="L14" s="91">
        <f t="array" ref="L14">_xll.BDP($I14,F$3)</f>
        <v>83.79</v>
      </c>
      <c r="M14" s="91"/>
      <c r="N14" t="str">
        <f t="shared" si="1"/>
        <v>FSWTM10 Comdty</v>
      </c>
      <c r="O14" t="str">
        <f t="array" ref="O14">_xll.BDP($C14,$D$3)</f>
        <v>AUG 27</v>
      </c>
      <c r="P14">
        <f t="array" ref="P14">_xll.BDP($N14,P$3)</f>
        <v>78.540000000000006</v>
      </c>
      <c r="Q14">
        <f t="array" ref="Q14">_xll.BDP($N14,Q$3)</f>
        <v>76.94</v>
      </c>
      <c r="R14">
        <f t="shared" si="3"/>
        <v>45351</v>
      </c>
      <c r="S14" t="str">
        <f t="shared" si="4"/>
        <v>DBR Comdty</v>
      </c>
      <c r="T14" t="str">
        <f t="array" ref="T14">_xll.BDP($I14,$D$3)</f>
        <v>SEP 27</v>
      </c>
      <c r="U14">
        <f t="array" ref="U14">_xll.BDP($I14,P$3)</f>
        <v>84.33</v>
      </c>
      <c r="V14" s="91">
        <f t="array" ref="V14">_xll.BDP($I14,Q$3)</f>
        <v>84.32</v>
      </c>
      <c r="X14" s="87">
        <f t="shared" si="5"/>
        <v>46660</v>
      </c>
      <c r="Y14" t="str">
        <f t="shared" si="6"/>
        <v>HWTCOU7 Comdty</v>
      </c>
      <c r="Z14" t="str">
        <f t="shared" si="7"/>
        <v>SEP 27</v>
      </c>
      <c r="AA14">
        <f t="array" ref="AA14">_xll.BDP($Y14,AA$3)</f>
        <v>-4.3600000000000003</v>
      </c>
      <c r="AB14">
        <f t="array" ref="AB14">_xll.BDP($Y14,AB$3)</f>
        <v>-4.3600000000000003</v>
      </c>
      <c r="AF14">
        <f t="shared" si="8"/>
        <v>11</v>
      </c>
      <c r="AG14" t="s">
        <v>328</v>
      </c>
      <c r="AH14" t="s">
        <v>329</v>
      </c>
    </row>
    <row r="15" spans="1:34" x14ac:dyDescent="0.35">
      <c r="B15">
        <f t="shared" si="9"/>
        <v>11</v>
      </c>
      <c r="C15" t="str">
        <f t="shared" si="0"/>
        <v>CL11 Comdty</v>
      </c>
      <c r="D15" t="str">
        <f t="array" ref="D15">_xll.BDP($C15,$D$3)</f>
        <v>SEP 27</v>
      </c>
      <c r="E15">
        <f t="array" ref="E15">_xll.BDP($C15,E$3)</f>
        <v>77.59</v>
      </c>
      <c r="F15">
        <f t="array" ref="F15">_xll.BDP($C15,F$3)</f>
        <v>77.55</v>
      </c>
      <c r="H15" s="87">
        <f t="shared" si="10"/>
        <v>46691</v>
      </c>
      <c r="I15" t="str">
        <f t="shared" si="2"/>
        <v>CO11 Comdty</v>
      </c>
      <c r="J15" t="str">
        <f t="array" ref="J15">_xll.BDP($I15,$D$3)</f>
        <v>OCT 27</v>
      </c>
      <c r="K15">
        <f t="array" ref="K15">_xll.BDP($I15,E$3)</f>
        <v>83.23</v>
      </c>
      <c r="L15">
        <f t="array" ref="L15">_xll.BDP($I15,F$3)</f>
        <v>82.86</v>
      </c>
      <c r="N15" t="str">
        <f t="shared" si="1"/>
        <v>FSWTM11 Comdty</v>
      </c>
      <c r="O15" t="str">
        <f t="array" ref="O15">_xll.BDP($C15,$D$3)</f>
        <v>SEP 27</v>
      </c>
      <c r="P15">
        <f t="array" ref="P15">_xll.BDP($N15,P$3)</f>
        <v>77.63</v>
      </c>
      <c r="Q15">
        <f t="array" ref="Q15">_xll.BDP($N15,Q$3)</f>
        <v>76.08</v>
      </c>
      <c r="R15">
        <f t="shared" si="3"/>
        <v>45351</v>
      </c>
      <c r="S15" t="str">
        <f t="shared" si="4"/>
        <v>DBR Comdty</v>
      </c>
      <c r="T15" t="str">
        <f t="array" ref="T15">_xll.BDP($I15,$D$3)</f>
        <v>OCT 27</v>
      </c>
      <c r="U15">
        <f t="array" ref="U15">_xll.BDP($I15,P$3)</f>
        <v>83.23</v>
      </c>
      <c r="V15">
        <f t="array" ref="V15">_xll.BDP($I15,Q$3)</f>
        <v>83.32</v>
      </c>
      <c r="X15" s="87">
        <f t="shared" si="5"/>
        <v>46691</v>
      </c>
      <c r="Y15" t="str">
        <f t="shared" si="6"/>
        <v>HWTCOV7 Comdty</v>
      </c>
      <c r="Z15" t="str">
        <f t="shared" si="7"/>
        <v>OCT 27</v>
      </c>
      <c r="AA15">
        <f t="array" ref="AA15">_xll.BDP($Y15,AA$3)</f>
        <v>-4.12</v>
      </c>
      <c r="AB15">
        <f t="array" ref="AB15">_xll.BDP($Y15,AB$3)</f>
        <v>-4.12</v>
      </c>
      <c r="AF15">
        <f t="shared" si="8"/>
        <v>12</v>
      </c>
      <c r="AG15" t="s">
        <v>330</v>
      </c>
      <c r="AH15" t="s">
        <v>331</v>
      </c>
    </row>
    <row r="16" spans="1:34" x14ac:dyDescent="0.35">
      <c r="B16">
        <f t="shared" si="9"/>
        <v>12</v>
      </c>
      <c r="C16" t="str">
        <f t="shared" si="0"/>
        <v>CL12 Comdty</v>
      </c>
      <c r="D16" t="str">
        <f t="array" ref="D16">_xll.BDP($C16,$D$3)</f>
        <v>OCT 27</v>
      </c>
      <c r="E16">
        <f t="array" ref="E16">_xll.BDP($C16,E$3)</f>
        <v>76.84</v>
      </c>
      <c r="F16">
        <f t="array" ref="F16">_xll.BDP($C16,F$3)</f>
        <v>76.78</v>
      </c>
      <c r="H16" s="87">
        <f t="shared" si="10"/>
        <v>46721</v>
      </c>
      <c r="I16" t="str">
        <f t="shared" si="2"/>
        <v>CO12 Comdty</v>
      </c>
      <c r="J16" t="str">
        <f t="array" ref="J16">_xll.BDP($I16,$D$3)</f>
        <v>NOV 27</v>
      </c>
      <c r="K16">
        <f t="array" ref="K16">_xll.BDP($I16,E$3)</f>
        <v>82.43</v>
      </c>
      <c r="L16">
        <f t="array" ref="L16">_xll.BDP($I16,F$3)</f>
        <v>82.03</v>
      </c>
      <c r="N16" t="str">
        <f t="shared" si="1"/>
        <v>FSWTM12 Comdty</v>
      </c>
      <c r="O16" t="str">
        <f t="array" ref="O16">_xll.BDP($C16,$D$3)</f>
        <v>OCT 27</v>
      </c>
      <c r="P16">
        <f t="array" ref="P16">_xll.BDP($N16,P$3)</f>
        <v>76.81</v>
      </c>
      <c r="Q16">
        <f t="array" ref="Q16">_xll.BDP($N16,Q$3)</f>
        <v>75.31</v>
      </c>
      <c r="R16">
        <f t="shared" si="3"/>
        <v>45351</v>
      </c>
      <c r="S16" t="str">
        <f t="shared" si="4"/>
        <v>DBR Comdty</v>
      </c>
      <c r="T16" t="str">
        <f t="array" ref="T16">_xll.BDP($I16,$D$3)</f>
        <v>NOV 27</v>
      </c>
      <c r="U16">
        <f t="array" ref="U16">_xll.BDP($I16,P$3)</f>
        <v>82.43</v>
      </c>
      <c r="V16">
        <f t="array" ref="V16">_xll.BDP($I16,Q$3)</f>
        <v>82.43</v>
      </c>
      <c r="X16" s="87">
        <f t="shared" si="5"/>
        <v>46721</v>
      </c>
      <c r="Y16" t="str">
        <f t="shared" si="6"/>
        <v>HWTCOX7 Comdty</v>
      </c>
      <c r="Z16" t="str">
        <f t="shared" si="7"/>
        <v>NOV 27</v>
      </c>
      <c r="AA16">
        <f t="array" ref="AA16">_xll.BDP($Y16,AA$3)</f>
        <v>-3.98</v>
      </c>
      <c r="AB16">
        <f t="array" ref="AB16">_xll.BDP($Y16,AB$3)</f>
        <v>-3.98</v>
      </c>
    </row>
    <row r="17" spans="2:28" x14ac:dyDescent="0.35">
      <c r="B17">
        <f t="shared" si="9"/>
        <v>13</v>
      </c>
      <c r="C17" t="str">
        <f t="shared" si="0"/>
        <v>CL13 Comdty</v>
      </c>
      <c r="D17" t="str">
        <f t="array" ref="D17">_xll.BDP($C17,$D$3)</f>
        <v>NOV 27</v>
      </c>
      <c r="E17">
        <f t="array" ref="E17">_xll.BDP($C17,E$3)</f>
        <v>76.12</v>
      </c>
      <c r="F17">
        <f t="array" ref="F17">_xll.BDP($C17,F$3)</f>
        <v>76.100000000000009</v>
      </c>
      <c r="H17" s="87">
        <f t="shared" si="10"/>
        <v>46752</v>
      </c>
      <c r="I17" t="str">
        <f t="shared" si="2"/>
        <v>CO13 Comdty</v>
      </c>
      <c r="J17" t="str">
        <f t="array" ref="J17">_xll.BDP($I17,$D$3)</f>
        <v>DEC 27</v>
      </c>
      <c r="K17">
        <f t="array" ref="K17">_xll.BDP($I17,E$3)</f>
        <v>81.58</v>
      </c>
      <c r="L17">
        <f t="array" ref="L17">_xll.BDP($I17,F$3)</f>
        <v>81.25</v>
      </c>
      <c r="N17" t="str">
        <f t="shared" si="1"/>
        <v>FSWTM13 Comdty</v>
      </c>
      <c r="O17" t="str">
        <f t="array" ref="O17">_xll.BDP($C17,$D$3)</f>
        <v>NOV 27</v>
      </c>
      <c r="P17">
        <f t="array" ref="P17">_xll.BDP($N17,P$3)</f>
        <v>76.06</v>
      </c>
      <c r="Q17">
        <f t="array" ref="Q17">_xll.BDP($N17,Q$3)</f>
        <v>74.63</v>
      </c>
      <c r="R17">
        <f t="shared" si="3"/>
        <v>45351</v>
      </c>
      <c r="S17" t="str">
        <f t="shared" si="4"/>
        <v>DBR Comdty</v>
      </c>
      <c r="T17" t="str">
        <f t="array" ref="T17">_xll.BDP($I17,$D$3)</f>
        <v>DEC 27</v>
      </c>
      <c r="U17">
        <f t="array" ref="U17">_xll.BDP($I17,P$3)</f>
        <v>81.58</v>
      </c>
      <c r="V17">
        <f t="array" ref="V17">_xll.BDP($I17,Q$3)</f>
        <v>81.599999999999994</v>
      </c>
      <c r="X17" s="87">
        <f t="shared" si="5"/>
        <v>46752</v>
      </c>
      <c r="Y17" t="str">
        <f t="shared" si="6"/>
        <v>HWTCOZ7 Comdty</v>
      </c>
      <c r="Z17" t="str">
        <f t="shared" si="7"/>
        <v>DEC 27</v>
      </c>
      <c r="AA17">
        <f t="array" ref="AA17">_xll.BDP($Y17,AA$3)</f>
        <v>-3.87</v>
      </c>
      <c r="AB17">
        <f t="array" ref="AB17">_xll.BDP($Y17,AB$3)</f>
        <v>-3.87</v>
      </c>
    </row>
    <row r="18" spans="2:28" x14ac:dyDescent="0.35">
      <c r="B18">
        <f t="shared" si="9"/>
        <v>14</v>
      </c>
      <c r="C18" t="str">
        <f t="shared" si="0"/>
        <v>CL14 Comdty</v>
      </c>
      <c r="D18" t="str">
        <f t="array" ref="D18">_xll.BDP($C18,$D$3)</f>
        <v>DEC 27</v>
      </c>
      <c r="E18">
        <f t="array" ref="E18">_xll.BDP($C18,E$3)</f>
        <v>75.36</v>
      </c>
      <c r="F18">
        <f t="array" ref="F18">_xll.BDP($C18,F$3)</f>
        <v>75.44</v>
      </c>
      <c r="H18" s="87">
        <f t="shared" si="10"/>
        <v>46783</v>
      </c>
      <c r="I18" t="str">
        <f t="shared" si="2"/>
        <v>CO14 Comdty</v>
      </c>
      <c r="J18" t="str">
        <f t="array" ref="J18">_xll.BDP($I18,$D$3)</f>
        <v>JAN 28</v>
      </c>
      <c r="K18">
        <f t="array" ref="K18">_xll.BDP($I18,E$3)</f>
        <v>80.81</v>
      </c>
      <c r="L18">
        <f t="array" ref="L18">_xll.BDP($I18,F$3)</f>
        <v>80.510000000000005</v>
      </c>
      <c r="N18" t="str">
        <f t="shared" si="1"/>
        <v>FSWTM14 Comdty</v>
      </c>
      <c r="O18" t="str">
        <f t="array" ref="O18">_xll.BDP($C18,$D$3)</f>
        <v>DEC 27</v>
      </c>
      <c r="P18">
        <f t="array" ref="P18">_xll.BDP($N18,P$3)</f>
        <v>75.38</v>
      </c>
      <c r="Q18">
        <f t="array" ref="Q18">_xll.BDP($N18,Q$3)</f>
        <v>74</v>
      </c>
      <c r="R18">
        <f t="shared" si="3"/>
        <v>45351</v>
      </c>
      <c r="S18" t="str">
        <f t="shared" si="4"/>
        <v>DBR Comdty</v>
      </c>
      <c r="T18" t="str">
        <f t="array" ref="T18">_xll.BDP($I18,$D$3)</f>
        <v>JAN 28</v>
      </c>
      <c r="U18">
        <f t="array" ref="U18">_xll.BDP($I18,P$3)</f>
        <v>80.81</v>
      </c>
      <c r="V18">
        <f t="array" ref="V18">_xll.BDP($I18,Q$3)</f>
        <v>80.81</v>
      </c>
      <c r="X18" s="87">
        <f t="shared" si="5"/>
        <v>46783</v>
      </c>
      <c r="Y18" t="str">
        <f t="shared" si="6"/>
        <v>HWTCOF8 Comdty</v>
      </c>
      <c r="Z18" t="str">
        <f t="shared" si="7"/>
        <v>JAN 28</v>
      </c>
      <c r="AA18">
        <f t="array" ref="AA18">_xll.BDP($Y18,AA$3)</f>
        <v>-3.76</v>
      </c>
      <c r="AB18">
        <f t="array" ref="AB18">_xll.BDP($Y18,AB$3)</f>
        <v>-3.76</v>
      </c>
    </row>
    <row r="19" spans="2:28" x14ac:dyDescent="0.35">
      <c r="B19">
        <f t="shared" si="9"/>
        <v>15</v>
      </c>
      <c r="C19" t="str">
        <f t="shared" si="0"/>
        <v>CL15 Comdty</v>
      </c>
      <c r="D19" t="str">
        <f t="array" ref="D19">_xll.BDP($C19,$D$3)</f>
        <v>JAN 28</v>
      </c>
      <c r="E19">
        <f t="array" ref="E19">_xll.BDP($C19,E$3)</f>
        <v>74.790000000000006</v>
      </c>
      <c r="F19">
        <f t="array" ref="F19">_xll.BDP($C19,F$3)</f>
        <v>74.84</v>
      </c>
      <c r="H19" s="87">
        <f t="shared" si="10"/>
        <v>46812</v>
      </c>
      <c r="I19" t="str">
        <f t="shared" si="2"/>
        <v>CO15 Comdty</v>
      </c>
      <c r="J19" t="str">
        <f t="array" ref="J19">_xll.BDP($I19,$D$3)</f>
        <v>FEB 28</v>
      </c>
      <c r="K19">
        <f t="array" ref="K19">_xll.BDP($I19,E$3)</f>
        <v>80.069999999999993</v>
      </c>
      <c r="L19">
        <f t="array" ref="L19">_xll.BDP($I19,F$3)</f>
        <v>79.820000000000007</v>
      </c>
      <c r="N19" t="str">
        <f t="shared" si="1"/>
        <v>FSWTM15 Comdty</v>
      </c>
      <c r="O19" t="str">
        <f t="array" ref="O19">_xll.BDP($C19,$D$3)</f>
        <v>JAN 28</v>
      </c>
      <c r="P19">
        <f t="array" ref="P19">_xll.BDP($N19,P$3)</f>
        <v>74.709999999999994</v>
      </c>
      <c r="Q19">
        <f t="array" ref="Q19">_xll.BDP($N19,Q$3)</f>
        <v>73.44</v>
      </c>
      <c r="R19">
        <f t="shared" si="3"/>
        <v>45351</v>
      </c>
      <c r="S19" t="str">
        <f t="shared" si="4"/>
        <v>DBR Comdty</v>
      </c>
      <c r="T19" t="str">
        <f t="array" ref="T19">_xll.BDP($I19,$D$3)</f>
        <v>FEB 28</v>
      </c>
      <c r="U19">
        <f t="array" ref="U19">_xll.BDP($I19,P$3)</f>
        <v>80.069999999999993</v>
      </c>
      <c r="V19">
        <f t="array" ref="V19">_xll.BDP($I19,Q$3)</f>
        <v>80.069999999999993</v>
      </c>
      <c r="X19" s="87">
        <f t="shared" si="5"/>
        <v>46812</v>
      </c>
      <c r="Y19" t="str">
        <f t="shared" si="6"/>
        <v>HWTCOG8 Comdty</v>
      </c>
      <c r="Z19" t="str">
        <f t="shared" si="7"/>
        <v>FEB 28</v>
      </c>
      <c r="AA19">
        <f t="array" ref="AA19">_xll.BDP($Y19,AA$3)</f>
        <v>-3.61</v>
      </c>
      <c r="AB19">
        <f t="array" ref="AB19">_xll.BDP($Y19,AB$3)</f>
        <v>-3.61</v>
      </c>
    </row>
    <row r="20" spans="2:28" x14ac:dyDescent="0.35">
      <c r="B20">
        <f t="shared" si="9"/>
        <v>16</v>
      </c>
      <c r="C20" t="str">
        <f t="shared" si="0"/>
        <v>CL16 Comdty</v>
      </c>
      <c r="D20" t="str">
        <f t="array" ref="D20">_xll.BDP($C20,$D$3)</f>
        <v>FEB 28</v>
      </c>
      <c r="E20">
        <f t="array" ref="E20">_xll.BDP($C20,E$3)</f>
        <v>74.19</v>
      </c>
      <c r="F20">
        <f t="array" ref="F20">_xll.BDP($C20,F$3)</f>
        <v>74.27</v>
      </c>
      <c r="H20" s="87">
        <f t="shared" si="10"/>
        <v>46843</v>
      </c>
      <c r="I20" t="str">
        <f t="shared" si="2"/>
        <v>CO16 Comdty</v>
      </c>
      <c r="J20" t="str">
        <f t="array" ref="J20">_xll.BDP($I20,$D$3)</f>
        <v>MAR 28</v>
      </c>
      <c r="K20">
        <f t="array" ref="K20">_xll.BDP($I20,E$3)</f>
        <v>79.41</v>
      </c>
      <c r="L20">
        <f t="array" ref="L20">_xll.BDP($I20,F$3)</f>
        <v>79.22</v>
      </c>
      <c r="N20" t="str">
        <f t="shared" si="1"/>
        <v>FSWTM16 Comdty</v>
      </c>
      <c r="O20" t="str">
        <f t="array" ref="O20">_xll.BDP($C20,$D$3)</f>
        <v>FEB 28</v>
      </c>
      <c r="P20">
        <f t="array" ref="P20">_xll.BDP($N20,P$3)</f>
        <v>74.099999999999994</v>
      </c>
      <c r="Q20">
        <f t="array" ref="Q20">_xll.BDP($N20,Q$3)</f>
        <v>72.930000000000007</v>
      </c>
      <c r="R20">
        <f t="shared" si="3"/>
        <v>45351</v>
      </c>
      <c r="S20" t="str">
        <f t="shared" si="4"/>
        <v>DBR Comdty</v>
      </c>
      <c r="T20" t="str">
        <f t="array" ref="T20">_xll.BDP($I20,$D$3)</f>
        <v>MAR 28</v>
      </c>
      <c r="U20">
        <f t="array" ref="U20">_xll.BDP($I20,P$3)</f>
        <v>79.41</v>
      </c>
      <c r="V20">
        <f t="array" ref="V20">_xll.BDP($I20,Q$3)</f>
        <v>79.41</v>
      </c>
      <c r="X20" s="87">
        <f t="shared" si="5"/>
        <v>46843</v>
      </c>
      <c r="Y20" t="str">
        <f t="shared" si="6"/>
        <v>HWTCOH8 Comdty</v>
      </c>
      <c r="Z20" t="str">
        <f t="shared" si="7"/>
        <v>MAR 28</v>
      </c>
      <c r="AA20">
        <f t="array" ref="AA20">_xll.BDP($Y20,AA$3)</f>
        <v>-3.44</v>
      </c>
      <c r="AB20">
        <f t="array" ref="AB20">_xll.BDP($Y20,AB$3)</f>
        <v>-3.44</v>
      </c>
    </row>
    <row r="21" spans="2:28" x14ac:dyDescent="0.35">
      <c r="B21">
        <f t="shared" si="9"/>
        <v>17</v>
      </c>
      <c r="C21" t="str">
        <f t="shared" si="0"/>
        <v>CL17 Comdty</v>
      </c>
      <c r="D21" t="str">
        <f t="array" ref="D21">_xll.BDP($C21,$D$3)</f>
        <v>MAR 28</v>
      </c>
      <c r="E21">
        <f t="array" ref="E21">_xll.BDP($C21,E$3)</f>
        <v>73.650000000000006</v>
      </c>
      <c r="F21">
        <f t="array" ref="F21">_xll.BDP($C21,F$3)</f>
        <v>73.760000000000005</v>
      </c>
      <c r="H21" s="87">
        <f t="shared" si="10"/>
        <v>46873</v>
      </c>
      <c r="I21" t="str">
        <f t="shared" si="2"/>
        <v>CO17 Comdty</v>
      </c>
      <c r="J21" t="str">
        <f t="array" ref="J21">_xll.BDP($I21,$D$3)</f>
        <v>APR 28</v>
      </c>
      <c r="K21">
        <f t="array" ref="K21">_xll.BDP($I21,E$3)</f>
        <v>78.819999999999993</v>
      </c>
      <c r="L21">
        <f t="array" ref="L21">_xll.BDP($I21,F$3)</f>
        <v>78.69</v>
      </c>
      <c r="N21" t="str">
        <f t="shared" si="1"/>
        <v>FSWTM17 Comdty</v>
      </c>
      <c r="O21" t="str">
        <f t="array" ref="O21">_xll.BDP($C21,$D$3)</f>
        <v>MAR 28</v>
      </c>
      <c r="P21">
        <f t="array" ref="P21">_xll.BDP($N21,P$3)</f>
        <v>73.56</v>
      </c>
      <c r="Q21">
        <f t="array" ref="Q21">_xll.BDP($N21,Q$3)</f>
        <v>72.48</v>
      </c>
      <c r="R21">
        <f t="shared" si="3"/>
        <v>45351</v>
      </c>
      <c r="S21" t="str">
        <f t="shared" si="4"/>
        <v>DBR Comdty</v>
      </c>
      <c r="T21" t="str">
        <f t="array" ref="T21">_xll.BDP($I21,$D$3)</f>
        <v>APR 28</v>
      </c>
      <c r="U21">
        <f t="array" ref="U21">_xll.BDP($I21,P$3)</f>
        <v>78.819999999999993</v>
      </c>
      <c r="V21">
        <f t="array" ref="V21">_xll.BDP($I21,Q$3)</f>
        <v>78.819999999999993</v>
      </c>
      <c r="X21" s="87">
        <f t="shared" si="5"/>
        <v>46873</v>
      </c>
      <c r="Y21" t="str">
        <f t="shared" si="6"/>
        <v>HWTCOJ8 Comdty</v>
      </c>
      <c r="Z21" t="str">
        <f t="shared" si="7"/>
        <v>APR 28</v>
      </c>
      <c r="AA21">
        <f t="array" ref="AA21">_xll.BDP($Y21,AA$3)</f>
        <v>-3.41</v>
      </c>
      <c r="AB21">
        <f t="array" ref="AB21">_xll.BDP($Y21,AB$3)</f>
        <v>-3.41</v>
      </c>
    </row>
    <row r="22" spans="2:28" x14ac:dyDescent="0.35">
      <c r="B22">
        <f t="shared" si="9"/>
        <v>18</v>
      </c>
      <c r="C22" t="str">
        <f t="shared" si="0"/>
        <v>CL18 Comdty</v>
      </c>
      <c r="D22" t="str">
        <f t="array" ref="D22">_xll.BDP($C22,$D$3)</f>
        <v>APR 28</v>
      </c>
      <c r="E22">
        <f t="array" ref="E22">_xll.BDP($C22,E$3)</f>
        <v>73.150000000000006</v>
      </c>
      <c r="F22">
        <f t="array" ref="F22">_xll.BDP($C22,F$3)</f>
        <v>73.290000000000006</v>
      </c>
      <c r="H22" s="87">
        <f t="shared" si="10"/>
        <v>46904</v>
      </c>
      <c r="I22" t="str">
        <f t="shared" si="2"/>
        <v>CO18 Comdty</v>
      </c>
      <c r="J22" t="str">
        <f t="array" ref="J22">_xll.BDP($I22,$D$3)</f>
        <v>MAY 28</v>
      </c>
      <c r="K22">
        <f t="array" ref="K22">_xll.BDP($I22,E$3)</f>
        <v>78.290000000000006</v>
      </c>
      <c r="L22">
        <f t="array" ref="L22">_xll.BDP($I22,F$3)</f>
        <v>78.22</v>
      </c>
      <c r="N22" t="str">
        <f t="shared" si="1"/>
        <v>FSWTM18 Comdty</v>
      </c>
      <c r="O22" t="str">
        <f t="array" ref="O22">_xll.BDP($C22,$D$3)</f>
        <v>APR 28</v>
      </c>
      <c r="P22">
        <f t="array" ref="P22">_xll.BDP($N22,P$3)</f>
        <v>73.05</v>
      </c>
      <c r="Q22">
        <f t="array" ref="Q22">_xll.BDP($N22,Q$3)</f>
        <v>72.069999999999993</v>
      </c>
      <c r="R22">
        <f t="shared" si="3"/>
        <v>45351</v>
      </c>
      <c r="S22" t="str">
        <f t="shared" si="4"/>
        <v>DBR Comdty</v>
      </c>
      <c r="T22" t="str">
        <f t="array" ref="T22">_xll.BDP($I22,$D$3)</f>
        <v>MAY 28</v>
      </c>
      <c r="U22">
        <f t="array" ref="U22">_xll.BDP($I22,P$3)</f>
        <v>78.290000000000006</v>
      </c>
      <c r="V22">
        <f t="array" ref="V22">_xll.BDP($I22,Q$3)</f>
        <v>78.290000000000006</v>
      </c>
      <c r="X22" s="87">
        <f t="shared" si="5"/>
        <v>46904</v>
      </c>
      <c r="Y22" t="str">
        <f t="shared" si="6"/>
        <v>HWTCOK8 Comdty</v>
      </c>
      <c r="Z22" t="str">
        <f t="shared" si="7"/>
        <v>MAY 28</v>
      </c>
      <c r="AA22">
        <f t="array" ref="AA22">_xll.BDP($Y22,AA$3)</f>
        <v>-3.42</v>
      </c>
      <c r="AB22">
        <f t="array" ref="AB22">_xll.BDP($Y22,AB$3)</f>
        <v>-3.42</v>
      </c>
    </row>
    <row r="23" spans="2:28" x14ac:dyDescent="0.35">
      <c r="B23">
        <f t="shared" si="9"/>
        <v>19</v>
      </c>
      <c r="C23" t="str">
        <f t="shared" si="0"/>
        <v>CL19 Comdty</v>
      </c>
      <c r="D23" t="str">
        <f t="array" ref="D23">_xll.BDP($C23,$D$3)</f>
        <v>MAY 28</v>
      </c>
      <c r="E23">
        <f t="array" ref="E23">_xll.BDP($C23,E$3)</f>
        <v>72.69</v>
      </c>
      <c r="F23">
        <f t="array" ref="F23">_xll.BDP($C23,F$3)</f>
        <v>72.87</v>
      </c>
      <c r="H23" s="87">
        <f t="shared" si="10"/>
        <v>46934</v>
      </c>
      <c r="I23" t="str">
        <f t="shared" si="2"/>
        <v>CO19 Comdty</v>
      </c>
      <c r="J23" t="str">
        <f t="array" ref="J23">_xll.BDP($I23,$D$3)</f>
        <v>JUN 28</v>
      </c>
      <c r="K23">
        <f t="array" ref="K23">_xll.BDP($I23,E$3)</f>
        <v>77.75</v>
      </c>
      <c r="L23">
        <f t="array" ref="L23">_xll.BDP($I23,F$3)</f>
        <v>77.78</v>
      </c>
      <c r="N23" t="str">
        <f t="shared" si="1"/>
        <v>FSWTM19 Comdty</v>
      </c>
      <c r="O23" t="str">
        <f t="array" ref="O23">_xll.BDP($C23,$D$3)</f>
        <v>MAY 28</v>
      </c>
      <c r="P23">
        <f t="array" ref="P23">_xll.BDP($N23,P$3)</f>
        <v>72.59</v>
      </c>
      <c r="Q23">
        <f t="array" ref="Q23">_xll.BDP($N23,Q$3)</f>
        <v>71.709999999999994</v>
      </c>
      <c r="R23">
        <f t="shared" si="3"/>
        <v>45351</v>
      </c>
      <c r="S23" t="str">
        <f t="shared" si="4"/>
        <v>DBR Comdty</v>
      </c>
      <c r="T23" t="str">
        <f t="array" ref="T23">_xll.BDP($I23,$D$3)</f>
        <v>JUN 28</v>
      </c>
      <c r="U23">
        <f t="array" ref="U23">_xll.BDP($I23,P$3)</f>
        <v>77.75</v>
      </c>
      <c r="V23">
        <f t="array" ref="V23">_xll.BDP($I23,Q$3)</f>
        <v>77.8</v>
      </c>
      <c r="X23" s="87">
        <f t="shared" si="5"/>
        <v>46934</v>
      </c>
      <c r="Y23" t="str">
        <f t="shared" si="6"/>
        <v>HWTCOM8 Comdty</v>
      </c>
      <c r="Z23" t="str">
        <f t="shared" si="7"/>
        <v>JUN 28</v>
      </c>
      <c r="AA23">
        <f t="array" ref="AA23">_xll.BDP($Y23,AA$3)</f>
        <v>-3.4</v>
      </c>
      <c r="AB23">
        <f t="array" ref="AB23">_xll.BDP($Y23,AB$3)</f>
        <v>-3.4</v>
      </c>
    </row>
    <row r="24" spans="2:28" x14ac:dyDescent="0.35">
      <c r="B24">
        <f t="shared" si="9"/>
        <v>20</v>
      </c>
      <c r="C24" t="str">
        <f t="shared" si="0"/>
        <v>CL20 Comdty</v>
      </c>
      <c r="D24" t="str">
        <f t="array" ref="D24">_xll.BDP($C24,$D$3)</f>
        <v>JUN 28</v>
      </c>
      <c r="E24">
        <f t="array" ref="E24">_xll.BDP($C24,E$3)</f>
        <v>72.150000000000006</v>
      </c>
      <c r="F24">
        <f t="array" ref="F24">_xll.BDP($C24,F$3)</f>
        <v>72.460000000000008</v>
      </c>
      <c r="H24" s="87">
        <f t="shared" si="10"/>
        <v>46965</v>
      </c>
      <c r="I24" t="str">
        <f t="shared" si="2"/>
        <v>CO20 Comdty</v>
      </c>
      <c r="J24" t="str">
        <f t="array" ref="J24">_xll.BDP($I24,$D$3)</f>
        <v>JUL 28</v>
      </c>
      <c r="K24">
        <f t="array" ref="K24">_xll.BDP($I24,E$3)</f>
        <v>77.31</v>
      </c>
      <c r="L24">
        <f t="array" ref="L24">_xll.BDP($I24,F$3)</f>
        <v>77.34</v>
      </c>
      <c r="N24" t="str">
        <f t="shared" si="1"/>
        <v>FSWTM20 Comdty</v>
      </c>
      <c r="O24" t="str">
        <f t="array" ref="O24">_xll.BDP($C24,$D$3)</f>
        <v>JUN 28</v>
      </c>
      <c r="P24">
        <f t="array" ref="P24">_xll.BDP($N24,P$3)</f>
        <v>72.150000000000006</v>
      </c>
      <c r="Q24">
        <f t="array" ref="Q24">_xll.BDP($N24,Q$3)</f>
        <v>71.36</v>
      </c>
      <c r="R24">
        <f t="shared" si="3"/>
        <v>45351</v>
      </c>
      <c r="S24" t="str">
        <f t="shared" si="4"/>
        <v>DBR Comdty</v>
      </c>
      <c r="T24" t="str">
        <f t="array" ref="T24">_xll.BDP($I24,$D$3)</f>
        <v>JUL 28</v>
      </c>
      <c r="U24">
        <f t="array" ref="U24">_xll.BDP($I24,P$3)</f>
        <v>77.31</v>
      </c>
      <c r="V24">
        <f t="array" ref="V24">_xll.BDP($I24,Q$3)</f>
        <v>77.31</v>
      </c>
      <c r="X24" s="87">
        <f t="shared" si="5"/>
        <v>46965</v>
      </c>
      <c r="Y24" t="str">
        <f t="shared" si="6"/>
        <v>HWTCON8 Comdty</v>
      </c>
      <c r="Z24" t="str">
        <f t="shared" si="7"/>
        <v>JUL 28</v>
      </c>
      <c r="AA24">
        <f t="array" ref="AA24">_xll.BDP($Y24,AA$3)</f>
        <v>-3.38</v>
      </c>
      <c r="AB24">
        <f t="array" ref="AB24">_xll.BDP($Y24,AB$3)</f>
        <v>-3.38</v>
      </c>
    </row>
    <row r="25" spans="2:28" x14ac:dyDescent="0.35">
      <c r="B25">
        <f t="shared" si="9"/>
        <v>21</v>
      </c>
      <c r="C25" t="str">
        <f t="shared" si="0"/>
        <v>CL21 Comdty</v>
      </c>
      <c r="D25" t="str">
        <f t="array" ref="D25">_xll.BDP($C25,$D$3)</f>
        <v>JUL 28</v>
      </c>
      <c r="E25">
        <f t="array" ref="E25">_xll.BDP($C25,E$3)</f>
        <v>71.790000000000006</v>
      </c>
      <c r="F25">
        <f t="array" ref="F25">_xll.BDP($C25,F$3)</f>
        <v>72.03</v>
      </c>
      <c r="H25" s="87">
        <f t="shared" si="10"/>
        <v>46996</v>
      </c>
      <c r="I25" t="str">
        <f t="shared" si="2"/>
        <v>CO21 Comdty</v>
      </c>
      <c r="J25" t="str">
        <f t="array" ref="J25">_xll.BDP($I25,$D$3)</f>
        <v>AUG 28</v>
      </c>
      <c r="K25">
        <f t="array" ref="K25">_xll.BDP($I25,E$3)</f>
        <v>76.83</v>
      </c>
      <c r="L25">
        <f t="array" ref="L25">_xll.BDP($I25,F$3)</f>
        <v>76.89</v>
      </c>
      <c r="N25" t="str">
        <f t="shared" si="1"/>
        <v>FSWTM21 Comdty</v>
      </c>
      <c r="O25" t="str">
        <f t="array" ref="O25">_xll.BDP($C25,$D$3)</f>
        <v>JUL 28</v>
      </c>
      <c r="P25">
        <f t="array" ref="P25">_xll.BDP($N25,P$3)</f>
        <v>71.69</v>
      </c>
      <c r="Q25">
        <f t="array" ref="Q25">_xll.BDP($N25,Q$3)</f>
        <v>70.989999999999995</v>
      </c>
      <c r="R25">
        <f t="shared" si="3"/>
        <v>45351</v>
      </c>
      <c r="S25" t="str">
        <f t="shared" si="4"/>
        <v>DBR Comdty</v>
      </c>
      <c r="T25" t="str">
        <f t="array" ref="T25">_xll.BDP($I25,$D$3)</f>
        <v>AUG 28</v>
      </c>
      <c r="U25">
        <f t="array" ref="U25">_xll.BDP($I25,P$3)</f>
        <v>76.83</v>
      </c>
      <c r="V25">
        <f t="array" ref="V25">_xll.BDP($I25,Q$3)</f>
        <v>76.83</v>
      </c>
      <c r="X25" s="87">
        <f t="shared" si="5"/>
        <v>46996</v>
      </c>
      <c r="Y25" t="str">
        <f t="shared" si="6"/>
        <v>HWTCOQ8 Comdty</v>
      </c>
      <c r="Z25" t="str">
        <f t="shared" si="7"/>
        <v>AUG 28</v>
      </c>
      <c r="AA25">
        <f t="array" ref="AA25">_xll.BDP($Y25,AA$3)</f>
        <v>-3.31</v>
      </c>
      <c r="AB25">
        <f t="array" ref="AB25">_xll.BDP($Y25,AB$3)</f>
        <v>-3.31</v>
      </c>
    </row>
    <row r="26" spans="2:28" x14ac:dyDescent="0.35">
      <c r="B26">
        <f t="shared" si="9"/>
        <v>22</v>
      </c>
      <c r="C26" t="str">
        <f t="shared" si="0"/>
        <v>CL22 Comdty</v>
      </c>
      <c r="D26" t="str">
        <f t="array" ref="D26">_xll.BDP($C26,$D$3)</f>
        <v>AUG 28</v>
      </c>
      <c r="E26">
        <f t="array" ref="E26">_xll.BDP($C26,E$3)</f>
        <v>71.33</v>
      </c>
      <c r="F26">
        <f t="array" ref="F26">_xll.BDP($C26,F$3)</f>
        <v>71.62</v>
      </c>
      <c r="H26" s="87">
        <f t="shared" si="10"/>
        <v>47026</v>
      </c>
      <c r="I26" t="str">
        <f t="shared" si="2"/>
        <v>CO22 Comdty</v>
      </c>
      <c r="J26" t="str">
        <f t="array" ref="J26">_xll.BDP($I26,$D$3)</f>
        <v>SEP 28</v>
      </c>
      <c r="K26">
        <f t="array" ref="K26">_xll.BDP($I26,E$3)</f>
        <v>76.36</v>
      </c>
      <c r="L26">
        <f t="array" ref="L26">_xll.BDP($I26,F$3)</f>
        <v>76.460000000000008</v>
      </c>
      <c r="N26" t="str">
        <f t="shared" si="1"/>
        <v>FSWTM22 Comdty</v>
      </c>
      <c r="O26" t="str">
        <f t="array" ref="O26">_xll.BDP($C26,$D$3)</f>
        <v>AUG 28</v>
      </c>
      <c r="P26">
        <f t="array" ref="P26">_xll.BDP($N26,P$3)</f>
        <v>71.239999999999995</v>
      </c>
      <c r="Q26">
        <f t="array" ref="Q26">_xll.BDP($N26,Q$3)</f>
        <v>70.61</v>
      </c>
      <c r="R26">
        <f t="shared" si="3"/>
        <v>45351</v>
      </c>
      <c r="S26" t="str">
        <f t="shared" si="4"/>
        <v>DBR Comdty</v>
      </c>
      <c r="T26" t="str">
        <f t="array" ref="T26">_xll.BDP($I26,$D$3)</f>
        <v>SEP 28</v>
      </c>
      <c r="U26">
        <f t="array" ref="U26">_xll.BDP($I26,P$3)</f>
        <v>76.36</v>
      </c>
      <c r="V26">
        <f t="array" ref="V26">_xll.BDP($I26,Q$3)</f>
        <v>76.36</v>
      </c>
      <c r="X26" s="87">
        <f t="shared" si="5"/>
        <v>47026</v>
      </c>
      <c r="Y26" t="str">
        <f t="shared" si="6"/>
        <v>HWTCOU8 Comdty</v>
      </c>
      <c r="Z26" t="str">
        <f t="shared" si="7"/>
        <v>SEP 28</v>
      </c>
      <c r="AA26">
        <f t="array" ref="AA26">_xll.BDP($Y26,AA$3)</f>
        <v>-3.23</v>
      </c>
      <c r="AB26">
        <f t="array" ref="AB26">_xll.BDP($Y26,AB$3)</f>
        <v>-3.23</v>
      </c>
    </row>
    <row r="27" spans="2:28" x14ac:dyDescent="0.35">
      <c r="B27">
        <f t="shared" si="9"/>
        <v>23</v>
      </c>
      <c r="C27" t="str">
        <f t="shared" si="0"/>
        <v>CL23 Comdty</v>
      </c>
      <c r="D27" t="str">
        <f t="array" ref="D27">_xll.BDP($C27,$D$3)</f>
        <v>SEP 28</v>
      </c>
      <c r="E27">
        <f t="array" ref="E27">_xll.BDP($C27,E$3)</f>
        <v>70.92</v>
      </c>
      <c r="F27">
        <f t="array" ref="F27">_xll.BDP($C27,F$3)</f>
        <v>71.239999999999995</v>
      </c>
      <c r="H27" s="87">
        <f t="shared" si="10"/>
        <v>47057</v>
      </c>
      <c r="I27" t="str">
        <f t="shared" si="2"/>
        <v>CO23 Comdty</v>
      </c>
      <c r="J27" t="str">
        <f t="array" ref="J27">_xll.BDP($I27,$D$3)</f>
        <v>OCT 28</v>
      </c>
      <c r="K27">
        <f t="array" ref="K27">_xll.BDP($I27,E$3)</f>
        <v>75.89</v>
      </c>
      <c r="L27">
        <f t="array" ref="L27">_xll.BDP($I27,F$3)</f>
        <v>76.03</v>
      </c>
      <c r="N27" t="str">
        <f t="shared" si="1"/>
        <v>FSWTM23 Comdty</v>
      </c>
      <c r="O27" t="str">
        <f t="array" ref="O27">_xll.BDP($C27,$D$3)</f>
        <v>SEP 28</v>
      </c>
      <c r="P27">
        <f t="array" ref="P27">_xll.BDP($N27,P$3)</f>
        <v>70.819999999999993</v>
      </c>
      <c r="Q27">
        <f t="array" ref="Q27">_xll.BDP($N27,Q$3)</f>
        <v>70.25</v>
      </c>
      <c r="R27">
        <f t="shared" si="3"/>
        <v>45351</v>
      </c>
      <c r="S27" t="str">
        <f t="shared" si="4"/>
        <v>DBR Comdty</v>
      </c>
      <c r="T27" t="str">
        <f t="array" ref="T27">_xll.BDP($I27,$D$3)</f>
        <v>OCT 28</v>
      </c>
      <c r="U27">
        <f t="array" ref="U27">_xll.BDP($I27,P$3)</f>
        <v>75.89</v>
      </c>
      <c r="V27">
        <f t="array" ref="V27">_xll.BDP($I27,Q$3)</f>
        <v>75.89</v>
      </c>
      <c r="X27" s="87">
        <f t="shared" si="5"/>
        <v>47057</v>
      </c>
      <c r="Y27" t="str">
        <f t="shared" si="6"/>
        <v>HWTCOV8 Comdty</v>
      </c>
      <c r="Z27" t="str">
        <f t="shared" si="7"/>
        <v>OCT 28</v>
      </c>
      <c r="AA27">
        <f t="array" ref="AA27">_xll.BDP($Y27,AA$3)</f>
        <v>-3.13</v>
      </c>
      <c r="AB27">
        <f t="array" ref="AB27">_xll.BDP($Y27,AB$3)</f>
        <v>-3.13</v>
      </c>
    </row>
    <row r="28" spans="2:28" x14ac:dyDescent="0.35">
      <c r="B28">
        <f t="shared" si="9"/>
        <v>24</v>
      </c>
      <c r="C28" t="str">
        <f t="shared" si="0"/>
        <v>CL24 Comdty</v>
      </c>
      <c r="D28" t="str">
        <f t="array" ref="D28">_xll.BDP($C28,$D$3)</f>
        <v>OCT 28</v>
      </c>
      <c r="E28">
        <f t="array" ref="E28">_xll.BDP($C28,E$3)</f>
        <v>70.53</v>
      </c>
      <c r="F28">
        <f t="array" ref="F28">_xll.BDP($C28,F$3)</f>
        <v>70.86</v>
      </c>
      <c r="H28" s="87">
        <f t="shared" si="10"/>
        <v>47087</v>
      </c>
      <c r="I28" t="str">
        <f t="shared" si="2"/>
        <v>CO24 Comdty</v>
      </c>
      <c r="J28" t="str">
        <f t="array" ref="J28">_xll.BDP($I28,$D$3)</f>
        <v>NOV 28</v>
      </c>
      <c r="K28">
        <f t="array" ref="K28">_xll.BDP($I28,E$3)</f>
        <v>75.45</v>
      </c>
      <c r="L28">
        <f t="array" ref="L28">_xll.BDP($I28,F$3)</f>
        <v>75.63</v>
      </c>
      <c r="N28" t="str">
        <f t="shared" si="1"/>
        <v>FSWTM24 Comdty</v>
      </c>
      <c r="O28" t="str">
        <f t="array" ref="O28">_xll.BDP($C28,$D$3)</f>
        <v>OCT 28</v>
      </c>
      <c r="P28">
        <f t="array" ref="P28">_xll.BDP($N28,P$3)</f>
        <v>70.42</v>
      </c>
      <c r="Q28">
        <f t="array" ref="Q28">_xll.BDP($N28,Q$3)</f>
        <v>69.900000000000006</v>
      </c>
      <c r="R28">
        <f t="shared" si="3"/>
        <v>45351</v>
      </c>
      <c r="S28" t="str">
        <f t="shared" si="4"/>
        <v>DBR Comdty</v>
      </c>
      <c r="T28" t="str">
        <f t="array" ref="T28">_xll.BDP($I28,$D$3)</f>
        <v>NOV 28</v>
      </c>
      <c r="U28">
        <f t="array" ref="U28">_xll.BDP($I28,P$3)</f>
        <v>75.45</v>
      </c>
      <c r="V28">
        <f t="array" ref="V28">_xll.BDP($I28,Q$3)</f>
        <v>75.45</v>
      </c>
      <c r="X28" s="87">
        <f t="shared" si="5"/>
        <v>47087</v>
      </c>
      <c r="Y28" t="str">
        <f t="shared" si="6"/>
        <v>HWTCOX8 Comdty</v>
      </c>
      <c r="Z28" t="str">
        <f t="shared" si="7"/>
        <v>NOV 28</v>
      </c>
      <c r="AA28" t="str">
        <f t="array" ref="AA28">_xll.BDP($Y28,AA$3)</f>
        <v>#N/A Invalid Security</v>
      </c>
      <c r="AB28" t="str">
        <f t="array" ref="AB28">_xll.BDP($Y28,AB$3)</f>
        <v>#N/A Invalid Security</v>
      </c>
    </row>
    <row r="29" spans="2:28" x14ac:dyDescent="0.35">
      <c r="B29">
        <f t="shared" si="9"/>
        <v>25</v>
      </c>
      <c r="C29" t="str">
        <f t="shared" ref="C29:C43" si="11">"CL"&amp;B29&amp;" Comdty"</f>
        <v>CL25 Comdty</v>
      </c>
      <c r="D29" t="str">
        <f t="array" ref="D29">_xll.BDP($C29,$D$3)</f>
        <v>NOV 28</v>
      </c>
      <c r="E29">
        <f t="array" ref="E29">_xll.BDP($C29,E$3)</f>
        <v>70.180000000000007</v>
      </c>
      <c r="F29">
        <f t="array" ref="F29">_xll.BDP($C29,F$3)</f>
        <v>70.540000000000006</v>
      </c>
      <c r="H29" s="87">
        <f t="shared" si="10"/>
        <v>47118</v>
      </c>
      <c r="I29" t="str">
        <f t="shared" ref="I29:I42" si="12">"CO"&amp;B29&amp;" Comdty"</f>
        <v>CO25 Comdty</v>
      </c>
      <c r="J29" t="str">
        <f t="array" ref="J29">_xll.BDP($I29,$D$3)</f>
        <v>DEC 28</v>
      </c>
      <c r="K29">
        <f t="array" ref="K29">_xll.BDP($I29,E$3)</f>
        <v>75.08</v>
      </c>
      <c r="L29">
        <f t="array" ref="L29">_xll.BDP($I29,F$3)</f>
        <v>75.290000000000006</v>
      </c>
      <c r="N29" t="str">
        <f t="shared" si="1"/>
        <v>FSWTM25 Comdty</v>
      </c>
      <c r="O29" t="str">
        <f t="array" ref="O29">_xll.BDP($C29,$D$3)</f>
        <v>NOV 28</v>
      </c>
      <c r="P29">
        <f t="array" ref="P29">_xll.BDP($N29,P$3)</f>
        <v>70.069999999999993</v>
      </c>
      <c r="Q29">
        <f t="array" ref="Q29">_xll.BDP($N29,Q$3)</f>
        <v>69.61</v>
      </c>
      <c r="R29">
        <f t="shared" si="3"/>
        <v>45351</v>
      </c>
      <c r="S29" t="str">
        <f t="shared" si="4"/>
        <v>DBR Comdty</v>
      </c>
      <c r="T29" t="str">
        <f t="array" ref="T29">_xll.BDP($I29,$D$3)</f>
        <v>DEC 28</v>
      </c>
      <c r="U29">
        <f t="array" ref="U29">_xll.BDP($I29,P$3)</f>
        <v>75.08</v>
      </c>
      <c r="V29">
        <f t="array" ref="V29">_xll.BDP($I29,Q$3)</f>
        <v>75.069999999999993</v>
      </c>
    </row>
    <row r="30" spans="2:28" x14ac:dyDescent="0.35">
      <c r="B30">
        <f t="shared" si="9"/>
        <v>26</v>
      </c>
      <c r="C30" t="str">
        <f t="shared" si="11"/>
        <v>CL26 Comdty</v>
      </c>
      <c r="D30" t="str">
        <f t="array" ref="D30">_xll.BDP($C30,$D$3)</f>
        <v>DEC 28</v>
      </c>
      <c r="E30">
        <f t="array" ref="E30">_xll.BDP($C30,E$3)</f>
        <v>69.739999999999995</v>
      </c>
      <c r="F30">
        <f t="array" ref="F30">_xll.BDP($C30,F$3)</f>
        <v>70.239999999999995</v>
      </c>
      <c r="H30" s="87">
        <f t="shared" si="10"/>
        <v>47149</v>
      </c>
      <c r="I30" t="str">
        <f t="shared" si="12"/>
        <v>CO26 Comdty</v>
      </c>
      <c r="J30" t="str">
        <f t="array" ref="J30">_xll.BDP($I30,$D$3)</f>
        <v>JAN 29</v>
      </c>
      <c r="K30">
        <f t="array" ref="K30">_xll.BDP($I30,E$3)</f>
        <v>74.680000000000007</v>
      </c>
      <c r="L30">
        <f t="array" ref="L30">_xll.BDP($I30,F$3)</f>
        <v>74.94</v>
      </c>
      <c r="N30" t="str">
        <f t="shared" si="1"/>
        <v>FSWTM26 Comdty</v>
      </c>
      <c r="O30" t="str">
        <f t="array" ref="O30">_xll.BDP($C30,$D$3)</f>
        <v>DEC 28</v>
      </c>
      <c r="P30">
        <f t="array" ref="P30">_xll.BDP($N30,P$3)</f>
        <v>69.739999999999995</v>
      </c>
      <c r="Q30">
        <f t="array" ref="Q30">_xll.BDP($N30,Q$3)</f>
        <v>69.319999999999993</v>
      </c>
      <c r="R30">
        <f t="shared" si="3"/>
        <v>45351</v>
      </c>
      <c r="S30" t="str">
        <f t="shared" si="4"/>
        <v>DBR Comdty</v>
      </c>
      <c r="T30" t="str">
        <f t="array" ref="T30">_xll.BDP($I30,$D$3)</f>
        <v>JAN 29</v>
      </c>
      <c r="U30">
        <f t="array" ref="U30">_xll.BDP($I30,P$3)</f>
        <v>74.680000000000007</v>
      </c>
      <c r="V30">
        <f t="array" ref="V30">_xll.BDP($I30,Q$3)</f>
        <v>74.680000000000007</v>
      </c>
    </row>
    <row r="31" spans="2:28" x14ac:dyDescent="0.35">
      <c r="B31">
        <f t="shared" si="9"/>
        <v>27</v>
      </c>
      <c r="C31" t="str">
        <f t="shared" si="11"/>
        <v>CL27 Comdty</v>
      </c>
      <c r="D31" t="str">
        <f t="array" ref="D31">_xll.BDP($C31,$D$3)</f>
        <v>JAN 29</v>
      </c>
      <c r="E31">
        <f t="array" ref="E31">_xll.BDP($C31,E$3)</f>
        <v>69.47</v>
      </c>
      <c r="F31">
        <f t="array" ref="F31">_xll.BDP($C31,F$3)</f>
        <v>69.91</v>
      </c>
      <c r="H31" s="87">
        <f t="shared" si="10"/>
        <v>47177</v>
      </c>
      <c r="I31" t="str">
        <f t="shared" si="12"/>
        <v>CO27 Comdty</v>
      </c>
      <c r="J31" t="str">
        <f t="array" ref="J31">_xll.BDP($I31,$D$3)</f>
        <v>FEB 29</v>
      </c>
      <c r="K31">
        <f t="array" ref="K31">_xll.BDP($I31,E$3)</f>
        <v>74.319999999999993</v>
      </c>
      <c r="L31">
        <f t="array" ref="L31">_xll.BDP($I31,F$3)</f>
        <v>74.61</v>
      </c>
      <c r="N31" t="str">
        <f t="shared" si="1"/>
        <v>FSWTM27 Comdty</v>
      </c>
      <c r="O31" t="str">
        <f t="array" ref="O31">_xll.BDP($C31,$D$3)</f>
        <v>JAN 29</v>
      </c>
      <c r="P31">
        <f t="array" ref="P31">_xll.BDP($N31,P$3)</f>
        <v>69.37</v>
      </c>
      <c r="Q31">
        <f t="array" ref="Q31">_xll.BDP($N31,Q$3)</f>
        <v>68.989999999999995</v>
      </c>
      <c r="R31">
        <f t="shared" si="3"/>
        <v>45351</v>
      </c>
      <c r="S31" t="str">
        <f t="shared" si="4"/>
        <v>DBR Comdty</v>
      </c>
      <c r="T31" t="str">
        <f t="array" ref="T31">_xll.BDP($I31,$D$3)</f>
        <v>FEB 29</v>
      </c>
      <c r="U31">
        <f t="array" ref="U31">_xll.BDP($I31,P$3)</f>
        <v>74.319999999999993</v>
      </c>
      <c r="V31">
        <f t="array" ref="V31">_xll.BDP($I31,Q$3)</f>
        <v>74.319999999999993</v>
      </c>
    </row>
    <row r="32" spans="2:28" x14ac:dyDescent="0.35">
      <c r="B32">
        <f t="shared" si="9"/>
        <v>28</v>
      </c>
      <c r="C32" t="str">
        <f t="shared" si="11"/>
        <v>CL28 Comdty</v>
      </c>
      <c r="D32" t="str">
        <f t="array" ref="D32">_xll.BDP($C32,$D$3)</f>
        <v>FEB 29</v>
      </c>
      <c r="E32">
        <f t="array" ref="E32">_xll.BDP($C32,E$3)</f>
        <v>69.099999999999994</v>
      </c>
      <c r="F32">
        <f t="array" ref="F32">_xll.BDP($C32,F$3)</f>
        <v>69.55</v>
      </c>
      <c r="H32" s="87">
        <f t="shared" si="10"/>
        <v>47208</v>
      </c>
      <c r="I32" t="str">
        <f t="shared" si="12"/>
        <v>CO28 Comdty</v>
      </c>
      <c r="J32" t="str">
        <f t="array" ref="J32">_xll.BDP($I32,$D$3)</f>
        <v>MAR 29</v>
      </c>
      <c r="K32">
        <f t="array" ref="K32">_xll.BDP($I32,E$3)</f>
        <v>74.040000000000006</v>
      </c>
      <c r="L32">
        <f t="array" ref="L32">_xll.BDP($I32,F$3)</f>
        <v>74.350000000000009</v>
      </c>
      <c r="N32" t="str">
        <f t="shared" si="1"/>
        <v>FSWTM28 Comdty</v>
      </c>
      <c r="O32" t="str">
        <f t="array" ref="O32">_xll.BDP($C32,$D$3)</f>
        <v>FEB 29</v>
      </c>
      <c r="P32">
        <f t="array" ref="P32">_xll.BDP($N32,P$3)</f>
        <v>68.989999999999995</v>
      </c>
      <c r="Q32">
        <f t="array" ref="Q32">_xll.BDP($N32,Q$3)</f>
        <v>68.66</v>
      </c>
      <c r="R32">
        <f t="shared" si="3"/>
        <v>45351</v>
      </c>
      <c r="S32" t="str">
        <f t="shared" si="4"/>
        <v>DBR Comdty</v>
      </c>
      <c r="T32" t="str">
        <f t="array" ref="T32">_xll.BDP($I32,$D$3)</f>
        <v>MAR 29</v>
      </c>
      <c r="U32">
        <f t="array" ref="U32">_xll.BDP($I32,P$3)</f>
        <v>74.040000000000006</v>
      </c>
      <c r="V32">
        <f t="array" ref="V32">_xll.BDP($I32,Q$3)</f>
        <v>74.040000000000006</v>
      </c>
    </row>
    <row r="33" spans="2:22" x14ac:dyDescent="0.35">
      <c r="B33">
        <f t="shared" si="9"/>
        <v>29</v>
      </c>
      <c r="C33" t="str">
        <f t="shared" si="11"/>
        <v>CL29 Comdty</v>
      </c>
      <c r="D33" t="str">
        <f t="array" ref="D33">_xll.BDP($C33,$D$3)</f>
        <v>MAR 29</v>
      </c>
      <c r="E33">
        <f t="array" ref="E33">_xll.BDP($C33,E$3)</f>
        <v>68.739999999999995</v>
      </c>
      <c r="F33">
        <f t="array" ref="F33">_xll.BDP($C33,F$3)</f>
        <v>69.22</v>
      </c>
      <c r="H33" s="87">
        <f t="shared" si="10"/>
        <v>47238</v>
      </c>
      <c r="I33" t="str">
        <f t="shared" si="12"/>
        <v>CO29 Comdty</v>
      </c>
      <c r="J33" t="str">
        <f t="array" ref="J33">_xll.BDP($I33,$D$3)</f>
        <v>APR 29</v>
      </c>
      <c r="K33">
        <f t="array" ref="K33">_xll.BDP($I33,E$3)</f>
        <v>73.760000000000005</v>
      </c>
      <c r="L33">
        <f t="array" ref="L33">_xll.BDP($I33,F$3)</f>
        <v>74.09</v>
      </c>
      <c r="N33" t="str">
        <f t="shared" si="1"/>
        <v>FSWTM29 Comdty</v>
      </c>
      <c r="O33" t="str">
        <f t="array" ref="O33">_xll.BDP($C33,$D$3)</f>
        <v>MAR 29</v>
      </c>
      <c r="P33">
        <f t="array" ref="P33">_xll.BDP($N33,P$3)</f>
        <v>68.650000000000006</v>
      </c>
      <c r="Q33">
        <f t="array" ref="Q33">_xll.BDP($N33,Q$3)</f>
        <v>68.36</v>
      </c>
      <c r="R33">
        <f t="shared" si="3"/>
        <v>45351</v>
      </c>
      <c r="S33" t="str">
        <f t="shared" si="4"/>
        <v>DBR Comdty</v>
      </c>
      <c r="T33" t="str">
        <f t="array" ref="T33">_xll.BDP($I33,$D$3)</f>
        <v>APR 29</v>
      </c>
      <c r="U33">
        <f t="array" ref="U33">_xll.BDP($I33,P$3)</f>
        <v>73.760000000000005</v>
      </c>
      <c r="V33">
        <f t="array" ref="V33">_xll.BDP($I33,Q$3)</f>
        <v>73.760000000000005</v>
      </c>
    </row>
    <row r="34" spans="2:22" x14ac:dyDescent="0.35">
      <c r="B34">
        <f t="shared" si="9"/>
        <v>30</v>
      </c>
      <c r="C34" t="str">
        <f t="shared" si="11"/>
        <v>CL30 Comdty</v>
      </c>
      <c r="D34" t="str">
        <f t="array" ref="D34">_xll.BDP($C34,$D$3)</f>
        <v>APR 29</v>
      </c>
      <c r="E34">
        <f t="array" ref="E34">_xll.BDP($C34,E$3)</f>
        <v>68.400000000000006</v>
      </c>
      <c r="F34">
        <f t="array" ref="F34">_xll.BDP($C34,F$3)</f>
        <v>68.900000000000006</v>
      </c>
      <c r="H34" s="87">
        <f t="shared" si="10"/>
        <v>47269</v>
      </c>
      <c r="I34" t="str">
        <f t="shared" si="12"/>
        <v>CO30 Comdty</v>
      </c>
      <c r="J34" t="str">
        <f t="array" ref="J34">_xll.BDP($I34,$D$3)</f>
        <v>MAY 29</v>
      </c>
      <c r="K34">
        <f t="array" ref="K34">_xll.BDP($I34,E$3)</f>
        <v>73.47</v>
      </c>
      <c r="L34">
        <f t="array" ref="L34">_xll.BDP($I34,F$3)</f>
        <v>73.820000000000007</v>
      </c>
      <c r="N34" t="str">
        <f t="shared" si="1"/>
        <v>FSWTM30 Comdty</v>
      </c>
      <c r="O34" t="str">
        <f t="array" ref="O34">_xll.BDP($C34,$D$3)</f>
        <v>APR 29</v>
      </c>
      <c r="P34">
        <f t="array" ref="P34">_xll.BDP($N34,P$3)</f>
        <v>68.31</v>
      </c>
      <c r="Q34">
        <f t="array" ref="Q34">_xll.BDP($N34,Q$3)</f>
        <v>68.069999999999993</v>
      </c>
      <c r="R34">
        <f t="shared" si="3"/>
        <v>45351</v>
      </c>
      <c r="S34" t="str">
        <f t="shared" si="4"/>
        <v>DBR Comdty</v>
      </c>
      <c r="T34" t="str">
        <f t="array" ref="T34">_xll.BDP($I34,$D$3)</f>
        <v>MAY 29</v>
      </c>
      <c r="U34">
        <f t="array" ref="U34">_xll.BDP($I34,P$3)</f>
        <v>73.47</v>
      </c>
      <c r="V34">
        <f t="array" ref="V34">_xll.BDP($I34,Q$3)</f>
        <v>73.47</v>
      </c>
    </row>
    <row r="35" spans="2:22" x14ac:dyDescent="0.35">
      <c r="B35">
        <f t="shared" si="9"/>
        <v>31</v>
      </c>
      <c r="C35" t="str">
        <f t="shared" si="11"/>
        <v>CL31 Comdty</v>
      </c>
      <c r="D35" t="str">
        <f t="array" ref="D35">_xll.BDP($C35,$D$3)</f>
        <v>MAY 29</v>
      </c>
      <c r="E35">
        <f t="array" ref="E35">_xll.BDP($C35,E$3)</f>
        <v>68.099999999999994</v>
      </c>
      <c r="F35">
        <f t="array" ref="F35">_xll.BDP($C35,F$3)</f>
        <v>68.600000000000009</v>
      </c>
      <c r="H35" s="87">
        <f t="shared" si="10"/>
        <v>47299</v>
      </c>
      <c r="I35" t="str">
        <f t="shared" si="12"/>
        <v>CO31 Comdty</v>
      </c>
      <c r="J35" t="str">
        <f t="array" ref="J35">_xll.BDP($I35,$D$3)</f>
        <v>JUN 29</v>
      </c>
      <c r="K35">
        <f t="array" ref="K35">_xll.BDP($I35,E$3)</f>
        <v>73.17</v>
      </c>
      <c r="L35">
        <f t="array" ref="L35">_xll.BDP($I35,F$3)</f>
        <v>73.540000000000006</v>
      </c>
      <c r="N35" t="str">
        <f t="shared" si="1"/>
        <v>FSWTM31 Comdty</v>
      </c>
      <c r="O35" t="str">
        <f t="array" ref="O35">_xll.BDP($C35,$D$3)</f>
        <v>MAY 29</v>
      </c>
      <c r="P35">
        <f t="array" ref="P35">_xll.BDP($N35,P$3)</f>
        <v>68</v>
      </c>
      <c r="Q35">
        <f t="array" ref="Q35">_xll.BDP($N35,Q$3)</f>
        <v>67.78</v>
      </c>
      <c r="R35">
        <f t="shared" si="3"/>
        <v>45351</v>
      </c>
      <c r="S35" t="str">
        <f t="shared" si="4"/>
        <v>DBR Comdty</v>
      </c>
      <c r="T35" t="str">
        <f t="array" ref="T35">_xll.BDP($I35,$D$3)</f>
        <v>JUN 29</v>
      </c>
      <c r="U35">
        <f t="array" ref="U35">_xll.BDP($I35,P$3)</f>
        <v>73.17</v>
      </c>
      <c r="V35">
        <f t="array" ref="V35">_xll.BDP($I35,Q$3)</f>
        <v>73.17</v>
      </c>
    </row>
    <row r="36" spans="2:22" x14ac:dyDescent="0.35">
      <c r="B36">
        <f t="shared" si="9"/>
        <v>32</v>
      </c>
      <c r="C36" t="str">
        <f t="shared" si="11"/>
        <v>CL32 Comdty</v>
      </c>
      <c r="D36" t="str">
        <f t="array" ref="D36">_xll.BDP($C36,$D$3)</f>
        <v>JUN 29</v>
      </c>
      <c r="E36">
        <f t="array" ref="E36">_xll.BDP($C36,E$3)</f>
        <v>67.650000000000006</v>
      </c>
      <c r="F36">
        <f t="array" ref="F36">_xll.BDP($C36,F$3)</f>
        <v>68.27</v>
      </c>
      <c r="H36" s="87">
        <f t="shared" si="10"/>
        <v>47330</v>
      </c>
      <c r="I36" t="str">
        <f t="shared" si="12"/>
        <v>CO32 Comdty</v>
      </c>
      <c r="J36" t="str">
        <f t="array" ref="J36">_xll.BDP($I36,$D$3)</f>
        <v>JUL 29</v>
      </c>
      <c r="K36">
        <f t="array" ref="K36">_xll.BDP($I36,E$3)</f>
        <v>72.849999999999994</v>
      </c>
      <c r="L36">
        <f t="array" ref="L36">_xll.BDP($I36,F$3)</f>
        <v>73.239999999999995</v>
      </c>
      <c r="N36" t="str">
        <f t="shared" si="1"/>
        <v>FSWTM32 Comdty</v>
      </c>
      <c r="O36" t="str">
        <f t="array" ref="O36">_xll.BDP($C36,$D$3)</f>
        <v>JUN 29</v>
      </c>
      <c r="P36">
        <f t="array" ref="P36">_xll.BDP($N36,P$3)</f>
        <v>67.650000000000006</v>
      </c>
      <c r="Q36">
        <f t="array" ref="Q36">_xll.BDP($N36,Q$3)</f>
        <v>67.48</v>
      </c>
      <c r="R36">
        <f t="shared" si="3"/>
        <v>45351</v>
      </c>
      <c r="S36" t="str">
        <f t="shared" si="4"/>
        <v>DBR Comdty</v>
      </c>
      <c r="T36" t="str">
        <f t="array" ref="T36">_xll.BDP($I36,$D$3)</f>
        <v>JUL 29</v>
      </c>
      <c r="U36">
        <f t="array" ref="U36">_xll.BDP($I36,P$3)</f>
        <v>72.849999999999994</v>
      </c>
      <c r="V36">
        <f t="array" ref="V36">_xll.BDP($I36,Q$3)</f>
        <v>72.849999999999994</v>
      </c>
    </row>
    <row r="37" spans="2:22" x14ac:dyDescent="0.35">
      <c r="B37">
        <f t="shared" si="9"/>
        <v>33</v>
      </c>
      <c r="C37" t="str">
        <f t="shared" si="11"/>
        <v>CL33 Comdty</v>
      </c>
      <c r="D37" t="str">
        <f t="array" ref="D37">_xll.BDP($C37,$D$3)</f>
        <v>JUL 29</v>
      </c>
      <c r="E37">
        <f t="array" ref="E37">_xll.BDP($C37,E$3)</f>
        <v>67.41</v>
      </c>
      <c r="F37">
        <f t="array" ref="F37">_xll.BDP($C37,F$3)</f>
        <v>67.91</v>
      </c>
      <c r="H37" s="87">
        <f t="shared" si="10"/>
        <v>47361</v>
      </c>
      <c r="I37" t="str">
        <f t="shared" si="12"/>
        <v>CO33 Comdty</v>
      </c>
      <c r="J37" t="str">
        <f t="array" ref="J37">_xll.BDP($I37,$D$3)</f>
        <v>AUG 29</v>
      </c>
      <c r="K37">
        <f t="array" ref="K37">_xll.BDP($I37,E$3)</f>
        <v>72.569999999999993</v>
      </c>
      <c r="L37">
        <f t="array" ref="L37">_xll.BDP($I37,F$3)</f>
        <v>72.97</v>
      </c>
      <c r="N37" t="str">
        <f t="shared" si="1"/>
        <v>FSWTM33 Comdty</v>
      </c>
      <c r="O37" t="str">
        <f t="array" ref="O37">_xll.BDP($C37,$D$3)</f>
        <v>JUL 29</v>
      </c>
      <c r="P37">
        <f t="array" ref="P37">_xll.BDP($N37,P$3)</f>
        <v>67.290000000000006</v>
      </c>
      <c r="Q37">
        <f t="array" ref="Q37">_xll.BDP($N37,Q$3)</f>
        <v>67.16</v>
      </c>
      <c r="R37">
        <f t="shared" si="3"/>
        <v>45351</v>
      </c>
      <c r="S37" t="str">
        <f t="shared" si="4"/>
        <v>DBR Comdty</v>
      </c>
      <c r="T37" t="str">
        <f t="array" ref="T37">_xll.BDP($I37,$D$3)</f>
        <v>AUG 29</v>
      </c>
      <c r="U37">
        <f t="array" ref="U37">_xll.BDP($I37,P$3)</f>
        <v>72.569999999999993</v>
      </c>
      <c r="V37">
        <f t="array" ref="V37">_xll.BDP($I37,Q$3)</f>
        <v>72.569999999999993</v>
      </c>
    </row>
    <row r="38" spans="2:22" x14ac:dyDescent="0.35">
      <c r="B38">
        <f t="shared" si="9"/>
        <v>34</v>
      </c>
      <c r="C38" t="str">
        <f t="shared" si="11"/>
        <v>CL34 Comdty</v>
      </c>
      <c r="D38" t="str">
        <f t="array" ref="D38">_xll.BDP($C38,$D$3)</f>
        <v>AUG 29</v>
      </c>
      <c r="E38">
        <f t="array" ref="E38">_xll.BDP($C38,E$3)</f>
        <v>67.099999999999994</v>
      </c>
      <c r="F38">
        <f t="array" ref="F38">_xll.BDP($C38,F$3)</f>
        <v>67.61</v>
      </c>
      <c r="H38" s="87">
        <f t="shared" si="10"/>
        <v>47391</v>
      </c>
      <c r="I38" t="str">
        <f t="shared" si="12"/>
        <v>CO34 Comdty</v>
      </c>
      <c r="J38" t="str">
        <f t="array" ref="J38">_xll.BDP($I38,$D$3)</f>
        <v>SEP 29</v>
      </c>
      <c r="K38">
        <f t="array" ref="K38">_xll.BDP($I38,E$3)</f>
        <v>72.28</v>
      </c>
      <c r="L38">
        <f t="array" ref="L38">_xll.BDP($I38,F$3)</f>
        <v>72.69</v>
      </c>
      <c r="N38" t="str">
        <f t="shared" si="1"/>
        <v>FSWTM34 Comdty</v>
      </c>
      <c r="O38" t="str">
        <f t="array" ref="O38">_xll.BDP($C38,$D$3)</f>
        <v>AUG 29</v>
      </c>
      <c r="P38">
        <f t="array" ref="P38">_xll.BDP($N38,P$3)</f>
        <v>66.98</v>
      </c>
      <c r="Q38">
        <f t="array" ref="Q38">_xll.BDP($N38,Q$3)</f>
        <v>66.86</v>
      </c>
      <c r="R38">
        <f t="shared" si="3"/>
        <v>45351</v>
      </c>
      <c r="S38" t="str">
        <f t="shared" si="4"/>
        <v>DBR Comdty</v>
      </c>
      <c r="T38" t="str">
        <f t="array" ref="T38">_xll.BDP($I38,$D$3)</f>
        <v>SEP 29</v>
      </c>
      <c r="U38">
        <f t="array" ref="U38">_xll.BDP($I38,P$3)</f>
        <v>72.28</v>
      </c>
      <c r="V38">
        <f t="array" ref="V38">_xll.BDP($I38,Q$3)</f>
        <v>72.28</v>
      </c>
    </row>
    <row r="39" spans="2:22" x14ac:dyDescent="0.35">
      <c r="B39">
        <f t="shared" si="9"/>
        <v>35</v>
      </c>
      <c r="C39" t="str">
        <f t="shared" si="11"/>
        <v>CL35 Comdty</v>
      </c>
      <c r="D39" t="str">
        <f t="array" ref="D39">_xll.BDP($C39,$D$3)</f>
        <v>SEP 29</v>
      </c>
      <c r="E39">
        <f t="array" ref="E39">_xll.BDP($C39,E$3)</f>
        <v>66.78</v>
      </c>
      <c r="F39">
        <f t="array" ref="F39">_xll.BDP($C39,F$3)</f>
        <v>67.3</v>
      </c>
      <c r="H39" s="87">
        <f t="shared" si="10"/>
        <v>47422</v>
      </c>
      <c r="I39" t="str">
        <f t="shared" si="12"/>
        <v>CO35 Comdty</v>
      </c>
      <c r="J39" t="str">
        <f t="array" ref="J39">_xll.BDP($I39,$D$3)</f>
        <v>OCT 29</v>
      </c>
      <c r="K39">
        <f t="array" ref="K39">_xll.BDP($I39,E$3)</f>
        <v>72</v>
      </c>
      <c r="L39">
        <f t="array" ref="L39">_xll.BDP($I39,F$3)</f>
        <v>72.42</v>
      </c>
      <c r="N39" t="str">
        <f t="shared" si="1"/>
        <v>FSWTM35 Comdty</v>
      </c>
      <c r="O39" t="str">
        <f t="array" ref="O39">_xll.BDP($C39,$D$3)</f>
        <v>SEP 29</v>
      </c>
      <c r="P39">
        <f t="array" ref="P39">_xll.BDP($N39,P$3)</f>
        <v>66.67</v>
      </c>
      <c r="Q39">
        <f t="array" ref="Q39">_xll.BDP($N39,Q$3)</f>
        <v>66.569999999999993</v>
      </c>
      <c r="R39">
        <f t="shared" si="3"/>
        <v>45351</v>
      </c>
      <c r="S39" t="str">
        <f t="shared" si="4"/>
        <v>DBR Comdty</v>
      </c>
      <c r="T39" t="str">
        <f t="array" ref="T39">_xll.BDP($I39,$D$3)</f>
        <v>OCT 29</v>
      </c>
      <c r="U39">
        <f t="array" ref="U39">_xll.BDP($I39,P$3)</f>
        <v>72</v>
      </c>
      <c r="V39">
        <f t="array" ref="V39">_xll.BDP($I39,Q$3)</f>
        <v>72</v>
      </c>
    </row>
    <row r="40" spans="2:22" x14ac:dyDescent="0.35">
      <c r="B40">
        <f t="shared" si="9"/>
        <v>36</v>
      </c>
      <c r="C40" t="str">
        <f t="shared" si="11"/>
        <v>CL36 Comdty</v>
      </c>
      <c r="D40" t="str">
        <f t="array" ref="D40">_xll.BDP($C40,$D$3)</f>
        <v>OCT 29</v>
      </c>
      <c r="E40">
        <f t="array" ref="E40">_xll.BDP($C40,E$3)</f>
        <v>66.47</v>
      </c>
      <c r="F40">
        <f t="array" ref="F40">_xll.BDP($C40,F$3)</f>
        <v>67</v>
      </c>
      <c r="H40" s="87">
        <f t="shared" si="10"/>
        <v>47452</v>
      </c>
      <c r="I40" t="str">
        <f t="shared" si="12"/>
        <v>CO36 Comdty</v>
      </c>
      <c r="J40" t="str">
        <f t="array" ref="J40">_xll.BDP($I40,$D$3)</f>
        <v>NOV 29</v>
      </c>
      <c r="K40">
        <f t="array" ref="K40">_xll.BDP($I40,E$3)</f>
        <v>71.69</v>
      </c>
      <c r="L40">
        <f t="array" ref="L40">_xll.BDP($I40,F$3)</f>
        <v>72.12</v>
      </c>
      <c r="N40" t="str">
        <f t="shared" si="1"/>
        <v>FSWTM36 Comdty</v>
      </c>
      <c r="O40" t="str">
        <f t="array" ref="O40">_xll.BDP($C40,$D$3)</f>
        <v>OCT 29</v>
      </c>
      <c r="P40">
        <f t="array" ref="P40">_xll.BDP($N40,P$3)</f>
        <v>66.36</v>
      </c>
      <c r="Q40">
        <f t="array" ref="Q40">_xll.BDP($N40,Q$3)</f>
        <v>66.3</v>
      </c>
      <c r="R40">
        <f t="shared" si="3"/>
        <v>45351</v>
      </c>
      <c r="S40" t="str">
        <f t="shared" si="4"/>
        <v>DBR Comdty</v>
      </c>
      <c r="T40" t="str">
        <f t="array" ref="T40">_xll.BDP($I40,$D$3)</f>
        <v>NOV 29</v>
      </c>
      <c r="U40">
        <f t="array" ref="U40">_xll.BDP($I40,P$3)</f>
        <v>71.69</v>
      </c>
      <c r="V40">
        <f t="array" ref="V40">_xll.BDP($I40,Q$3)</f>
        <v>71.69</v>
      </c>
    </row>
    <row r="41" spans="2:22" x14ac:dyDescent="0.35">
      <c r="B41">
        <f t="shared" si="9"/>
        <v>37</v>
      </c>
      <c r="C41" t="str">
        <f t="shared" si="11"/>
        <v>CL37 Comdty</v>
      </c>
      <c r="D41" t="str">
        <f t="array" ref="D41">_xll.BDP($C41,$D$3)</f>
        <v>NOV 29</v>
      </c>
      <c r="E41">
        <f t="array" ref="E41">_xll.BDP($C41,E$3)</f>
        <v>66.180000000000007</v>
      </c>
      <c r="F41">
        <f t="array" ref="F41">_xll.BDP($C41,F$3)</f>
        <v>66.72</v>
      </c>
      <c r="H41" s="87">
        <f t="shared" si="10"/>
        <v>47483</v>
      </c>
      <c r="I41" t="str">
        <f t="shared" si="12"/>
        <v>CO37 Comdty</v>
      </c>
      <c r="J41" t="str">
        <f t="array" ref="J41">_xll.BDP($I41,$D$3)</f>
        <v>DEC 29</v>
      </c>
      <c r="K41">
        <f t="array" ref="K41">_xll.BDP($I41,E$3)</f>
        <v>71.41</v>
      </c>
      <c r="L41">
        <f t="array" ref="L41">_xll.BDP($I41,F$3)</f>
        <v>71.84</v>
      </c>
      <c r="N41" t="str">
        <f t="shared" si="1"/>
        <v>FSWTM37 Comdty</v>
      </c>
      <c r="O41" t="str">
        <f t="array" ref="O41">_xll.BDP($C41,$D$3)</f>
        <v>NOV 29</v>
      </c>
      <c r="P41">
        <f t="array" ref="P41">_xll.BDP($N41,P$3)</f>
        <v>66.069999999999993</v>
      </c>
      <c r="Q41">
        <f t="array" ref="Q41">_xll.BDP($N41,Q$3)</f>
        <v>66.05</v>
      </c>
      <c r="R41">
        <f t="shared" si="3"/>
        <v>45351</v>
      </c>
      <c r="S41" t="str">
        <f t="shared" si="4"/>
        <v>DBR Comdty</v>
      </c>
      <c r="T41" t="str">
        <f t="array" ref="T41">_xll.BDP($I41,$D$3)</f>
        <v>DEC 29</v>
      </c>
      <c r="U41">
        <f t="array" ref="U41">_xll.BDP($I41,P$3)</f>
        <v>71.41</v>
      </c>
      <c r="V41">
        <f t="array" ref="V41">_xll.BDP($I41,Q$3)</f>
        <v>71.41</v>
      </c>
    </row>
    <row r="42" spans="2:22" x14ac:dyDescent="0.35">
      <c r="B42">
        <f t="shared" si="9"/>
        <v>38</v>
      </c>
      <c r="C42" t="str">
        <f t="shared" si="11"/>
        <v>CL38 Comdty</v>
      </c>
      <c r="D42" t="str">
        <f t="array" ref="D42">_xll.BDP($C42,$D$3)</f>
        <v>DEC 29</v>
      </c>
      <c r="E42">
        <f t="array" ref="E42">_xll.BDP($C42,E$3)</f>
        <v>65.75</v>
      </c>
      <c r="F42">
        <f t="array" ref="F42">_xll.BDP($C42,F$3)</f>
        <v>66.42</v>
      </c>
      <c r="H42" s="87">
        <f t="shared" si="10"/>
        <v>47514</v>
      </c>
      <c r="I42" t="str">
        <f t="shared" si="12"/>
        <v>CO38 Comdty</v>
      </c>
      <c r="J42" t="str">
        <f t="array" ref="J42">_xll.BDP($I42,$D$3)</f>
        <v>JAN 30</v>
      </c>
      <c r="K42">
        <f t="array" ref="K42">_xll.BDP($I42,E$3)</f>
        <v>71.099999999999994</v>
      </c>
      <c r="L42">
        <f t="array" ref="L42">_xll.BDP($I42,F$3)</f>
        <v>71.540000000000006</v>
      </c>
      <c r="N42" t="str">
        <f t="shared" si="1"/>
        <v>FSWTM38 Comdty</v>
      </c>
      <c r="O42" t="str">
        <f t="array" ref="O42">_xll.BDP($C42,$D$3)</f>
        <v>DEC 29</v>
      </c>
      <c r="P42">
        <f t="array" ref="P42">_xll.BDP($N42,P$3)</f>
        <v>65.790000000000006</v>
      </c>
      <c r="Q42">
        <f t="array" ref="Q42">_xll.BDP($N42,Q$3)</f>
        <v>65.75</v>
      </c>
      <c r="R42">
        <f t="shared" si="3"/>
        <v>45351</v>
      </c>
      <c r="S42" t="str">
        <f t="shared" si="4"/>
        <v>DBR Comdty</v>
      </c>
      <c r="T42" t="str">
        <f t="array" ref="T42">_xll.BDP($I42,$D$3)</f>
        <v>JAN 30</v>
      </c>
      <c r="U42">
        <f t="array" ref="U42">_xll.BDP($I42,P$3)</f>
        <v>71.099999999999994</v>
      </c>
      <c r="V42">
        <f t="array" ref="V42">_xll.BDP($I42,Q$3)</f>
        <v>71.099999999999994</v>
      </c>
    </row>
    <row r="43" spans="2:22" x14ac:dyDescent="0.35">
      <c r="B43">
        <f t="shared" si="9"/>
        <v>39</v>
      </c>
      <c r="C43" t="str">
        <f t="shared" si="11"/>
        <v>CL39 Comdty</v>
      </c>
      <c r="D43" t="str">
        <f t="array" ref="D43">_xll.BDP($C43,$D$3)</f>
        <v>JAN 30</v>
      </c>
      <c r="E43">
        <f t="array" ref="E43">_xll.BDP($C43,E$3)</f>
        <v>65.510000000000005</v>
      </c>
      <c r="F43">
        <f t="array" ref="F43">_xll.BDP($C43,F$3)</f>
        <v>66.09</v>
      </c>
      <c r="H43" s="87">
        <f t="shared" si="10"/>
        <v>47542</v>
      </c>
      <c r="I43" t="str">
        <f t="shared" ref="I43:I53" si="13">"CO"&amp;B43&amp;" Comdty"</f>
        <v>CO39 Comdty</v>
      </c>
      <c r="J43" t="str">
        <f t="array" ref="J43">_xll.BDP($I43,$D$3)</f>
        <v>FEB 30</v>
      </c>
      <c r="K43">
        <f t="array" ref="K43">_xll.BDP($I43,E$3)</f>
        <v>70.930000000000007</v>
      </c>
      <c r="L43">
        <f t="array" ref="L43">_xll.BDP($I43,F$3)</f>
        <v>71.39</v>
      </c>
      <c r="N43" t="str">
        <f t="shared" si="1"/>
        <v>FSWTM39 Comdty</v>
      </c>
      <c r="O43" t="str">
        <f t="array" ref="O43">_xll.BDP($C43,$D$3)</f>
        <v>JAN 30</v>
      </c>
      <c r="P43">
        <f t="array" ref="P43">_xll.BDP($N43,P$3)</f>
        <v>65.44</v>
      </c>
      <c r="Q43">
        <f t="array" ref="Q43">_xll.BDP($N43,Q$3)</f>
        <v>65.41</v>
      </c>
      <c r="R43">
        <f t="shared" si="3"/>
        <v>45351</v>
      </c>
      <c r="S43" t="str">
        <f t="shared" si="4"/>
        <v>DBR Comdty</v>
      </c>
      <c r="T43" t="str">
        <f t="array" ref="T43">_xll.BDP($I43,$D$3)</f>
        <v>FEB 30</v>
      </c>
      <c r="U43">
        <f t="array" ref="U43">_xll.BDP($I43,P$3)</f>
        <v>70.930000000000007</v>
      </c>
      <c r="V43">
        <f t="array" ref="V43">_xll.BDP($I43,Q$3)</f>
        <v>70.930000000000007</v>
      </c>
    </row>
    <row r="44" spans="2:22" x14ac:dyDescent="0.35">
      <c r="B44">
        <f t="shared" si="9"/>
        <v>40</v>
      </c>
      <c r="C44" t="str">
        <f t="shared" ref="C44:C53" si="14">"CL"&amp;B44&amp;" Comdty"</f>
        <v>CL40 Comdty</v>
      </c>
      <c r="D44" t="str">
        <f t="array" ref="D44">_xll.BDP($C44,$D$3)</f>
        <v>FEB 30</v>
      </c>
      <c r="E44">
        <f t="array" ref="E44">_xll.BDP($C44,E$3)</f>
        <v>65.260000000000005</v>
      </c>
      <c r="F44">
        <f t="array" ref="F44">_xll.BDP($C44,F$3)</f>
        <v>65.81</v>
      </c>
      <c r="H44" s="87">
        <f t="shared" si="10"/>
        <v>47573</v>
      </c>
      <c r="I44" t="str">
        <f t="shared" si="13"/>
        <v>CO40 Comdty</v>
      </c>
      <c r="J44" t="str">
        <f t="array" ref="J44">_xll.BDP($I44,$D$3)</f>
        <v>MAR 30</v>
      </c>
      <c r="K44">
        <f t="array" ref="K44">_xll.BDP($I44,E$3)</f>
        <v>70.78</v>
      </c>
      <c r="L44">
        <f t="array" ref="L44">_xll.BDP($I44,F$3)</f>
        <v>71.239999999999995</v>
      </c>
      <c r="N44" t="str">
        <f t="shared" si="1"/>
        <v>FSWTM40 Comdty</v>
      </c>
      <c r="O44" t="str">
        <f t="array" ref="O44">_xll.BDP($C44,$D$3)</f>
        <v>FEB 30</v>
      </c>
      <c r="P44">
        <f t="array" ref="P44">_xll.BDP($N44,P$3)</f>
        <v>65.19</v>
      </c>
      <c r="Q44">
        <f t="array" ref="Q44">_xll.BDP($N44,Q$3)</f>
        <v>65.14</v>
      </c>
      <c r="R44">
        <f t="shared" si="3"/>
        <v>45351</v>
      </c>
      <c r="S44" t="str">
        <f t="shared" si="4"/>
        <v>DBR Comdty</v>
      </c>
      <c r="T44" t="str">
        <f t="array" ref="T44">_xll.BDP($I44,$D$3)</f>
        <v>MAR 30</v>
      </c>
      <c r="U44">
        <f t="array" ref="U44">_xll.BDP($I44,P$3)</f>
        <v>70.78</v>
      </c>
      <c r="V44">
        <f t="array" ref="V44">_xll.BDP($I44,Q$3)</f>
        <v>70.78</v>
      </c>
    </row>
    <row r="45" spans="2:22" x14ac:dyDescent="0.35">
      <c r="B45">
        <f t="shared" si="9"/>
        <v>41</v>
      </c>
      <c r="C45" t="str">
        <f t="shared" si="14"/>
        <v>CL41 Comdty</v>
      </c>
      <c r="D45" t="str">
        <f t="array" ref="D45">_xll.BDP($C45,$D$3)</f>
        <v>MAR 30</v>
      </c>
      <c r="E45">
        <f t="array" ref="E45">_xll.BDP($C45,E$3)</f>
        <v>64.97</v>
      </c>
      <c r="F45">
        <f t="array" ref="F45">_xll.BDP($C45,F$3)</f>
        <v>65.52</v>
      </c>
      <c r="H45" s="87">
        <f t="shared" si="10"/>
        <v>47603</v>
      </c>
      <c r="I45" t="str">
        <f t="shared" si="13"/>
        <v>CO41 Comdty</v>
      </c>
      <c r="J45" t="str">
        <f t="array" ref="J45">_xll.BDP($I45,$D$3)</f>
        <v>APR 30</v>
      </c>
      <c r="K45">
        <f t="array" ref="K45">_xll.BDP($I45,E$3)</f>
        <v>70.61</v>
      </c>
      <c r="L45">
        <f t="array" ref="L45">_xll.BDP($I45,F$3)</f>
        <v>71.08</v>
      </c>
      <c r="N45" t="str">
        <f t="shared" si="1"/>
        <v>FSWTM41 Comdty</v>
      </c>
      <c r="O45" t="str">
        <f t="array" ref="O45">_xll.BDP($C45,$D$3)</f>
        <v>MAR 30</v>
      </c>
      <c r="P45">
        <f t="array" ref="P45">_xll.BDP($N45,P$3)</f>
        <v>64.91</v>
      </c>
      <c r="Q45">
        <f t="array" ref="Q45">_xll.BDP($N45,Q$3)</f>
        <v>64.86</v>
      </c>
      <c r="R45">
        <f t="shared" si="3"/>
        <v>45351</v>
      </c>
      <c r="S45" t="str">
        <f t="shared" si="4"/>
        <v>DBR Comdty</v>
      </c>
      <c r="T45" t="str">
        <f t="array" ref="T45">_xll.BDP($I45,$D$3)</f>
        <v>APR 30</v>
      </c>
      <c r="U45">
        <f t="array" ref="U45">_xll.BDP($I45,P$3)</f>
        <v>70.61</v>
      </c>
      <c r="V45">
        <f t="array" ref="V45">_xll.BDP($I45,Q$3)</f>
        <v>70.61</v>
      </c>
    </row>
    <row r="46" spans="2:22" x14ac:dyDescent="0.35">
      <c r="B46">
        <f t="shared" si="9"/>
        <v>42</v>
      </c>
      <c r="C46" t="str">
        <f t="shared" si="14"/>
        <v>CL42 Comdty</v>
      </c>
      <c r="D46" t="str">
        <f t="array" ref="D46">_xll.BDP($C46,$D$3)</f>
        <v>APR 30</v>
      </c>
      <c r="E46">
        <f t="array" ref="E46">_xll.BDP($C46,E$3)</f>
        <v>64.680000000000007</v>
      </c>
      <c r="F46">
        <f t="array" ref="F46">_xll.BDP($C46,F$3)</f>
        <v>65.239999999999995</v>
      </c>
      <c r="H46" s="87">
        <f t="shared" si="10"/>
        <v>47634</v>
      </c>
      <c r="I46" t="str">
        <f t="shared" si="13"/>
        <v>CO42 Comdty</v>
      </c>
      <c r="J46" t="str">
        <f t="array" ref="J46">_xll.BDP($I46,$D$3)</f>
        <v>MAY 30</v>
      </c>
      <c r="K46">
        <f t="array" ref="K46">_xll.BDP($I46,E$3)</f>
        <v>70.430000000000007</v>
      </c>
      <c r="L46">
        <f t="array" ref="L46">_xll.BDP($I46,F$3)</f>
        <v>70.91</v>
      </c>
      <c r="N46" t="str">
        <f t="shared" si="1"/>
        <v>FSWTM42 Comdty</v>
      </c>
      <c r="O46" t="str">
        <f t="array" ref="O46">_xll.BDP($C46,$D$3)</f>
        <v>APR 30</v>
      </c>
      <c r="P46">
        <f t="array" ref="P46">_xll.BDP($N46,P$3)</f>
        <v>64.62</v>
      </c>
      <c r="Q46">
        <f t="array" ref="Q46">_xll.BDP($N46,Q$3)</f>
        <v>64.59</v>
      </c>
      <c r="R46">
        <f t="shared" si="3"/>
        <v>45351</v>
      </c>
      <c r="S46" t="str">
        <f t="shared" si="4"/>
        <v>DBR Comdty</v>
      </c>
      <c r="T46" t="str">
        <f t="array" ref="T46">_xll.BDP($I46,$D$3)</f>
        <v>MAY 30</v>
      </c>
      <c r="U46">
        <f t="array" ref="U46">_xll.BDP($I46,P$3)</f>
        <v>70.430000000000007</v>
      </c>
      <c r="V46">
        <f t="array" ref="V46">_xll.BDP($I46,Q$3)</f>
        <v>70.430000000000007</v>
      </c>
    </row>
    <row r="47" spans="2:22" x14ac:dyDescent="0.35">
      <c r="B47">
        <f t="shared" si="9"/>
        <v>43</v>
      </c>
      <c r="C47" t="str">
        <f t="shared" si="14"/>
        <v>CL43 Comdty</v>
      </c>
      <c r="D47" t="str">
        <f t="array" ref="D47">_xll.BDP($C47,$D$3)</f>
        <v>MAY 30</v>
      </c>
      <c r="E47">
        <f t="array" ref="E47">_xll.BDP($C47,E$3)</f>
        <v>64.430000000000007</v>
      </c>
      <c r="F47">
        <f t="array" ref="F47">_xll.BDP($C47,F$3)</f>
        <v>65.02</v>
      </c>
      <c r="H47" s="87">
        <f t="shared" si="10"/>
        <v>47664</v>
      </c>
      <c r="I47" t="str">
        <f t="shared" si="13"/>
        <v>CO43 Comdty</v>
      </c>
      <c r="J47" t="str">
        <f t="array" ref="J47">_xll.BDP($I47,$D$3)</f>
        <v>JUN 30</v>
      </c>
      <c r="K47">
        <f t="array" ref="K47">_xll.BDP($I47,E$3)</f>
        <v>70.260000000000005</v>
      </c>
      <c r="L47">
        <f t="array" ref="L47">_xll.BDP($I47,F$3)</f>
        <v>70.75</v>
      </c>
      <c r="N47" t="str">
        <f t="shared" si="1"/>
        <v>FSWTM43 Comdty</v>
      </c>
      <c r="O47" t="str">
        <f t="array" ref="O47">_xll.BDP($C47,$D$3)</f>
        <v>MAY 30</v>
      </c>
      <c r="P47">
        <f t="array" ref="P47">_xll.BDP($N47,P$3)</f>
        <v>64.37</v>
      </c>
      <c r="Q47">
        <f t="array" ref="Q47">_xll.BDP($N47,Q$3)</f>
        <v>64.349999999999994</v>
      </c>
      <c r="R47">
        <f t="shared" si="3"/>
        <v>45351</v>
      </c>
      <c r="S47" t="str">
        <f t="shared" si="4"/>
        <v>DBR Comdty</v>
      </c>
      <c r="T47" t="str">
        <f t="array" ref="T47">_xll.BDP($I47,$D$3)</f>
        <v>JUN 30</v>
      </c>
      <c r="U47">
        <f t="array" ref="U47">_xll.BDP($I47,P$3)</f>
        <v>70.260000000000005</v>
      </c>
      <c r="V47">
        <f t="array" ref="V47">_xll.BDP($I47,Q$3)</f>
        <v>70.260000000000005</v>
      </c>
    </row>
    <row r="48" spans="2:22" x14ac:dyDescent="0.35">
      <c r="B48">
        <f t="shared" si="9"/>
        <v>44</v>
      </c>
      <c r="C48" t="str">
        <f t="shared" si="14"/>
        <v>CL44 Comdty</v>
      </c>
      <c r="D48" t="str">
        <f t="array" ref="D48">_xll.BDP($C48,$D$3)</f>
        <v>JUN 30</v>
      </c>
      <c r="E48">
        <f t="array" ref="E48">_xll.BDP($C48,E$3)</f>
        <v>64.150000000000006</v>
      </c>
      <c r="F48">
        <f t="array" ref="F48">_xll.BDP($C48,F$3)</f>
        <v>64.739999999999995</v>
      </c>
      <c r="H48" s="87">
        <f t="shared" si="10"/>
        <v>47695</v>
      </c>
      <c r="I48" t="str">
        <f t="shared" si="13"/>
        <v>CO44 Comdty</v>
      </c>
      <c r="J48" t="str">
        <f t="array" ref="J48">_xll.BDP($I48,$D$3)</f>
        <v>JUL 30</v>
      </c>
      <c r="K48">
        <f t="array" ref="K48">_xll.BDP($I48,E$3)</f>
        <v>70.05</v>
      </c>
      <c r="L48">
        <f t="array" ref="L48">_xll.BDP($I48,F$3)</f>
        <v>70.540000000000006</v>
      </c>
      <c r="N48" t="str">
        <f t="shared" si="1"/>
        <v>FSWTM44 Comdty</v>
      </c>
      <c r="O48" t="str">
        <f t="array" ref="O48">_xll.BDP($C48,$D$3)</f>
        <v>JUN 30</v>
      </c>
      <c r="P48">
        <f t="array" ref="P48">_xll.BDP($N48,P$3)</f>
        <v>64.09</v>
      </c>
      <c r="Q48">
        <f t="array" ref="Q48">_xll.BDP($N48,Q$3)</f>
        <v>64.08</v>
      </c>
      <c r="R48">
        <f t="shared" si="3"/>
        <v>45351</v>
      </c>
      <c r="S48" t="str">
        <f t="shared" si="4"/>
        <v>DBR Comdty</v>
      </c>
      <c r="T48" t="str">
        <f t="array" ref="T48">_xll.BDP($I48,$D$3)</f>
        <v>JUL 30</v>
      </c>
      <c r="U48">
        <f t="array" ref="U48">_xll.BDP($I48,P$3)</f>
        <v>70.05</v>
      </c>
      <c r="V48">
        <f t="array" ref="V48">_xll.BDP($I48,Q$3)</f>
        <v>70.05</v>
      </c>
    </row>
    <row r="49" spans="1:45" x14ac:dyDescent="0.35">
      <c r="B49">
        <f t="shared" si="9"/>
        <v>45</v>
      </c>
      <c r="C49" t="str">
        <f t="shared" si="14"/>
        <v>CL45 Comdty</v>
      </c>
      <c r="D49" t="str">
        <f t="array" ref="D49">_xll.BDP($C49,$D$3)</f>
        <v>JUL 30</v>
      </c>
      <c r="E49">
        <f t="array" ref="E49">_xll.BDP($C49,E$3)</f>
        <v>63.83</v>
      </c>
      <c r="F49">
        <f t="array" ref="F49">_xll.BDP($C49,F$3)</f>
        <v>64.42</v>
      </c>
      <c r="H49" s="87">
        <f t="shared" si="10"/>
        <v>47726</v>
      </c>
      <c r="I49" t="str">
        <f t="shared" si="13"/>
        <v>CO45 Comdty</v>
      </c>
      <c r="J49" t="str">
        <f t="array" ref="J49">_xll.BDP($I49,$D$3)</f>
        <v>AUG 30</v>
      </c>
      <c r="K49">
        <f t="array" ref="K49">_xll.BDP($I49,E$3)</f>
        <v>69.819999999999993</v>
      </c>
      <c r="L49">
        <f t="array" ref="L49">_xll.BDP($I49,F$3)</f>
        <v>70.320000000000007</v>
      </c>
      <c r="N49" t="str">
        <f t="shared" si="1"/>
        <v>FSWTM45 Comdty</v>
      </c>
      <c r="O49" t="str">
        <f t="array" ref="O49">_xll.BDP($C49,$D$3)</f>
        <v>JUL 30</v>
      </c>
      <c r="P49">
        <f t="array" ref="P49">_xll.BDP($N49,P$3)</f>
        <v>63.77</v>
      </c>
      <c r="Q49">
        <f t="array" ref="Q49">_xll.BDP($N49,Q$3)</f>
        <v>63.78</v>
      </c>
      <c r="R49">
        <f t="shared" si="3"/>
        <v>45351</v>
      </c>
      <c r="S49" t="str">
        <f t="shared" si="4"/>
        <v>DBR Comdty</v>
      </c>
      <c r="T49" t="str">
        <f t="array" ref="T49">_xll.BDP($I49,$D$3)</f>
        <v>AUG 30</v>
      </c>
      <c r="U49">
        <f t="array" ref="U49">_xll.BDP($I49,P$3)</f>
        <v>69.819999999999993</v>
      </c>
      <c r="V49">
        <f t="array" ref="V49">_xll.BDP($I49,Q$3)</f>
        <v>69.819999999999993</v>
      </c>
    </row>
    <row r="50" spans="1:45" x14ac:dyDescent="0.35">
      <c r="B50">
        <f t="shared" si="9"/>
        <v>46</v>
      </c>
      <c r="C50" t="str">
        <f t="shared" si="14"/>
        <v>CL46 Comdty</v>
      </c>
      <c r="D50" t="str">
        <f t="array" ref="D50">_xll.BDP($C50,$D$3)</f>
        <v>AUG 30</v>
      </c>
      <c r="E50">
        <f t="array" ref="E50">_xll.BDP($C50,E$3)</f>
        <v>63.52</v>
      </c>
      <c r="F50">
        <f t="array" ref="F50">_xll.BDP($C50,F$3)</f>
        <v>64.14</v>
      </c>
      <c r="H50" s="87">
        <f t="shared" si="10"/>
        <v>47756</v>
      </c>
      <c r="I50" t="str">
        <f t="shared" si="13"/>
        <v>CO46 Comdty</v>
      </c>
      <c r="J50" t="str">
        <f t="array" ref="J50">_xll.BDP($I50,$D$3)</f>
        <v>SEP 30</v>
      </c>
      <c r="K50">
        <f t="array" ref="K50">_xll.BDP($I50,E$3)</f>
        <v>69.59</v>
      </c>
      <c r="L50">
        <f t="array" ref="L50">_xll.BDP($I50,F$3)</f>
        <v>70.100000000000009</v>
      </c>
      <c r="N50" t="str">
        <f t="shared" si="1"/>
        <v>FSWTM46 Comdty</v>
      </c>
      <c r="O50" t="str">
        <f t="array" ref="O50">_xll.BDP($C50,$D$3)</f>
        <v>AUG 30</v>
      </c>
      <c r="P50">
        <f t="array" ref="P50">_xll.BDP($N50,P$3)</f>
        <v>63.46</v>
      </c>
      <c r="Q50">
        <f t="array" ref="Q50">_xll.BDP($N50,Q$3)</f>
        <v>63.52</v>
      </c>
      <c r="R50">
        <f t="shared" si="3"/>
        <v>45351</v>
      </c>
      <c r="S50" t="str">
        <f t="shared" si="4"/>
        <v>DBR Comdty</v>
      </c>
      <c r="T50" t="str">
        <f t="array" ref="T50">_xll.BDP($I50,$D$3)</f>
        <v>SEP 30</v>
      </c>
      <c r="U50">
        <f t="array" ref="U50">_xll.BDP($I50,P$3)</f>
        <v>69.59</v>
      </c>
      <c r="V50">
        <f t="array" ref="V50">_xll.BDP($I50,Q$3)</f>
        <v>69.59</v>
      </c>
    </row>
    <row r="51" spans="1:45" x14ac:dyDescent="0.35">
      <c r="B51">
        <f t="shared" si="9"/>
        <v>47</v>
      </c>
      <c r="C51" t="str">
        <f t="shared" si="14"/>
        <v>CL47 Comdty</v>
      </c>
      <c r="D51" t="str">
        <f t="array" ref="D51">_xll.BDP($C51,$D$3)</f>
        <v>SEP 30</v>
      </c>
      <c r="E51">
        <f t="array" ref="E51">_xll.BDP($C51,E$3)</f>
        <v>63.26</v>
      </c>
      <c r="F51">
        <f t="array" ref="F51">_xll.BDP($C51,F$3)</f>
        <v>63.88</v>
      </c>
      <c r="H51" s="87">
        <f t="shared" si="10"/>
        <v>47787</v>
      </c>
      <c r="I51" t="str">
        <f t="shared" si="13"/>
        <v>CO47 Comdty</v>
      </c>
      <c r="J51" t="str">
        <f t="array" ref="J51">_xll.BDP($I51,$D$3)</f>
        <v>OCT 30</v>
      </c>
      <c r="K51">
        <f t="array" ref="K51">_xll.BDP($I51,E$3)</f>
        <v>69.37</v>
      </c>
      <c r="L51">
        <f t="array" ref="L51">_xll.BDP($I51,F$3)</f>
        <v>69.89</v>
      </c>
      <c r="N51" t="str">
        <f t="shared" si="1"/>
        <v>FSWTM47 Comdty</v>
      </c>
      <c r="O51" t="str">
        <f t="array" ref="O51">_xll.BDP($C51,$D$3)</f>
        <v>SEP 30</v>
      </c>
      <c r="P51">
        <f t="array" ref="P51">_xll.BDP($N51,P$3)</f>
        <v>63.2</v>
      </c>
      <c r="Q51">
        <f t="array" ref="Q51">_xll.BDP($N51,Q$3)</f>
        <v>63.28</v>
      </c>
      <c r="R51">
        <f t="shared" si="3"/>
        <v>45351</v>
      </c>
      <c r="S51" t="str">
        <f t="shared" si="4"/>
        <v>DBR Comdty</v>
      </c>
      <c r="T51" t="str">
        <f t="array" ref="T51">_xll.BDP($I51,$D$3)</f>
        <v>OCT 30</v>
      </c>
      <c r="U51">
        <f t="array" ref="U51">_xll.BDP($I51,P$3)</f>
        <v>69.37</v>
      </c>
      <c r="V51">
        <f t="array" ref="V51">_xll.BDP($I51,Q$3)</f>
        <v>69.37</v>
      </c>
    </row>
    <row r="52" spans="1:45" x14ac:dyDescent="0.35">
      <c r="B52">
        <f t="shared" si="9"/>
        <v>48</v>
      </c>
      <c r="C52" t="str">
        <f t="shared" si="14"/>
        <v>CL48 Comdty</v>
      </c>
      <c r="D52" t="str">
        <f t="array" ref="D52">_xll.BDP($C52,$D$3)</f>
        <v>OCT 30</v>
      </c>
      <c r="E52">
        <f t="array" ref="E52">_xll.BDP($C52,E$3)</f>
        <v>63.01</v>
      </c>
      <c r="F52">
        <f t="array" ref="F52">_xll.BDP($C52,F$3)</f>
        <v>63.63</v>
      </c>
      <c r="H52" s="87">
        <f t="shared" si="10"/>
        <v>47817</v>
      </c>
      <c r="I52" t="str">
        <f t="shared" si="13"/>
        <v>CO48 Comdty</v>
      </c>
      <c r="J52" t="str">
        <f t="array" ref="J52">_xll.BDP($I52,$D$3)</f>
        <v>NOV 30</v>
      </c>
      <c r="K52">
        <f t="array" ref="K52">_xll.BDP($I52,E$3)</f>
        <v>69.16</v>
      </c>
      <c r="L52">
        <f t="array" ref="L52">_xll.BDP($I52,F$3)</f>
        <v>69.69</v>
      </c>
      <c r="N52" t="str">
        <f t="shared" si="1"/>
        <v>FSWTM48 Comdty</v>
      </c>
      <c r="O52" t="str">
        <f t="array" ref="O52">_xll.BDP($C52,$D$3)</f>
        <v>OCT 30</v>
      </c>
      <c r="P52">
        <f t="array" ref="P52">_xll.BDP($N52,P$3)</f>
        <v>62.95</v>
      </c>
      <c r="Q52">
        <f t="array" ref="Q52">_xll.BDP($N52,Q$3)</f>
        <v>63.05</v>
      </c>
      <c r="R52">
        <f t="shared" si="3"/>
        <v>45351</v>
      </c>
      <c r="S52" t="str">
        <f t="shared" si="4"/>
        <v>DBR Comdty</v>
      </c>
      <c r="T52" t="str">
        <f t="array" ref="T52">_xll.BDP($I52,$D$3)</f>
        <v>NOV 30</v>
      </c>
      <c r="U52">
        <f t="array" ref="U52">_xll.BDP($I52,P$3)</f>
        <v>69.16</v>
      </c>
      <c r="V52">
        <f t="array" ref="V52">_xll.BDP($I52,Q$3)</f>
        <v>69.16</v>
      </c>
    </row>
    <row r="53" spans="1:45" x14ac:dyDescent="0.35">
      <c r="B53">
        <f t="shared" si="9"/>
        <v>49</v>
      </c>
      <c r="C53" t="str">
        <f t="shared" si="14"/>
        <v>CL49 Comdty</v>
      </c>
      <c r="D53" t="str">
        <f t="array" ref="D53">_xll.BDP($C53,$D$3)</f>
        <v>NOV 30</v>
      </c>
      <c r="E53">
        <f t="array" ref="E53">_xll.BDP($C53,E$3)</f>
        <v>62.74</v>
      </c>
      <c r="F53">
        <f t="array" ref="F53">_xll.BDP($C53,F$3)</f>
        <v>63.370000000000005</v>
      </c>
      <c r="H53" s="87">
        <f t="shared" si="10"/>
        <v>47848</v>
      </c>
      <c r="I53" t="str">
        <f t="shared" si="13"/>
        <v>CO49 Comdty</v>
      </c>
      <c r="J53" t="str">
        <f t="array" ref="J53">_xll.BDP($I53,$D$3)</f>
        <v>DEC 30</v>
      </c>
      <c r="K53">
        <f t="array" ref="K53">_xll.BDP($I53,E$3)</f>
        <v>68.92</v>
      </c>
      <c r="L53">
        <f t="array" ref="L53">_xll.BDP($I53,F$3)</f>
        <v>69.460000000000008</v>
      </c>
      <c r="N53" t="str">
        <f t="shared" si="1"/>
        <v>FSWTM49 Comdty</v>
      </c>
      <c r="O53" t="str">
        <f t="array" ref="O53">_xll.BDP($C53,$D$3)</f>
        <v>NOV 30</v>
      </c>
      <c r="P53">
        <f t="array" ref="P53">_xll.BDP($N53,P$3)</f>
        <v>62.68</v>
      </c>
      <c r="Q53">
        <f t="array" ref="Q53">_xll.BDP($N53,Q$3)</f>
        <v>62.81</v>
      </c>
      <c r="R53">
        <f t="shared" si="3"/>
        <v>45351</v>
      </c>
      <c r="S53" t="str">
        <f t="shared" si="4"/>
        <v>DBR Comdty</v>
      </c>
      <c r="T53" t="str">
        <f t="array" ref="T53">_xll.BDP($I53,$D$3)</f>
        <v>DEC 30</v>
      </c>
      <c r="U53">
        <f t="array" ref="U53">_xll.BDP($I53,P$3)</f>
        <v>68.92</v>
      </c>
      <c r="V53">
        <f t="array" ref="V53">_xll.BDP($I53,Q$3)</f>
        <v>68.92</v>
      </c>
    </row>
    <row r="54" spans="1:45" x14ac:dyDescent="0.35">
      <c r="U54">
        <f>F64</f>
        <v>88</v>
      </c>
      <c r="W54">
        <v>-5.9</v>
      </c>
      <c r="X54">
        <v>-5.75</v>
      </c>
    </row>
    <row r="55" spans="1:45" x14ac:dyDescent="0.35">
      <c r="U55">
        <f>U54+6.71</f>
        <v>94.71</v>
      </c>
      <c r="W55">
        <v>-2.27</v>
      </c>
      <c r="X55">
        <v>-2.37</v>
      </c>
    </row>
    <row r="56" spans="1:45" x14ac:dyDescent="0.35">
      <c r="U56" s="71">
        <v>78.680000000000007</v>
      </c>
      <c r="W56">
        <v>1.25</v>
      </c>
      <c r="X56">
        <v>1.25</v>
      </c>
    </row>
    <row r="57" spans="1:45" x14ac:dyDescent="0.35">
      <c r="I57" t="s">
        <v>332</v>
      </c>
      <c r="K57" t="str">
        <f t="array" ref="K57">_xll.BDP($I57,E$3)</f>
        <v>#N/A Real Time</v>
      </c>
      <c r="L57">
        <f t="array" ref="L57">_xll.BDP($I57,F$3)</f>
        <v>-5.6499899999999998</v>
      </c>
      <c r="U57">
        <f>U56+2.15</f>
        <v>80.830000000000013</v>
      </c>
      <c r="W57">
        <f>SUM(W54:W56)</f>
        <v>-6.92</v>
      </c>
      <c r="X57">
        <f>SUM(X54:X56)</f>
        <v>-6.870000000000001</v>
      </c>
    </row>
    <row r="58" spans="1:45" x14ac:dyDescent="0.35">
      <c r="C58" t="s">
        <v>333</v>
      </c>
      <c r="D58" t="str">
        <f t="array" ref="D58">_xll.BDP($C58,$D$3)</f>
        <v>Apr-Jun 21</v>
      </c>
      <c r="E58" t="str">
        <f t="array" ref="E58">_xll.BDP($C58,E$3)</f>
        <v>#N/A Real Time</v>
      </c>
      <c r="F58">
        <f t="array" ref="F58">_xll.BDP($C58,F$3)</f>
        <v>73.47</v>
      </c>
      <c r="I58" t="s">
        <v>334</v>
      </c>
      <c r="K58" t="str">
        <f t="array" ref="K58">_xll.BDP($I58,E$3)</f>
        <v>#N/A Real Time</v>
      </c>
      <c r="L58" t="str">
        <f t="array" ref="L58">_xll.BDP($I58,F$3)</f>
        <v>#N/A N/A</v>
      </c>
      <c r="O58">
        <f>F65-L65</f>
        <v>-6.4854999999999876</v>
      </c>
      <c r="Q58" s="246">
        <v>0</v>
      </c>
      <c r="R58">
        <v>0.9</v>
      </c>
    </row>
    <row r="59" spans="1:45" x14ac:dyDescent="0.35">
      <c r="I59" t="s">
        <v>335</v>
      </c>
      <c r="K59" t="str">
        <f t="array" ref="K59">_xll.BDP($I59,E$3)</f>
        <v>#N/A Invalid Security</v>
      </c>
      <c r="L59" t="str">
        <f t="array" ref="L59">_xll.BDP($I59,F$3)</f>
        <v>#N/A Invalid Security</v>
      </c>
      <c r="S59" s="71"/>
      <c r="U59">
        <f>U57-U55</f>
        <v>-13.879999999999981</v>
      </c>
      <c r="V59">
        <f>U59*2100</f>
        <v>-29147.99999999996</v>
      </c>
    </row>
    <row r="60" spans="1:45" x14ac:dyDescent="0.35">
      <c r="F60">
        <f>F65-F5</f>
        <v>-4.2099999999999937</v>
      </c>
    </row>
    <row r="61" spans="1:45" x14ac:dyDescent="0.35">
      <c r="C61" s="636" t="s">
        <v>273</v>
      </c>
      <c r="D61" s="636"/>
      <c r="E61" s="636"/>
      <c r="F61" s="636"/>
      <c r="G61" s="247"/>
      <c r="I61" s="589" t="s">
        <v>336</v>
      </c>
      <c r="J61" s="589"/>
      <c r="K61" s="589"/>
      <c r="L61" s="589"/>
      <c r="M61" s="98"/>
      <c r="N61" s="589">
        <v>64</v>
      </c>
      <c r="O61" s="589"/>
      <c r="P61" s="589"/>
      <c r="Q61" s="589"/>
    </row>
    <row r="62" spans="1:45" x14ac:dyDescent="0.35">
      <c r="D62" t="s">
        <v>305</v>
      </c>
      <c r="E62" t="s">
        <v>306</v>
      </c>
      <c r="F62" t="s">
        <v>307</v>
      </c>
      <c r="H62">
        <f>F5-F64</f>
        <v>2.4200000000000017</v>
      </c>
      <c r="J62" t="s">
        <v>305</v>
      </c>
      <c r="K62" t="s">
        <v>306</v>
      </c>
      <c r="L62" t="s">
        <v>307</v>
      </c>
      <c r="P62" t="s">
        <v>305</v>
      </c>
      <c r="Q62" t="s">
        <v>306</v>
      </c>
      <c r="S62" t="s">
        <v>194</v>
      </c>
      <c r="T62" t="s">
        <v>337</v>
      </c>
      <c r="W62" s="589" t="s">
        <v>338</v>
      </c>
      <c r="X62" s="589"/>
      <c r="Y62" s="98"/>
      <c r="AA62" s="589" t="s">
        <v>339</v>
      </c>
      <c r="AB62" s="589"/>
      <c r="AC62" s="589"/>
      <c r="AD62" s="98"/>
      <c r="AE62" s="98" t="s">
        <v>340</v>
      </c>
      <c r="AG62" t="s">
        <v>341</v>
      </c>
      <c r="AN62" t="s">
        <v>342</v>
      </c>
    </row>
    <row r="63" spans="1:45" ht="15" thickBot="1" x14ac:dyDescent="0.4">
      <c r="A63" t="str">
        <f>"FSCLM"&amp;B4&amp;" Index"</f>
        <v>FSCLM0 Index</v>
      </c>
      <c r="B63" s="505">
        <f t="shared" ref="B63:B101" si="15">H63</f>
        <v>46326</v>
      </c>
      <c r="C63" t="str">
        <f>"VH"&amp;B5&amp;" Comdty"</f>
        <v>VH1 Comdty</v>
      </c>
      <c r="D63" s="85" t="str">
        <f t="array" ref="D63">_xll.BDP($C63,$D$3)</f>
        <v>OCT 26</v>
      </c>
      <c r="E63">
        <f t="array" ref="E63">_xll.BDP($A63,E$3)</f>
        <v>92.39</v>
      </c>
      <c r="F63">
        <f t="array" ref="F63">_xll.BDP($C63,F$3)</f>
        <v>89.69</v>
      </c>
      <c r="G63">
        <f>F63-L63</f>
        <v>-8.2064000000000021</v>
      </c>
      <c r="H63" s="87">
        <f>EOMONTH(J63,0)</f>
        <v>46326</v>
      </c>
      <c r="I63" t="str">
        <f t="shared" ref="I63:I101" si="16">"FSCOM"&amp;B4&amp;" Index"</f>
        <v>FSCOM0 Index</v>
      </c>
      <c r="J63" s="85" t="str">
        <f t="array" ref="J63">_xll.BDP($I63,$D$3)</f>
        <v>Oct 26</v>
      </c>
      <c r="K63">
        <f t="array" ref="K63">_xll.BDP($I63,E$3)</f>
        <v>102.31</v>
      </c>
      <c r="L63">
        <f t="array" ref="L63">_xll.BDP($I63,F$3)</f>
        <v>97.8964</v>
      </c>
      <c r="M63" s="84">
        <f t="shared" ref="M63:M101" si="17">L63-L5</f>
        <v>-0.13360000000000127</v>
      </c>
      <c r="N63" s="87">
        <f>EOMONTH(P63,0)</f>
        <v>46326</v>
      </c>
      <c r="O63" t="str">
        <f>"FDBSM"&amp;B4&amp;" Index"</f>
        <v>FDBSM0 Index</v>
      </c>
      <c r="P63" s="85" t="str">
        <f t="array" ref="P63">_xll.BDP($O63,$D$3)</f>
        <v>Oct 26</v>
      </c>
      <c r="Q63">
        <f t="array" ref="Q63">_xll.BDP($O63,E$3)</f>
        <v>13.87</v>
      </c>
      <c r="R63" s="84">
        <f t="array" ref="R63">_xll.BDP($O63,K$1)</f>
        <v>9.01</v>
      </c>
      <c r="S63" s="84">
        <f>IF($Q$58=0,R63+L63,S64+$R$58)</f>
        <v>106.9064</v>
      </c>
      <c r="T63" s="84">
        <f>S63-L5</f>
        <v>8.8764000000000038</v>
      </c>
      <c r="U63" s="87">
        <f>N63</f>
        <v>46326</v>
      </c>
      <c r="V63" t="str">
        <f t="shared" ref="V63:V103" si="18">"AFY"&amp;B5&amp;" Comdty"</f>
        <v>AFY1 Comdty</v>
      </c>
      <c r="W63" s="85" t="str">
        <f t="array" ref="W63">_xll.BDP($V63,$D$3)</f>
        <v>OCT 26</v>
      </c>
      <c r="X63" s="84">
        <f t="array" ref="X63">_xll.BDP($V63,E$3)</f>
        <v>-2.2000000000000002</v>
      </c>
      <c r="Y63" s="84">
        <f t="array" ref="Y63">_xll.BDP($V63,K$1)</f>
        <v>-3.62</v>
      </c>
      <c r="Z63" s="87">
        <f t="shared" ref="Z63:Z100" si="19">U63</f>
        <v>46326</v>
      </c>
      <c r="AA63" t="str">
        <f t="shared" ref="AA63:AA100" si="20">"FVMZM"&amp;B4&amp;" Index"</f>
        <v>FVMZM0 Index</v>
      </c>
      <c r="AB63" t="str">
        <f t="array" ref="AB63">_xll.BDP($AA63,$D$3)</f>
        <v>Oct 26</v>
      </c>
      <c r="AC63">
        <f t="array" ref="AC63">_xll.BDP($AA63,E$3)</f>
        <v>5.84</v>
      </c>
      <c r="AD63">
        <f t="array" ref="AD63">_xll.BDP($AA63,K$1)</f>
        <v>3.48</v>
      </c>
    </row>
    <row r="64" spans="1:45" ht="15" thickBot="1" x14ac:dyDescent="0.4">
      <c r="A64" t="str">
        <f t="shared" ref="A64:A101" si="21">"FSCLM"&amp;B5&amp;" Index"</f>
        <v>FSCLM1 Index</v>
      </c>
      <c r="B64" s="87">
        <f>EOMONTH(B63,1)</f>
        <v>46356</v>
      </c>
      <c r="C64" t="str">
        <f t="shared" ref="C64:C101" si="22">"VH"&amp;B6&amp;" Comdty"</f>
        <v>VH2 Comdty</v>
      </c>
      <c r="D64" s="85" t="str">
        <f t="array" ref="D64">_xll.BDP($C64,$D$3)</f>
        <v>NOV 26</v>
      </c>
      <c r="E64">
        <f t="array" ref="E64">_xll.BDP($A64,E$3)</f>
        <v>90.56</v>
      </c>
      <c r="F64">
        <f t="array" ref="F64">_xll.BDP($C64,F$3)</f>
        <v>88</v>
      </c>
      <c r="G64">
        <f t="shared" ref="G64:G101" si="23">F64-L64</f>
        <v>-6.9832999999999998</v>
      </c>
      <c r="H64" s="87">
        <f>EOMONTH(H63,1)</f>
        <v>46356</v>
      </c>
      <c r="I64" t="str">
        <f t="shared" si="16"/>
        <v>FSCOM1 Index</v>
      </c>
      <c r="J64" s="85" t="str">
        <f t="array" ref="J64">_xll.BDP($I64,$D$3)</f>
        <v>Nov 26</v>
      </c>
      <c r="K64">
        <f t="array" ref="K64">_xll.BDP($I64,E$3)</f>
        <v>98.46</v>
      </c>
      <c r="L64">
        <f t="array" ref="L64">_xll.BDP($I64,F$3)</f>
        <v>94.9833</v>
      </c>
      <c r="M64" s="84">
        <f t="shared" si="17"/>
        <v>-0.10670000000000357</v>
      </c>
      <c r="N64" s="87">
        <f t="shared" ref="N64:N100" si="24">EOMONTH(N63,1)</f>
        <v>46356</v>
      </c>
      <c r="O64" t="str">
        <f t="shared" ref="O64:O100" si="25">"FDBSM"&amp;B5&amp;" Index"</f>
        <v>FDBSM1 Index</v>
      </c>
      <c r="P64" s="85" t="str">
        <f t="array" ref="P64">_xll.BDP($O64,$D$3)</f>
        <v>Nov 26</v>
      </c>
      <c r="Q64">
        <f t="array" ref="Q64">_xll.BDP($O64,E$3)</f>
        <v>5.32</v>
      </c>
      <c r="R64" s="84">
        <f t="array" ref="R64">_xll.BDP($O64,K$1)</f>
        <v>3.33</v>
      </c>
      <c r="S64" s="84">
        <f t="shared" ref="S64:S65" si="26">R64+L64</f>
        <v>98.313299999999998</v>
      </c>
      <c r="T64" s="84">
        <f t="shared" ref="T64:T65" si="27">S64-L6</f>
        <v>3.2232999999999947</v>
      </c>
      <c r="U64" s="87">
        <f>EOMONTH(U63,1)</f>
        <v>46356</v>
      </c>
      <c r="V64" t="str">
        <f t="shared" si="18"/>
        <v>AFY2 Comdty</v>
      </c>
      <c r="W64" s="85" t="str">
        <f t="array" ref="W64">_xll.BDP($V64,$D$3)</f>
        <v>NOV 26</v>
      </c>
      <c r="X64" s="84">
        <f t="array" ref="X64">_xll.BDP($V64,E$3)</f>
        <v>0.11700000000000001</v>
      </c>
      <c r="Y64" s="84">
        <f t="array" ref="Y64">_xll.BDP($V64,K$1)</f>
        <v>-0.18</v>
      </c>
      <c r="Z64" s="87">
        <f t="shared" si="19"/>
        <v>46356</v>
      </c>
      <c r="AA64" t="str">
        <f t="shared" si="20"/>
        <v>FVMZM1 Index</v>
      </c>
      <c r="AB64" t="str">
        <f t="array" ref="AB64">_xll.BDP($AA64,$D$3)</f>
        <v>Nov 26</v>
      </c>
      <c r="AC64">
        <f t="array" ref="AC64">_xll.BDP($AA64,E$3)</f>
        <v>1.97</v>
      </c>
      <c r="AD64">
        <f t="array" ref="AD64">_xll.BDP($AA64,K$1)</f>
        <v>-1.1499999999999999</v>
      </c>
      <c r="AE64" s="70">
        <f>H5</f>
        <v>46387</v>
      </c>
      <c r="AF64" s="87" t="str">
        <f t="array" ref="AF64">_xll.BDP($AG64,$D$3)</f>
        <v>DEC 26</v>
      </c>
      <c r="AG64" t="str">
        <f t="shared" ref="AG64:AG100" si="28">"MUC"&amp;B5&amp;" Comdty"</f>
        <v>MUC1 Comdty</v>
      </c>
      <c r="AH64">
        <f t="array" ref="AH64">_xll.BDP($AG64,F$3)</f>
        <v>102.25</v>
      </c>
      <c r="AI64">
        <f>INDEX($I$62:$L$100,MATCH($AF64,$J$62:$J$100,0),MATCH("Settle",$I$62:$L$62,0))</f>
        <v>92.695499999999996</v>
      </c>
      <c r="AJ64">
        <f t="shared" ref="AJ64:AJ100" si="29">AH64-AI64</f>
        <v>9.5545000000000044</v>
      </c>
      <c r="AL64" s="87">
        <f>AE64</f>
        <v>46387</v>
      </c>
      <c r="AM64" s="87" t="str">
        <f t="array" ref="AM64">_xll.BDP($AN64,$D$3)</f>
        <v>DEC 26</v>
      </c>
      <c r="AN64" t="str">
        <f t="shared" ref="AN64:AN100" si="30">"OQA"&amp;B5&amp;" Comdty"</f>
        <v>OQA1 Comdty</v>
      </c>
      <c r="AO64">
        <f t="array" ref="AO64">_xll.BDP($AN64,F$3)</f>
        <v>107.48</v>
      </c>
      <c r="AP64">
        <f>INDEX($I$62:$L$100,MATCH($AM64,$J$62:$J$100,0),MATCH("Settle",$I$62:$L$62,0))</f>
        <v>92.695499999999996</v>
      </c>
      <c r="AQ64">
        <f t="shared" ref="AQ64:AQ100" si="31">AO64-AP64</f>
        <v>14.784500000000008</v>
      </c>
      <c r="AS64">
        <f>AQ64-AJ64</f>
        <v>5.230000000000004</v>
      </c>
    </row>
    <row r="65" spans="1:45" x14ac:dyDescent="0.35">
      <c r="A65" t="str">
        <f t="shared" si="21"/>
        <v>FSCLM2 Index</v>
      </c>
      <c r="B65" s="87">
        <f t="shared" ref="B65:B101" si="32">EOMONTH(B64,1)</f>
        <v>46387</v>
      </c>
      <c r="C65" t="str">
        <f t="shared" si="22"/>
        <v>VH3 Comdty</v>
      </c>
      <c r="D65" s="85" t="str">
        <f t="array" ref="D65">_xll.BDP($C65,$D$3)</f>
        <v>DEC 26</v>
      </c>
      <c r="E65">
        <f t="array" ref="E65">_xll.BDP($A65,E$3)</f>
        <v>88.3</v>
      </c>
      <c r="F65">
        <f t="array" ref="F65">_xll.BDP($C65,F$3)</f>
        <v>86.210000000000008</v>
      </c>
      <c r="G65">
        <f t="shared" si="23"/>
        <v>-6.4854999999999876</v>
      </c>
      <c r="H65" s="87">
        <f t="shared" ref="H65:H101" si="33">EOMONTH(H64,1)</f>
        <v>46387</v>
      </c>
      <c r="I65" t="str">
        <f t="shared" si="16"/>
        <v>FSCOM2 Index</v>
      </c>
      <c r="J65" s="85" t="str">
        <f t="array" ref="J65">_xll.BDP($I65,$D$3)</f>
        <v>Dec 26</v>
      </c>
      <c r="K65">
        <f t="array" ref="K65">_xll.BDP($I65,E$3)</f>
        <v>95.32</v>
      </c>
      <c r="L65">
        <f t="array" ref="L65">_xll.BDP($I65,F$3)</f>
        <v>92.695499999999996</v>
      </c>
      <c r="M65" s="84">
        <f>L65-L7</f>
        <v>-0.15450000000001296</v>
      </c>
      <c r="N65" s="87">
        <f t="shared" si="24"/>
        <v>46387</v>
      </c>
      <c r="O65" t="str">
        <f t="shared" si="25"/>
        <v>FDBSM2 Index</v>
      </c>
      <c r="P65" s="85" t="str">
        <f t="array" ref="P65">_xll.BDP($O65,$D$3)</f>
        <v>Dec 26</v>
      </c>
      <c r="Q65">
        <f t="array" ref="Q65">_xll.BDP($O65,E$3)</f>
        <v>3.95</v>
      </c>
      <c r="R65" s="84">
        <f t="array" ref="R65">_xll.BDP($O65,K$1)</f>
        <v>2.61</v>
      </c>
      <c r="S65" s="84">
        <f t="shared" si="26"/>
        <v>95.305499999999995</v>
      </c>
      <c r="T65" s="84">
        <f t="shared" si="27"/>
        <v>2.4554999999999865</v>
      </c>
      <c r="U65" s="87">
        <f t="shared" ref="U65:U103" si="34">EOMONTH(U64,1)</f>
        <v>46387</v>
      </c>
      <c r="V65" t="str">
        <f t="shared" si="18"/>
        <v>AFY3 Comdty</v>
      </c>
      <c r="W65" s="85" t="str">
        <f t="array" ref="W65">_xll.BDP($V65,$D$3)</f>
        <v>DEC 26</v>
      </c>
      <c r="X65" s="84">
        <f t="array" ref="X65">_xll.BDP($V65,E$3)</f>
        <v>0.60699999999999998</v>
      </c>
      <c r="Y65" s="84">
        <f t="array" ref="Y65">_xll.BDP($V65,K$1)</f>
        <v>0.47</v>
      </c>
      <c r="Z65" s="87">
        <f t="shared" si="19"/>
        <v>46387</v>
      </c>
      <c r="AA65" t="str">
        <f t="shared" si="20"/>
        <v>FVMZM2 Index</v>
      </c>
      <c r="AB65" t="str">
        <f t="array" ref="AB65">_xll.BDP($AA65,$D$3)</f>
        <v>Dec 26</v>
      </c>
      <c r="AC65">
        <f t="array" ref="AC65">_xll.BDP($AA65,E$3)</f>
        <v>2.2400000000000002</v>
      </c>
      <c r="AD65">
        <f t="array" ref="AD65">_xll.BDP($AA65,K$1)</f>
        <v>-1.73</v>
      </c>
      <c r="AE65" s="87">
        <f t="shared" ref="AE65:AE100" si="35">EOMONTH(AE64,1)</f>
        <v>46418</v>
      </c>
      <c r="AF65" s="87" t="str">
        <f t="array" ref="AF65">_xll.BDP($AG65,$D$3)</f>
        <v>JAN 27</v>
      </c>
      <c r="AG65" t="str">
        <f t="shared" si="28"/>
        <v>MUC2 Comdty</v>
      </c>
      <c r="AH65">
        <f t="array" ref="AH65">_xll.BDP($AG65,F$3)</f>
        <v>94.52</v>
      </c>
      <c r="AI65">
        <f t="shared" ref="AI65:AI99" si="36">INDEX($I$62:$L$100,MATCH($AF65,$J$62:$J$100,0),MATCH("Settle",$I$62:$L$62,0))</f>
        <v>91.075999999999993</v>
      </c>
      <c r="AJ65">
        <f t="shared" si="29"/>
        <v>3.4440000000000026</v>
      </c>
      <c r="AL65" s="87">
        <f t="shared" ref="AL65:AL100" si="37">EOMONTH(AL64,1)</f>
        <v>46418</v>
      </c>
      <c r="AM65" s="87" t="str">
        <f t="array" ref="AM65">_xll.BDP($AN65,$D$3)</f>
        <v>JAN 27</v>
      </c>
      <c r="AN65" t="str">
        <f t="shared" si="30"/>
        <v>OQA2 Comdty</v>
      </c>
      <c r="AO65">
        <f t="array" ref="AO65">_xll.BDP($AN65,F$3)</f>
        <v>100.97</v>
      </c>
      <c r="AP65">
        <f t="shared" ref="AP65:AP100" si="38">INDEX($I$62:$L$100,MATCH($AM65,$J$62:$J$100,0),MATCH("Settle",$I$62:$L$62,0))</f>
        <v>91.075999999999993</v>
      </c>
      <c r="AQ65">
        <f t="shared" si="31"/>
        <v>9.8940000000000055</v>
      </c>
      <c r="AS65">
        <f t="shared" ref="AS65:AS99" si="39">AQ65-AJ65</f>
        <v>6.4500000000000028</v>
      </c>
    </row>
    <row r="66" spans="1:45" x14ac:dyDescent="0.35">
      <c r="A66" t="str">
        <f t="shared" si="21"/>
        <v>FSCLM3 Index</v>
      </c>
      <c r="B66" s="87">
        <f t="shared" si="32"/>
        <v>46418</v>
      </c>
      <c r="C66" t="str">
        <f t="shared" si="22"/>
        <v>VH4 Comdty</v>
      </c>
      <c r="D66" s="85" t="str">
        <f t="array" ref="D66">_xll.BDP($C66,$D$3)</f>
        <v>JAN 27</v>
      </c>
      <c r="E66">
        <f t="array" ref="E66">_xll.BDP($A66,E$3)</f>
        <v>86.13</v>
      </c>
      <c r="F66">
        <f t="array" ref="F66">_xll.BDP($C66,F$3)</f>
        <v>84.59</v>
      </c>
      <c r="G66">
        <f t="shared" si="23"/>
        <v>-6.48599999999999</v>
      </c>
      <c r="H66" s="87">
        <f t="shared" si="33"/>
        <v>46418</v>
      </c>
      <c r="I66" t="str">
        <f t="shared" si="16"/>
        <v>FSCOM3 Index</v>
      </c>
      <c r="J66" s="85" t="str">
        <f t="array" ref="J66">_xll.BDP($I66,$D$3)</f>
        <v>Jan 27</v>
      </c>
      <c r="K66">
        <f t="array" ref="K66">_xll.BDP($I66,E$3)</f>
        <v>93.12</v>
      </c>
      <c r="L66">
        <f t="array" ref="L66">_xll.BDP($I66,F$3)</f>
        <v>91.075999999999993</v>
      </c>
      <c r="M66" s="84">
        <f t="shared" si="17"/>
        <v>-7.4000000000012278E-2</v>
      </c>
      <c r="N66" s="87">
        <f t="shared" si="24"/>
        <v>46418</v>
      </c>
      <c r="O66" t="str">
        <f t="shared" si="25"/>
        <v>FDBSM3 Index</v>
      </c>
      <c r="P66" s="85" t="str">
        <f t="array" ref="P66">_xll.BDP($O66,$D$3)</f>
        <v>Jan 27</v>
      </c>
      <c r="Q66">
        <f t="array" ref="Q66">_xll.BDP($O66,E$3)</f>
        <v>3.16</v>
      </c>
      <c r="R66" s="84">
        <f t="array" ref="R66">_xll.BDP($O66,K$1)</f>
        <v>2.0299999999999998</v>
      </c>
      <c r="S66" s="84">
        <f t="shared" ref="S66:S100" si="40">R66+L66</f>
        <v>93.105999999999995</v>
      </c>
      <c r="T66" s="84">
        <f t="shared" ref="T66:T100" si="41">S66-L8</f>
        <v>1.9559999999999889</v>
      </c>
      <c r="U66" s="87">
        <f t="shared" si="34"/>
        <v>46418</v>
      </c>
      <c r="V66" t="str">
        <f t="shared" si="18"/>
        <v>AFY4 Comdty</v>
      </c>
      <c r="W66" s="85" t="str">
        <f t="array" ref="W66">_xll.BDP($V66,$D$3)</f>
        <v>JAN 27</v>
      </c>
      <c r="X66" s="84">
        <f t="array" ref="X66">_xll.BDP($V66,E$3)</f>
        <v>0.52700000000000002</v>
      </c>
      <c r="Y66" s="84">
        <f t="array" ref="Y66">_xll.BDP($V66,K$1)</f>
        <v>0.67500000000000004</v>
      </c>
      <c r="Z66" s="87">
        <f t="shared" si="19"/>
        <v>46418</v>
      </c>
      <c r="AA66" t="str">
        <f t="shared" si="20"/>
        <v>FVMZM3 Index</v>
      </c>
      <c r="AB66" t="str">
        <f t="array" ref="AB66">_xll.BDP($AA66,$D$3)</f>
        <v>Jan 27</v>
      </c>
      <c r="AC66">
        <f t="array" ref="AC66">_xll.BDP($AA66,E$3)</f>
        <v>2.06</v>
      </c>
      <c r="AD66">
        <f t="array" ref="AD66">_xll.BDP($AA66,K$1)</f>
        <v>-2.44</v>
      </c>
      <c r="AE66" s="87">
        <f t="shared" si="35"/>
        <v>46446</v>
      </c>
      <c r="AF66" s="87" t="str">
        <f t="array" ref="AF66">_xll.BDP($AG66,$D$3)</f>
        <v>FEB 27</v>
      </c>
      <c r="AG66" t="str">
        <f t="shared" si="28"/>
        <v>MUC3 Comdty</v>
      </c>
      <c r="AH66">
        <f t="array" ref="AH66">_xll.BDP($AG66,F$3)</f>
        <v>91.79</v>
      </c>
      <c r="AI66">
        <f t="shared" si="36"/>
        <v>89.603499999999997</v>
      </c>
      <c r="AJ66">
        <f t="shared" si="29"/>
        <v>2.1865000000000094</v>
      </c>
      <c r="AL66" s="87">
        <f t="shared" si="37"/>
        <v>46446</v>
      </c>
      <c r="AM66" s="87" t="str">
        <f t="array" ref="AM66">_xll.BDP($AN66,$D$3)</f>
        <v>FEB 27</v>
      </c>
      <c r="AN66" t="str">
        <f t="shared" si="30"/>
        <v>OQA3 Comdty</v>
      </c>
      <c r="AO66">
        <f t="array" ref="AO66">_xll.BDP($AN66,F$3)</f>
        <v>97.97</v>
      </c>
      <c r="AP66">
        <f t="shared" si="38"/>
        <v>89.603499999999997</v>
      </c>
      <c r="AQ66">
        <f t="shared" si="31"/>
        <v>8.366500000000002</v>
      </c>
      <c r="AS66">
        <f t="shared" si="39"/>
        <v>6.1799999999999926</v>
      </c>
    </row>
    <row r="67" spans="1:45" x14ac:dyDescent="0.35">
      <c r="A67" t="str">
        <f t="shared" si="21"/>
        <v>FSCLM4 Index</v>
      </c>
      <c r="B67" s="87">
        <f t="shared" si="32"/>
        <v>46446</v>
      </c>
      <c r="C67" t="str">
        <f t="shared" si="22"/>
        <v>VH5 Comdty</v>
      </c>
      <c r="D67" s="85" t="str">
        <f t="array" ref="D67">_xll.BDP($C67,$D$3)</f>
        <v>FEB 27</v>
      </c>
      <c r="E67">
        <f t="array" ref="E67">_xll.BDP($A67,E$3)</f>
        <v>84.57</v>
      </c>
      <c r="F67">
        <f t="array" ref="F67">_xll.BDP($C67,F$3)</f>
        <v>83.44</v>
      </c>
      <c r="G67">
        <f t="shared" si="23"/>
        <v>-6.1634999999999991</v>
      </c>
      <c r="H67" s="87">
        <f t="shared" si="33"/>
        <v>46446</v>
      </c>
      <c r="I67" t="str">
        <f t="shared" si="16"/>
        <v>FSCOM4 Index</v>
      </c>
      <c r="J67" s="85" t="str">
        <f t="array" ref="J67">_xll.BDP($I67,$D$3)</f>
        <v>Feb 27</v>
      </c>
      <c r="K67">
        <f t="array" ref="K67">_xll.BDP($I67,E$3)</f>
        <v>91.21</v>
      </c>
      <c r="L67">
        <f t="array" ref="L67">_xll.BDP($I67,F$3)</f>
        <v>89.603499999999997</v>
      </c>
      <c r="M67" s="84">
        <f t="shared" si="17"/>
        <v>-6.6500000000004889E-2</v>
      </c>
      <c r="N67" s="87">
        <f t="shared" si="24"/>
        <v>46446</v>
      </c>
      <c r="O67" t="str">
        <f t="shared" si="25"/>
        <v>FDBSM4 Index</v>
      </c>
      <c r="P67" s="85" t="str">
        <f t="array" ref="P67">_xll.BDP($O67,$D$3)</f>
        <v>Feb 27</v>
      </c>
      <c r="Q67">
        <f t="array" ref="Q67">_xll.BDP($O67,E$3)</f>
        <v>2.77</v>
      </c>
      <c r="R67" s="84">
        <f t="array" ref="R67">_xll.BDP($O67,K$1)</f>
        <v>1.85</v>
      </c>
      <c r="S67" s="84">
        <f t="shared" si="40"/>
        <v>91.453499999999991</v>
      </c>
      <c r="T67" s="84">
        <f t="shared" si="41"/>
        <v>1.7834999999999894</v>
      </c>
      <c r="U67" s="87">
        <f t="shared" si="34"/>
        <v>46446</v>
      </c>
      <c r="V67" t="str">
        <f t="shared" si="18"/>
        <v>AFY5 Comdty</v>
      </c>
      <c r="W67" s="85" t="str">
        <f t="array" ref="W67">_xll.BDP($V67,$D$3)</f>
        <v>FEB 27</v>
      </c>
      <c r="X67" s="84">
        <f t="array" ref="X67">_xll.BDP($V67,E$3)</f>
        <v>0.47799999999999998</v>
      </c>
      <c r="Y67" s="84">
        <f t="array" ref="Y67">_xll.BDP($V67,K$1)</f>
        <v>0.79100000000000004</v>
      </c>
      <c r="Z67" s="87">
        <f t="shared" si="19"/>
        <v>46446</v>
      </c>
      <c r="AA67" t="str">
        <f t="shared" si="20"/>
        <v>FVMZM4 Index</v>
      </c>
      <c r="AB67" t="str">
        <f t="array" ref="AB67">_xll.BDP($AA67,$D$3)</f>
        <v>Feb 27</v>
      </c>
      <c r="AC67">
        <f t="array" ref="AC67">_xll.BDP($AA67,E$3)</f>
        <v>-12.39</v>
      </c>
      <c r="AD67">
        <f t="array" ref="AD67">_xll.BDP($AA67,K$1)</f>
        <v>-18.39</v>
      </c>
      <c r="AE67" s="87">
        <f t="shared" si="35"/>
        <v>46477</v>
      </c>
      <c r="AF67" s="87" t="str">
        <f t="array" ref="AF67">_xll.BDP($AG67,$D$3)</f>
        <v>MAR 27</v>
      </c>
      <c r="AG67" t="str">
        <f t="shared" si="28"/>
        <v>MUC4 Comdty</v>
      </c>
      <c r="AH67">
        <f t="array" ref="AH67">_xll.BDP($AG67,F$3)</f>
        <v>89.29</v>
      </c>
      <c r="AI67">
        <f t="shared" si="36"/>
        <v>88.283199999999994</v>
      </c>
      <c r="AJ67">
        <f t="shared" si="29"/>
        <v>1.0068000000000126</v>
      </c>
      <c r="AL67" s="87">
        <f t="shared" si="37"/>
        <v>46477</v>
      </c>
      <c r="AM67" s="87" t="str">
        <f t="array" ref="AM67">_xll.BDP($AN67,$D$3)</f>
        <v>MAR 27</v>
      </c>
      <c r="AN67" t="str">
        <f t="shared" si="30"/>
        <v>OQA4 Comdty</v>
      </c>
      <c r="AO67">
        <f t="array" ref="AO67">_xll.BDP($AN67,F$3)</f>
        <v>96.27</v>
      </c>
      <c r="AP67">
        <f t="shared" si="38"/>
        <v>88.283199999999994</v>
      </c>
      <c r="AQ67">
        <f t="shared" si="31"/>
        <v>7.9868000000000023</v>
      </c>
      <c r="AS67">
        <f t="shared" si="39"/>
        <v>6.9799999999999898</v>
      </c>
    </row>
    <row r="68" spans="1:45" x14ac:dyDescent="0.35">
      <c r="A68" t="str">
        <f t="shared" si="21"/>
        <v>FSCLM5 Index</v>
      </c>
      <c r="B68" s="87">
        <f t="shared" si="32"/>
        <v>46477</v>
      </c>
      <c r="C68" t="str">
        <f t="shared" si="22"/>
        <v>VH6 Comdty</v>
      </c>
      <c r="D68" s="85" t="str">
        <f t="array" ref="D68">_xll.BDP($C68,$D$3)</f>
        <v>MAR 27</v>
      </c>
      <c r="E68">
        <f t="array" ref="E68">_xll.BDP($A68,E$3)</f>
        <v>82.89</v>
      </c>
      <c r="F68">
        <f t="array" ref="F68">_xll.BDP($C68,F$3)</f>
        <v>82.14</v>
      </c>
      <c r="G68">
        <f t="shared" si="23"/>
        <v>-6.1431999999999931</v>
      </c>
      <c r="H68" s="87">
        <f t="shared" si="33"/>
        <v>46477</v>
      </c>
      <c r="I68" t="str">
        <f t="shared" si="16"/>
        <v>FSCOM5 Index</v>
      </c>
      <c r="J68" s="85" t="str">
        <f t="array" ref="J68">_xll.BDP($I68,$D$3)</f>
        <v>Mar 27</v>
      </c>
      <c r="K68">
        <f t="array" ref="K68">_xll.BDP($I68,E$3)</f>
        <v>89.53</v>
      </c>
      <c r="L68">
        <f t="array" ref="L68">_xll.BDP($I68,F$3)</f>
        <v>88.283199999999994</v>
      </c>
      <c r="M68" s="84">
        <f t="shared" si="17"/>
        <v>-5.6800000000009732E-2</v>
      </c>
      <c r="N68" s="87">
        <f t="shared" si="24"/>
        <v>46477</v>
      </c>
      <c r="O68" t="str">
        <f t="shared" si="25"/>
        <v>FDBSM5 Index</v>
      </c>
      <c r="P68" s="85" t="str">
        <f t="array" ref="P68">_xll.BDP($O68,$D$3)</f>
        <v>Mar 27</v>
      </c>
      <c r="Q68">
        <f t="array" ref="Q68">_xll.BDP($O68,E$3)</f>
        <v>2.5099999999999998</v>
      </c>
      <c r="R68" s="84">
        <f t="array" ref="R68">_xll.BDP($O68,K$1)</f>
        <v>1.71</v>
      </c>
      <c r="S68" s="84">
        <f t="shared" si="40"/>
        <v>89.993199999999987</v>
      </c>
      <c r="T68" s="84">
        <f t="shared" si="41"/>
        <v>1.653199999999984</v>
      </c>
      <c r="U68" s="87">
        <f t="shared" si="34"/>
        <v>46477</v>
      </c>
      <c r="V68" t="str">
        <f t="shared" si="18"/>
        <v>AFY6 Comdty</v>
      </c>
      <c r="W68" s="85" t="str">
        <f t="array" ref="W68">_xll.BDP($V68,$D$3)</f>
        <v>MAR 27</v>
      </c>
      <c r="X68" s="84">
        <f t="array" ref="X68">_xll.BDP($V68,E$3)</f>
        <v>0.437</v>
      </c>
      <c r="Y68" s="84">
        <f t="array" ref="Y68">_xll.BDP($V68,K$1)</f>
        <v>0.82099999999999995</v>
      </c>
      <c r="Z68" s="87">
        <f t="shared" si="19"/>
        <v>46477</v>
      </c>
      <c r="AA68" t="str">
        <f t="shared" si="20"/>
        <v>FVMZM5 Index</v>
      </c>
      <c r="AB68" t="str">
        <f t="array" ref="AB68">_xll.BDP($AA68,$D$3)</f>
        <v>Mar 27</v>
      </c>
      <c r="AC68">
        <f t="array" ref="AC68">_xll.BDP($AA68,E$3)</f>
        <v>-11.22</v>
      </c>
      <c r="AD68">
        <f t="array" ref="AD68">_xll.BDP($AA68,K$1)</f>
        <v>-17.559999999999999</v>
      </c>
      <c r="AE68" s="87">
        <f t="shared" si="35"/>
        <v>46507</v>
      </c>
      <c r="AF68" s="87" t="str">
        <f t="array" ref="AF68">_xll.BDP($AG68,$D$3)</f>
        <v>APR 27</v>
      </c>
      <c r="AG68" t="str">
        <f t="shared" si="28"/>
        <v>MUC5 Comdty</v>
      </c>
      <c r="AH68" t="str">
        <f t="array" ref="AH68">_xll.BDP($AG68,F$3)</f>
        <v>#N/A N/A</v>
      </c>
      <c r="AI68">
        <f t="shared" si="36"/>
        <v>87.0364</v>
      </c>
      <c r="AJ68" t="e">
        <f t="shared" si="29"/>
        <v>#VALUE!</v>
      </c>
      <c r="AL68" s="87">
        <f t="shared" si="37"/>
        <v>46507</v>
      </c>
      <c r="AM68" s="87" t="str">
        <f t="array" ref="AM68">_xll.BDP($AN68,$D$3)</f>
        <v>APR 27</v>
      </c>
      <c r="AN68" t="str">
        <f t="shared" si="30"/>
        <v>OQA5 Comdty</v>
      </c>
      <c r="AO68">
        <f t="array" ref="AO68">_xll.BDP($AN68,F$3)</f>
        <v>94.79</v>
      </c>
      <c r="AP68">
        <f t="shared" si="38"/>
        <v>87.0364</v>
      </c>
      <c r="AQ68">
        <f t="shared" si="31"/>
        <v>7.7536000000000058</v>
      </c>
      <c r="AS68" t="e">
        <f t="shared" si="39"/>
        <v>#VALUE!</v>
      </c>
    </row>
    <row r="69" spans="1:45" x14ac:dyDescent="0.35">
      <c r="A69" t="str">
        <f t="shared" si="21"/>
        <v>FSCLM6 Index</v>
      </c>
      <c r="B69" s="87">
        <f t="shared" si="32"/>
        <v>46507</v>
      </c>
      <c r="C69" t="str">
        <f t="shared" si="22"/>
        <v>VH7 Comdty</v>
      </c>
      <c r="D69" s="85" t="str">
        <f t="array" ref="D69">_xll.BDP($C69,$D$3)</f>
        <v>APR 27</v>
      </c>
      <c r="E69">
        <f t="array" ref="E69">_xll.BDP($A69,E$3)</f>
        <v>81.430000000000007</v>
      </c>
      <c r="F69">
        <f t="array" ref="F69">_xll.BDP($C69,F$3)</f>
        <v>80.94</v>
      </c>
      <c r="G69">
        <f t="shared" si="23"/>
        <v>-6.0964000000000027</v>
      </c>
      <c r="H69" s="87">
        <f t="shared" si="33"/>
        <v>46507</v>
      </c>
      <c r="I69" t="str">
        <f t="shared" si="16"/>
        <v>FSCOM6 Index</v>
      </c>
      <c r="J69" s="85" t="str">
        <f t="array" ref="J69">_xll.BDP($I69,$D$3)</f>
        <v>Apr 27</v>
      </c>
      <c r="K69">
        <f t="array" ref="K69">_xll.BDP($I69,E$3)</f>
        <v>88.01</v>
      </c>
      <c r="L69">
        <f t="array" ref="L69">_xll.BDP($I69,F$3)</f>
        <v>87.0364</v>
      </c>
      <c r="M69" s="84">
        <f t="shared" si="17"/>
        <v>-5.3600000000002979E-2</v>
      </c>
      <c r="N69" s="87">
        <f t="shared" si="24"/>
        <v>46507</v>
      </c>
      <c r="O69" t="str">
        <f t="shared" si="25"/>
        <v>FDBSM6 Index</v>
      </c>
      <c r="P69" s="85" t="str">
        <f t="array" ref="P69">_xll.BDP($O69,$D$3)</f>
        <v>Apr 27</v>
      </c>
      <c r="Q69">
        <f t="array" ref="Q69">_xll.BDP($O69,E$3)</f>
        <v>2.25</v>
      </c>
      <c r="R69" s="84">
        <f t="array" ref="R69">_xll.BDP($O69,K$1)</f>
        <v>1.59</v>
      </c>
      <c r="S69" s="84">
        <f t="shared" si="40"/>
        <v>88.626400000000004</v>
      </c>
      <c r="T69" s="84">
        <f t="shared" si="41"/>
        <v>1.5364000000000004</v>
      </c>
      <c r="U69" s="87">
        <f t="shared" si="34"/>
        <v>46507</v>
      </c>
      <c r="V69" t="str">
        <f t="shared" si="18"/>
        <v>AFY7 Comdty</v>
      </c>
      <c r="W69" s="85" t="str">
        <f t="array" ref="W69">_xll.BDP($V69,$D$3)</f>
        <v>APR 27</v>
      </c>
      <c r="X69" s="84">
        <f t="array" ref="X69">_xll.BDP($V69,E$3)</f>
        <v>0.35699999999999998</v>
      </c>
      <c r="Y69" s="84">
        <f t="array" ref="Y69">_xll.BDP($V69,K$1)</f>
        <v>0.77100000000000002</v>
      </c>
      <c r="Z69" s="87">
        <f t="shared" si="19"/>
        <v>46507</v>
      </c>
      <c r="AA69" t="str">
        <f t="shared" si="20"/>
        <v>FVMZM6 Index</v>
      </c>
      <c r="AB69" t="str">
        <f t="array" ref="AB69">_xll.BDP($AA69,$D$3)</f>
        <v>Apr 27</v>
      </c>
      <c r="AC69">
        <f t="array" ref="AC69">_xll.BDP($AA69,E$3)</f>
        <v>-10.35</v>
      </c>
      <c r="AD69">
        <f t="array" ref="AD69">_xll.BDP($AA69,K$1)</f>
        <v>-16.95</v>
      </c>
      <c r="AE69" s="87">
        <f t="shared" si="35"/>
        <v>46538</v>
      </c>
      <c r="AF69" s="87" t="str">
        <f t="array" ref="AF69">_xll.BDP($AG69,$D$3)</f>
        <v>MAY 27</v>
      </c>
      <c r="AG69" t="str">
        <f t="shared" si="28"/>
        <v>MUC6 Comdty</v>
      </c>
      <c r="AH69" t="str">
        <f t="array" ref="AH69">_xll.BDP($AG69,F$3)</f>
        <v>#N/A N/A</v>
      </c>
      <c r="AI69">
        <f t="shared" si="36"/>
        <v>85.805199999999999</v>
      </c>
      <c r="AJ69" t="e">
        <f t="shared" si="29"/>
        <v>#VALUE!</v>
      </c>
      <c r="AL69" s="87">
        <f t="shared" si="37"/>
        <v>46538</v>
      </c>
      <c r="AM69" s="87" t="str">
        <f t="array" ref="AM69">_xll.BDP($AN69,$D$3)</f>
        <v>MAY 27</v>
      </c>
      <c r="AN69" t="str">
        <f t="shared" si="30"/>
        <v>OQA6 Comdty</v>
      </c>
      <c r="AO69">
        <f t="array" ref="AO69">_xll.BDP($AN69,F$3)</f>
        <v>93.460000000000008</v>
      </c>
      <c r="AP69">
        <f t="shared" si="38"/>
        <v>85.805199999999999</v>
      </c>
      <c r="AQ69">
        <f t="shared" si="31"/>
        <v>7.6548000000000087</v>
      </c>
      <c r="AS69" t="e">
        <f t="shared" si="39"/>
        <v>#VALUE!</v>
      </c>
    </row>
    <row r="70" spans="1:45" x14ac:dyDescent="0.35">
      <c r="A70" t="str">
        <f t="shared" si="21"/>
        <v>FSCLM7 Index</v>
      </c>
      <c r="B70" s="87">
        <f t="shared" si="32"/>
        <v>46538</v>
      </c>
      <c r="C70" t="str">
        <f t="shared" si="22"/>
        <v>VH8 Comdty</v>
      </c>
      <c r="D70" s="85" t="str">
        <f t="array" ref="D70">_xll.BDP($C70,$D$3)</f>
        <v>MAY 27</v>
      </c>
      <c r="E70">
        <f t="array" ref="E70">_xll.BDP($A70,E$3)</f>
        <v>80.319999999999993</v>
      </c>
      <c r="F70">
        <f t="array" ref="F70">_xll.BDP($C70,F$3)</f>
        <v>79.989999999999995</v>
      </c>
      <c r="G70">
        <f t="shared" si="23"/>
        <v>-5.8152000000000044</v>
      </c>
      <c r="H70" s="87">
        <f t="shared" si="33"/>
        <v>46538</v>
      </c>
      <c r="I70" t="str">
        <f t="shared" si="16"/>
        <v>FSCOM7 Index</v>
      </c>
      <c r="J70" s="85" t="str">
        <f t="array" ref="J70">_xll.BDP($I70,$D$3)</f>
        <v>May 27</v>
      </c>
      <c r="K70">
        <f t="array" ref="K70">_xll.BDP($I70,E$3)</f>
        <v>86.57</v>
      </c>
      <c r="L70">
        <f t="array" ref="L70">_xll.BDP($I70,F$3)</f>
        <v>85.805199999999999</v>
      </c>
      <c r="M70" s="84">
        <f t="shared" si="17"/>
        <v>-0.10479999999999734</v>
      </c>
      <c r="N70" s="87">
        <f t="shared" si="24"/>
        <v>46538</v>
      </c>
      <c r="O70" t="str">
        <f t="shared" si="25"/>
        <v>FDBSM7 Index</v>
      </c>
      <c r="P70" s="85" t="str">
        <f t="array" ref="P70">_xll.BDP($O70,$D$3)</f>
        <v>May 27</v>
      </c>
      <c r="Q70">
        <f t="array" ref="Q70">_xll.BDP($O70,E$3)</f>
        <v>2.04</v>
      </c>
      <c r="R70" s="84">
        <f t="array" ref="R70">_xll.BDP($O70,K$1)</f>
        <v>1.44</v>
      </c>
      <c r="S70" s="84">
        <f t="shared" si="40"/>
        <v>87.245199999999997</v>
      </c>
      <c r="T70" s="84">
        <f t="shared" si="41"/>
        <v>1.3352000000000004</v>
      </c>
      <c r="U70" s="87">
        <f t="shared" si="34"/>
        <v>46538</v>
      </c>
      <c r="V70" t="str">
        <f t="shared" si="18"/>
        <v>AFY8 Comdty</v>
      </c>
      <c r="W70" s="85" t="str">
        <f t="array" ref="W70">_xll.BDP($V70,$D$3)</f>
        <v>MAY 27</v>
      </c>
      <c r="X70" s="84">
        <f t="array" ref="X70">_xll.BDP($V70,E$3)</f>
        <v>0.307</v>
      </c>
      <c r="Y70" s="84">
        <f t="array" ref="Y70">_xll.BDP($V70,K$1)</f>
        <v>0.67</v>
      </c>
      <c r="Z70" s="87">
        <f t="shared" si="19"/>
        <v>46538</v>
      </c>
      <c r="AA70" t="str">
        <f t="shared" si="20"/>
        <v>FVMZM7 Index</v>
      </c>
      <c r="AB70" t="str">
        <f t="array" ref="AB70">_xll.BDP($AA70,$D$3)</f>
        <v>May 27</v>
      </c>
      <c r="AC70">
        <f t="array" ref="AC70">_xll.BDP($AA70,E$3)</f>
        <v>-9.36</v>
      </c>
      <c r="AD70">
        <f t="array" ref="AD70">_xll.BDP($AA70,K$1)</f>
        <v>-16.16</v>
      </c>
      <c r="AE70" s="87">
        <f t="shared" si="35"/>
        <v>46568</v>
      </c>
      <c r="AF70" s="87" t="str">
        <f t="array" ref="AF70">_xll.BDP($AG70,$D$3)</f>
        <v>JUN 27</v>
      </c>
      <c r="AG70" t="str">
        <f t="shared" si="28"/>
        <v>MUC7 Comdty</v>
      </c>
      <c r="AH70" t="str">
        <f t="array" ref="AH70">_xll.BDP($AG70,F$3)</f>
        <v>#N/A N/A</v>
      </c>
      <c r="AI70">
        <f t="shared" si="36"/>
        <v>84.763599999999997</v>
      </c>
      <c r="AJ70" t="e">
        <f t="shared" si="29"/>
        <v>#VALUE!</v>
      </c>
      <c r="AL70" s="87">
        <f t="shared" si="37"/>
        <v>46568</v>
      </c>
      <c r="AM70" s="87" t="str">
        <f t="array" ref="AM70">_xll.BDP($AN70,$D$3)</f>
        <v>JUN 27</v>
      </c>
      <c r="AN70" t="str">
        <f t="shared" si="30"/>
        <v>OQA7 Comdty</v>
      </c>
      <c r="AO70">
        <f t="array" ref="AO70">_xll.BDP($AN70,F$3)</f>
        <v>92.210000000000008</v>
      </c>
      <c r="AP70">
        <f t="shared" si="38"/>
        <v>84.763599999999997</v>
      </c>
      <c r="AQ70">
        <f t="shared" si="31"/>
        <v>7.4464000000000112</v>
      </c>
      <c r="AS70" t="e">
        <f t="shared" si="39"/>
        <v>#VALUE!</v>
      </c>
    </row>
    <row r="71" spans="1:45" x14ac:dyDescent="0.35">
      <c r="A71" t="str">
        <f t="shared" si="21"/>
        <v>FSCLM8 Index</v>
      </c>
      <c r="B71" s="87">
        <f t="shared" si="32"/>
        <v>46568</v>
      </c>
      <c r="C71" t="str">
        <f t="shared" si="22"/>
        <v>VH9 Comdty</v>
      </c>
      <c r="D71" s="85" t="str">
        <f t="array" ref="D71">_xll.BDP($C71,$D$3)</f>
        <v>JUN 27</v>
      </c>
      <c r="E71">
        <f t="array" ref="E71">_xll.BDP($A71,E$3)</f>
        <v>79.260000000000005</v>
      </c>
      <c r="F71">
        <f t="array" ref="F71">_xll.BDP($C71,F$3)</f>
        <v>79.05</v>
      </c>
      <c r="G71">
        <f t="shared" si="23"/>
        <v>-5.7135999999999996</v>
      </c>
      <c r="H71" s="87">
        <f t="shared" si="33"/>
        <v>46568</v>
      </c>
      <c r="I71" t="str">
        <f t="shared" si="16"/>
        <v>FSCOM8 Index</v>
      </c>
      <c r="J71" s="85" t="str">
        <f t="array" ref="J71">_xll.BDP($I71,$D$3)</f>
        <v>Jun 27</v>
      </c>
      <c r="K71">
        <f t="array" ref="K71">_xll.BDP($I71,E$3)</f>
        <v>85.38</v>
      </c>
      <c r="L71">
        <f t="array" ref="L71">_xll.BDP($I71,F$3)</f>
        <v>84.763599999999997</v>
      </c>
      <c r="M71" s="84">
        <f t="shared" si="17"/>
        <v>-4.6400000000005548E-2</v>
      </c>
      <c r="N71" s="87">
        <f t="shared" si="24"/>
        <v>46568</v>
      </c>
      <c r="O71" t="str">
        <f t="shared" si="25"/>
        <v>FDBSM8 Index</v>
      </c>
      <c r="P71" s="85" t="str">
        <f t="array" ref="P71">_xll.BDP($O71,$D$3)</f>
        <v>Jun 27</v>
      </c>
      <c r="Q71">
        <f t="array" ref="Q71">_xll.BDP($O71,E$3)</f>
        <v>1.89</v>
      </c>
      <c r="R71" s="84">
        <f t="array" ref="R71">_xll.BDP($O71,K$1)</f>
        <v>1.32</v>
      </c>
      <c r="S71" s="84">
        <f t="shared" si="40"/>
        <v>86.08359999999999</v>
      </c>
      <c r="T71" s="84">
        <f t="shared" si="41"/>
        <v>1.2735999999999876</v>
      </c>
      <c r="U71" s="87">
        <f t="shared" si="34"/>
        <v>46568</v>
      </c>
      <c r="V71" t="str">
        <f t="shared" si="18"/>
        <v>AFY9 Comdty</v>
      </c>
      <c r="W71" s="85" t="str">
        <f t="array" ref="W71">_xll.BDP($V71,$D$3)</f>
        <v>JUN 27</v>
      </c>
      <c r="X71" s="84">
        <f t="array" ref="X71">_xll.BDP($V71,E$3)</f>
        <v>0.3</v>
      </c>
      <c r="Y71" s="84">
        <f t="array" ref="Y71">_xll.BDP($V71,K$1)</f>
        <v>0.72</v>
      </c>
      <c r="Z71" s="87">
        <f t="shared" si="19"/>
        <v>46568</v>
      </c>
      <c r="AA71" t="str">
        <f t="shared" si="20"/>
        <v>FVMZM8 Index</v>
      </c>
      <c r="AB71" t="str">
        <f t="array" ref="AB71">_xll.BDP($AA71,$D$3)</f>
        <v>Jun 27</v>
      </c>
      <c r="AC71">
        <f t="array" ref="AC71">_xll.BDP($AA71,E$3)</f>
        <v>-8.56</v>
      </c>
      <c r="AD71">
        <f t="array" ref="AD71">_xll.BDP($AA71,K$1)</f>
        <v>-15.51</v>
      </c>
      <c r="AE71" s="87">
        <f t="shared" si="35"/>
        <v>46599</v>
      </c>
      <c r="AF71" s="87" t="str">
        <f t="array" ref="AF71">_xll.BDP($AG71,$D$3)</f>
        <v>JUL 27</v>
      </c>
      <c r="AG71" t="str">
        <f t="shared" si="28"/>
        <v>MUC8 Comdty</v>
      </c>
      <c r="AH71" t="str">
        <f t="array" ref="AH71">_xll.BDP($AG71,F$3)</f>
        <v>#N/A N/A</v>
      </c>
      <c r="AI71">
        <f t="shared" si="36"/>
        <v>83.747699999999995</v>
      </c>
      <c r="AJ71" t="e">
        <f t="shared" si="29"/>
        <v>#VALUE!</v>
      </c>
      <c r="AL71" s="87">
        <f t="shared" si="37"/>
        <v>46599</v>
      </c>
      <c r="AM71" s="87" t="str">
        <f t="array" ref="AM71">_xll.BDP($AN71,$D$3)</f>
        <v>JUL 27</v>
      </c>
      <c r="AN71" t="str">
        <f t="shared" si="30"/>
        <v>OQA8 Comdty</v>
      </c>
      <c r="AO71">
        <f t="array" ref="AO71">_xll.BDP($AN71,F$3)</f>
        <v>91.03</v>
      </c>
      <c r="AP71">
        <f t="shared" si="38"/>
        <v>83.747699999999995</v>
      </c>
      <c r="AQ71">
        <f t="shared" si="31"/>
        <v>7.2823000000000064</v>
      </c>
      <c r="AS71" t="e">
        <f t="shared" si="39"/>
        <v>#VALUE!</v>
      </c>
    </row>
    <row r="72" spans="1:45" x14ac:dyDescent="0.35">
      <c r="A72" t="str">
        <f t="shared" si="21"/>
        <v>FSCLM9 Index</v>
      </c>
      <c r="B72" s="87">
        <f t="shared" si="32"/>
        <v>46599</v>
      </c>
      <c r="C72" t="str">
        <f t="shared" si="22"/>
        <v>VH10 Comdty</v>
      </c>
      <c r="D72" s="85" t="str">
        <f t="array" ref="D72">_xll.BDP($C72,$D$3)</f>
        <v>JUL 27</v>
      </c>
      <c r="E72">
        <f t="array" ref="E72">_xll.BDP($A72,E$3)</f>
        <v>78.19</v>
      </c>
      <c r="F72">
        <f t="array" ref="F72">_xll.BDP($C72,F$3)</f>
        <v>78.08</v>
      </c>
      <c r="G72">
        <f t="shared" si="23"/>
        <v>-5.6676999999999964</v>
      </c>
      <c r="H72" s="87">
        <f t="shared" si="33"/>
        <v>46599</v>
      </c>
      <c r="I72" t="str">
        <f t="shared" si="16"/>
        <v>FSCOM9 Index</v>
      </c>
      <c r="J72" s="85" t="str">
        <f t="array" ref="J72">_xll.BDP($I72,$D$3)</f>
        <v>Jul 27</v>
      </c>
      <c r="K72">
        <f t="array" ref="K72">_xll.BDP($I72,E$3)</f>
        <v>84.25</v>
      </c>
      <c r="L72">
        <f t="array" ref="L72">_xll.BDP($I72,F$3)</f>
        <v>83.747699999999995</v>
      </c>
      <c r="M72" s="84">
        <f t="shared" si="17"/>
        <v>-4.2300000000011551E-2</v>
      </c>
      <c r="N72" s="87">
        <f t="shared" si="24"/>
        <v>46599</v>
      </c>
      <c r="O72" t="str">
        <f t="shared" si="25"/>
        <v>FDBSM9 Index</v>
      </c>
      <c r="P72" s="85" t="str">
        <f t="array" ref="P72">_xll.BDP($O72,$D$3)</f>
        <v>Jul 27</v>
      </c>
      <c r="Q72">
        <f t="array" ref="Q72">_xll.BDP($O72,E$3)</f>
        <v>1.75</v>
      </c>
      <c r="R72" s="84">
        <f t="array" ref="R72">_xll.BDP($O72,K$1)</f>
        <v>1.23</v>
      </c>
      <c r="S72" s="84">
        <f t="shared" si="40"/>
        <v>84.977699999999999</v>
      </c>
      <c r="T72" s="84">
        <f t="shared" si="41"/>
        <v>1.1876999999999924</v>
      </c>
      <c r="U72" s="87">
        <f t="shared" si="34"/>
        <v>46599</v>
      </c>
      <c r="V72" t="str">
        <f t="shared" si="18"/>
        <v>AFY10 Comdty</v>
      </c>
      <c r="W72" s="85" t="str">
        <f t="array" ref="W72">_xll.BDP($V72,$D$3)</f>
        <v>JUL 27</v>
      </c>
      <c r="X72" s="84">
        <f t="array" ref="X72">_xll.BDP($V72,E$3)</f>
        <v>0.38900000000000001</v>
      </c>
      <c r="Y72" s="84">
        <f t="array" ref="Y72">_xll.BDP($V72,K$1)</f>
        <v>0.82</v>
      </c>
      <c r="Z72" s="87">
        <f t="shared" si="19"/>
        <v>46599</v>
      </c>
      <c r="AA72" t="str">
        <f t="shared" si="20"/>
        <v>FVMZM9 Index</v>
      </c>
      <c r="AB72" t="str">
        <f t="array" ref="AB72">_xll.BDP($AA72,$D$3)</f>
        <v>Jul 27</v>
      </c>
      <c r="AC72">
        <f t="array" ref="AC72">_xll.BDP($AA72,E$3)</f>
        <v>-7.93</v>
      </c>
      <c r="AD72">
        <f t="array" ref="AD72">_xll.BDP($AA72,K$1)</f>
        <v>-15.01</v>
      </c>
      <c r="AE72" s="87">
        <f t="shared" si="35"/>
        <v>46630</v>
      </c>
      <c r="AF72" s="87" t="str">
        <f t="array" ref="AF72">_xll.BDP($AG72,$D$3)</f>
        <v>AUG 27</v>
      </c>
      <c r="AG72" t="str">
        <f t="shared" si="28"/>
        <v>MUC9 Comdty</v>
      </c>
      <c r="AH72" t="str">
        <f t="array" ref="AH72">_xll.BDP($AG72,F$3)</f>
        <v>#N/A N/A</v>
      </c>
      <c r="AI72">
        <f t="shared" si="36"/>
        <v>82.822299999999998</v>
      </c>
      <c r="AJ72" t="e">
        <f t="shared" si="29"/>
        <v>#VALUE!</v>
      </c>
      <c r="AL72" s="87">
        <f t="shared" si="37"/>
        <v>46630</v>
      </c>
      <c r="AM72" s="87" t="str">
        <f t="array" ref="AM72">_xll.BDP($AN72,$D$3)</f>
        <v>AUG 27</v>
      </c>
      <c r="AN72" t="str">
        <f t="shared" si="30"/>
        <v>OQA9 Comdty</v>
      </c>
      <c r="AO72">
        <f t="array" ref="AO72">_xll.BDP($AN72,F$3)</f>
        <v>89.93</v>
      </c>
      <c r="AP72">
        <f t="shared" si="38"/>
        <v>82.822299999999998</v>
      </c>
      <c r="AQ72">
        <f t="shared" si="31"/>
        <v>7.1077000000000083</v>
      </c>
      <c r="AS72" t="e">
        <f t="shared" si="39"/>
        <v>#VALUE!</v>
      </c>
    </row>
    <row r="73" spans="1:45" x14ac:dyDescent="0.35">
      <c r="A73" t="str">
        <f t="shared" si="21"/>
        <v>FSCLM10 Index</v>
      </c>
      <c r="B73" s="87">
        <f t="shared" si="32"/>
        <v>46630</v>
      </c>
      <c r="C73" t="str">
        <f t="shared" si="22"/>
        <v>VH11 Comdty</v>
      </c>
      <c r="D73" s="85" t="str">
        <f t="array" ref="D73">_xll.BDP($C73,$D$3)</f>
        <v>AUG 27</v>
      </c>
      <c r="E73">
        <f t="array" ref="E73">_xll.BDP($A73,E$3)</f>
        <v>77.36</v>
      </c>
      <c r="F73">
        <f t="array" ref="F73">_xll.BDP($C73,F$3)</f>
        <v>77.31</v>
      </c>
      <c r="G73">
        <f t="shared" si="23"/>
        <v>-5.5122999999999962</v>
      </c>
      <c r="H73" s="87">
        <f t="shared" si="33"/>
        <v>46630</v>
      </c>
      <c r="I73" t="str">
        <f t="shared" si="16"/>
        <v>FSCOM10 Index</v>
      </c>
      <c r="J73" s="85" t="str">
        <f t="array" ref="J73">_xll.BDP($I73,$D$3)</f>
        <v>Aug 27</v>
      </c>
      <c r="K73">
        <f t="array" ref="K73">_xll.BDP($I73,E$3)</f>
        <v>83.24</v>
      </c>
      <c r="L73">
        <f t="array" ref="L73">_xll.BDP($I73,F$3)</f>
        <v>82.822299999999998</v>
      </c>
      <c r="M73" s="84">
        <f t="shared" si="17"/>
        <v>-3.7700000000000955E-2</v>
      </c>
      <c r="N73" s="87">
        <f t="shared" si="24"/>
        <v>46630</v>
      </c>
      <c r="O73" t="str">
        <f t="shared" si="25"/>
        <v>FDBSM10 Index</v>
      </c>
      <c r="P73" s="85" t="str">
        <f t="array" ref="P73">_xll.BDP($O73,$D$3)</f>
        <v>Aug 27</v>
      </c>
      <c r="Q73">
        <f t="array" ref="Q73">_xll.BDP($O73,E$3)</f>
        <v>1.65</v>
      </c>
      <c r="R73" s="84">
        <f t="array" ref="R73">_xll.BDP($O73,K$1)</f>
        <v>1.1399999999999999</v>
      </c>
      <c r="S73" s="84">
        <f t="shared" si="40"/>
        <v>83.962299999999999</v>
      </c>
      <c r="T73" s="84">
        <f t="shared" si="41"/>
        <v>1.1022999999999996</v>
      </c>
      <c r="U73" s="87">
        <f t="shared" si="34"/>
        <v>46630</v>
      </c>
      <c r="V73" t="str">
        <f t="shared" si="18"/>
        <v>AFY11 Comdty</v>
      </c>
      <c r="W73" s="85" t="str">
        <f t="array" ref="W73">_xll.BDP($V73,$D$3)</f>
        <v>AUG 27</v>
      </c>
      <c r="X73" s="84">
        <f t="array" ref="X73">_xll.BDP($V73,E$3)</f>
        <v>0.38900000000000001</v>
      </c>
      <c r="Y73" s="84">
        <f t="array" ref="Y73">_xll.BDP($V73,K$1)</f>
        <v>0.8</v>
      </c>
      <c r="Z73" s="87">
        <f t="shared" si="19"/>
        <v>46630</v>
      </c>
      <c r="AA73" t="str">
        <f t="shared" si="20"/>
        <v>FVMZM10 Index</v>
      </c>
      <c r="AB73" t="str">
        <f t="array" ref="AB73">_xll.BDP($AA73,$D$3)</f>
        <v>Aug 27</v>
      </c>
      <c r="AC73">
        <f t="array" ref="AC73">_xll.BDP($AA73,E$3)</f>
        <v>-7.43</v>
      </c>
      <c r="AD73">
        <f t="array" ref="AD73">_xll.BDP($AA73,K$1)</f>
        <v>-14.58</v>
      </c>
      <c r="AE73" s="87">
        <f t="shared" si="35"/>
        <v>46660</v>
      </c>
      <c r="AF73" s="87" t="str">
        <f t="array" ref="AF73">_xll.BDP($AG73,$D$3)</f>
        <v>SEP 27</v>
      </c>
      <c r="AG73" t="str">
        <f t="shared" si="28"/>
        <v>MUC10 Comdty</v>
      </c>
      <c r="AH73" t="str">
        <f t="array" ref="AH73">_xll.BDP($AG73,F$3)</f>
        <v>#N/A N/A</v>
      </c>
      <c r="AI73">
        <f t="shared" si="36"/>
        <v>81.994500000000002</v>
      </c>
      <c r="AJ73" t="e">
        <f t="shared" si="29"/>
        <v>#VALUE!</v>
      </c>
      <c r="AL73" s="87">
        <f t="shared" si="37"/>
        <v>46660</v>
      </c>
      <c r="AM73" s="87" t="str">
        <f t="array" ref="AM73">_xll.BDP($AN73,$D$3)</f>
        <v>SEP 27</v>
      </c>
      <c r="AN73" t="str">
        <f t="shared" si="30"/>
        <v>OQA10 Comdty</v>
      </c>
      <c r="AO73">
        <f t="array" ref="AO73">_xll.BDP($AN73,F$3)</f>
        <v>88.91</v>
      </c>
      <c r="AP73">
        <f t="shared" si="38"/>
        <v>81.994500000000002</v>
      </c>
      <c r="AQ73">
        <f t="shared" si="31"/>
        <v>6.9154999999999944</v>
      </c>
      <c r="AS73" t="e">
        <f t="shared" si="39"/>
        <v>#VALUE!</v>
      </c>
    </row>
    <row r="74" spans="1:45" x14ac:dyDescent="0.35">
      <c r="A74" t="str">
        <f t="shared" si="21"/>
        <v>FSCLM11 Index</v>
      </c>
      <c r="B74" s="87">
        <f t="shared" si="32"/>
        <v>46660</v>
      </c>
      <c r="C74" t="str">
        <f t="shared" si="22"/>
        <v>VH12 Comdty</v>
      </c>
      <c r="D74" s="85" t="str">
        <f t="array" ref="D74">_xll.BDP($C74,$D$3)</f>
        <v>SEP 27</v>
      </c>
      <c r="E74">
        <f t="array" ref="E74">_xll.BDP($A74,E$3)</f>
        <v>76.55</v>
      </c>
      <c r="F74">
        <f t="array" ref="F74">_xll.BDP($C74,F$3)</f>
        <v>76.55</v>
      </c>
      <c r="G74">
        <f t="shared" si="23"/>
        <v>-5.444500000000005</v>
      </c>
      <c r="H74" s="87">
        <f t="shared" si="33"/>
        <v>46660</v>
      </c>
      <c r="I74" t="str">
        <f t="shared" si="16"/>
        <v>FSCOM11 Index</v>
      </c>
      <c r="J74" s="85" t="str">
        <f t="array" ref="J74">_xll.BDP($I74,$D$3)</f>
        <v>Sep 27</v>
      </c>
      <c r="K74">
        <f t="array" ref="K74">_xll.BDP($I74,E$3)</f>
        <v>82.36</v>
      </c>
      <c r="L74">
        <f t="array" ref="L74">_xll.BDP($I74,F$3)</f>
        <v>81.994500000000002</v>
      </c>
      <c r="M74" s="84">
        <f t="shared" si="17"/>
        <v>-3.5499999999998977E-2</v>
      </c>
      <c r="N74" s="87">
        <f t="shared" si="24"/>
        <v>46660</v>
      </c>
      <c r="O74" t="str">
        <f t="shared" si="25"/>
        <v>FDBSM11 Index</v>
      </c>
      <c r="P74" s="85" t="str">
        <f t="array" ref="P74">_xll.BDP($O74,$D$3)</f>
        <v>Sep 27</v>
      </c>
      <c r="Q74">
        <f t="array" ref="Q74">_xll.BDP($O74,E$3)</f>
        <v>1.53</v>
      </c>
      <c r="R74" s="84">
        <f t="array" ref="R74">_xll.BDP($O74,K$1)</f>
        <v>1.06</v>
      </c>
      <c r="S74" s="84">
        <f t="shared" si="40"/>
        <v>83.054500000000004</v>
      </c>
      <c r="T74" s="84">
        <f t="shared" si="41"/>
        <v>1.0245000000000033</v>
      </c>
      <c r="U74" s="87">
        <f t="shared" si="34"/>
        <v>46660</v>
      </c>
      <c r="V74" t="str">
        <f t="shared" si="18"/>
        <v>AFY12 Comdty</v>
      </c>
      <c r="W74" s="85" t="str">
        <f t="array" ref="W74">_xll.BDP($V74,$D$3)</f>
        <v>SEP 27</v>
      </c>
      <c r="X74" s="84">
        <f t="array" ref="X74">_xll.BDP($V74,E$3)</f>
        <v>0.38900000000000001</v>
      </c>
      <c r="Y74" s="84">
        <f t="array" ref="Y74">_xll.BDP($V74,K$1)</f>
        <v>0.78</v>
      </c>
      <c r="Z74" s="87">
        <f t="shared" si="19"/>
        <v>46660</v>
      </c>
      <c r="AA74" t="str">
        <f t="shared" si="20"/>
        <v>FVMZM11 Index</v>
      </c>
      <c r="AB74" t="str">
        <f t="array" ref="AB74">_xll.BDP($AA74,$D$3)</f>
        <v>Sep 27</v>
      </c>
      <c r="AC74">
        <f t="array" ref="AC74">_xll.BDP($AA74,E$3)</f>
        <v>-6.88</v>
      </c>
      <c r="AD74">
        <f t="array" ref="AD74">_xll.BDP($AA74,K$1)</f>
        <v>-14.08</v>
      </c>
      <c r="AE74" s="87">
        <f t="shared" si="35"/>
        <v>46691</v>
      </c>
      <c r="AF74" s="87" t="str">
        <f t="array" ref="AF74">_xll.BDP($AG74,$D$3)</f>
        <v>OCT 27</v>
      </c>
      <c r="AG74" t="str">
        <f t="shared" si="28"/>
        <v>MUC11 Comdty</v>
      </c>
      <c r="AH74" t="str">
        <f t="array" ref="AH74">_xll.BDP($AG74,F$3)</f>
        <v>#N/A N/A</v>
      </c>
      <c r="AI74">
        <f t="shared" si="36"/>
        <v>81.214799999999997</v>
      </c>
      <c r="AJ74" t="e">
        <f t="shared" si="29"/>
        <v>#VALUE!</v>
      </c>
      <c r="AL74" s="87">
        <f t="shared" si="37"/>
        <v>46691</v>
      </c>
      <c r="AM74" s="87" t="str">
        <f t="array" ref="AM74">_xll.BDP($AN74,$D$3)</f>
        <v>OCT 27</v>
      </c>
      <c r="AN74" t="str">
        <f t="shared" si="30"/>
        <v>OQA11 Comdty</v>
      </c>
      <c r="AO74">
        <f t="array" ref="AO74">_xll.BDP($AN74,F$3)</f>
        <v>87.98</v>
      </c>
      <c r="AP74">
        <f t="shared" si="38"/>
        <v>81.214799999999997</v>
      </c>
      <c r="AQ74">
        <f t="shared" si="31"/>
        <v>6.7652000000000072</v>
      </c>
      <c r="AS74" t="e">
        <f t="shared" si="39"/>
        <v>#VALUE!</v>
      </c>
    </row>
    <row r="75" spans="1:45" x14ac:dyDescent="0.35">
      <c r="A75" t="str">
        <f t="shared" si="21"/>
        <v>FSCLM12 Index</v>
      </c>
      <c r="B75" s="87">
        <f t="shared" si="32"/>
        <v>46691</v>
      </c>
      <c r="C75" t="str">
        <f t="shared" si="22"/>
        <v>VH13 Comdty</v>
      </c>
      <c r="D75" s="85" t="str">
        <f t="array" ref="D75">_xll.BDP($C75,$D$3)</f>
        <v>OCT 27</v>
      </c>
      <c r="E75">
        <f t="array" ref="E75">_xll.BDP($A75,E$3)</f>
        <v>75.819999999999993</v>
      </c>
      <c r="F75">
        <f t="array" ref="F75">_xll.BDP($C75,F$3)</f>
        <v>75.88</v>
      </c>
      <c r="G75">
        <f t="shared" si="23"/>
        <v>-5.3348000000000013</v>
      </c>
      <c r="H75" s="87">
        <f t="shared" si="33"/>
        <v>46691</v>
      </c>
      <c r="I75" t="str">
        <f t="shared" si="16"/>
        <v>FSCOM12 Index</v>
      </c>
      <c r="J75" s="85" t="str">
        <f t="array" ref="J75">_xll.BDP($I75,$D$3)</f>
        <v>Oct 27</v>
      </c>
      <c r="K75">
        <f t="array" ref="K75">_xll.BDP($I75,E$3)</f>
        <v>81.52</v>
      </c>
      <c r="L75">
        <f t="array" ref="L75">_xll.BDP($I75,F$3)</f>
        <v>81.214799999999997</v>
      </c>
      <c r="M75" s="84">
        <f t="shared" si="17"/>
        <v>-3.5200000000003229E-2</v>
      </c>
      <c r="N75" s="87">
        <f t="shared" si="24"/>
        <v>46691</v>
      </c>
      <c r="O75" t="str">
        <f t="shared" si="25"/>
        <v>FDBSM12 Index</v>
      </c>
      <c r="P75" s="85" t="str">
        <f t="array" ref="P75">_xll.BDP($O75,$D$3)</f>
        <v>Oct 27</v>
      </c>
      <c r="Q75">
        <f t="array" ref="Q75">_xll.BDP($O75,E$3)</f>
        <v>1.46</v>
      </c>
      <c r="R75" s="84">
        <f t="array" ref="R75">_xll.BDP($O75,K$1)</f>
        <v>0.99</v>
      </c>
      <c r="S75" s="84">
        <f t="shared" si="40"/>
        <v>82.204799999999992</v>
      </c>
      <c r="T75" s="84">
        <f t="shared" si="41"/>
        <v>0.95479999999999166</v>
      </c>
      <c r="U75" s="87">
        <f t="shared" si="34"/>
        <v>46691</v>
      </c>
      <c r="V75" t="str">
        <f t="shared" si="18"/>
        <v>AFY13 Comdty</v>
      </c>
      <c r="W75" s="85" t="str">
        <f t="array" ref="W75">_xll.BDP($V75,$D$3)</f>
        <v>OCT 27</v>
      </c>
      <c r="X75" s="84">
        <f t="array" ref="X75">_xll.BDP($V75,E$3)</f>
        <v>0.41</v>
      </c>
      <c r="Y75" s="84">
        <f t="array" ref="Y75">_xll.BDP($V75,K$1)</f>
        <v>0.66300000000000003</v>
      </c>
      <c r="Z75" s="87">
        <f t="shared" si="19"/>
        <v>46691</v>
      </c>
      <c r="AA75" t="str">
        <f t="shared" si="20"/>
        <v>FVMZM12 Index</v>
      </c>
      <c r="AB75" t="str">
        <f t="array" ref="AB75">_xll.BDP($AA75,$D$3)</f>
        <v>Oct 27</v>
      </c>
      <c r="AC75">
        <f t="array" ref="AC75">_xll.BDP($AA75,E$3)</f>
        <v>-6.37</v>
      </c>
      <c r="AD75">
        <f t="array" ref="AD75">_xll.BDP($AA75,K$1)</f>
        <v>-13.64</v>
      </c>
      <c r="AE75" s="87">
        <f t="shared" si="35"/>
        <v>46721</v>
      </c>
      <c r="AF75" s="87" t="str">
        <f t="array" ref="AF75">_xll.BDP($AG75,$D$3)</f>
        <v>NOV 27</v>
      </c>
      <c r="AG75" t="str">
        <f t="shared" si="28"/>
        <v>MUC12 Comdty</v>
      </c>
      <c r="AH75" t="str">
        <f t="array" ref="AH75">_xll.BDP($AG75,F$3)</f>
        <v>#N/A N/A</v>
      </c>
      <c r="AI75">
        <f t="shared" si="36"/>
        <v>80.4786</v>
      </c>
      <c r="AJ75" t="e">
        <f t="shared" si="29"/>
        <v>#VALUE!</v>
      </c>
      <c r="AL75" s="87">
        <f t="shared" si="37"/>
        <v>46721</v>
      </c>
      <c r="AM75" s="87" t="str">
        <f t="array" ref="AM75">_xll.BDP($AN75,$D$3)</f>
        <v>NOV 27</v>
      </c>
      <c r="AN75" t="str">
        <f t="shared" si="30"/>
        <v>OQA12 Comdty</v>
      </c>
      <c r="AO75">
        <f t="array" ref="AO75">_xll.BDP($AN75,F$3)</f>
        <v>87.15</v>
      </c>
      <c r="AP75">
        <f t="shared" si="38"/>
        <v>80.4786</v>
      </c>
      <c r="AQ75">
        <f t="shared" si="31"/>
        <v>6.6714000000000055</v>
      </c>
      <c r="AS75" t="e">
        <f t="shared" si="39"/>
        <v>#VALUE!</v>
      </c>
    </row>
    <row r="76" spans="1:45" x14ac:dyDescent="0.35">
      <c r="A76" t="str">
        <f t="shared" si="21"/>
        <v>FSCLM13 Index</v>
      </c>
      <c r="B76" s="87">
        <f t="shared" si="32"/>
        <v>46721</v>
      </c>
      <c r="C76" t="str">
        <f t="shared" si="22"/>
        <v>VH14 Comdty</v>
      </c>
      <c r="D76" s="85" t="str">
        <f t="array" ref="D76">_xll.BDP($C76,$D$3)</f>
        <v>NOV 27</v>
      </c>
      <c r="E76">
        <f t="array" ref="E76">_xll.BDP($A76,E$3)</f>
        <v>75.17</v>
      </c>
      <c r="F76">
        <f t="array" ref="F76">_xll.BDP($C76,F$3)</f>
        <v>75.27</v>
      </c>
      <c r="G76">
        <f t="shared" si="23"/>
        <v>-5.2086000000000041</v>
      </c>
      <c r="H76" s="87">
        <f t="shared" si="33"/>
        <v>46721</v>
      </c>
      <c r="I76" t="str">
        <f t="shared" si="16"/>
        <v>FSCOM13 Index</v>
      </c>
      <c r="J76" s="85" t="str">
        <f t="array" ref="J76">_xll.BDP($I76,$D$3)</f>
        <v>Nov 27</v>
      </c>
      <c r="K76">
        <f t="array" ref="K76">_xll.BDP($I76,E$3)</f>
        <v>80.72</v>
      </c>
      <c r="L76">
        <f t="array" ref="L76">_xll.BDP($I76,F$3)</f>
        <v>80.4786</v>
      </c>
      <c r="M76" s="84">
        <f t="shared" si="17"/>
        <v>-3.1400000000004979E-2</v>
      </c>
      <c r="N76" s="87">
        <f t="shared" si="24"/>
        <v>46721</v>
      </c>
      <c r="O76" t="str">
        <f t="shared" si="25"/>
        <v>FDBSM13 Index</v>
      </c>
      <c r="P76" s="85" t="str">
        <f t="array" ref="P76">_xll.BDP($O76,$D$3)</f>
        <v>Nov 27</v>
      </c>
      <c r="Q76">
        <f t="array" ref="Q76">_xll.BDP($O76,E$3)</f>
        <v>1.4</v>
      </c>
      <c r="R76" s="84">
        <f t="array" ref="R76">_xll.BDP($O76,K$1)</f>
        <v>0.93</v>
      </c>
      <c r="S76" s="84">
        <f t="shared" si="40"/>
        <v>81.408600000000007</v>
      </c>
      <c r="T76" s="84">
        <f t="shared" si="41"/>
        <v>0.89860000000000184</v>
      </c>
      <c r="U76" s="87">
        <f t="shared" si="34"/>
        <v>46721</v>
      </c>
      <c r="V76" t="str">
        <f t="shared" si="18"/>
        <v>AFY14 Comdty</v>
      </c>
      <c r="W76" s="85" t="str">
        <f t="array" ref="W76">_xll.BDP($V76,$D$3)</f>
        <v>NOV 27</v>
      </c>
      <c r="X76" s="84">
        <f t="array" ref="X76">_xll.BDP($V76,E$3)</f>
        <v>0.41</v>
      </c>
      <c r="Y76" s="84">
        <f t="array" ref="Y76">_xll.BDP($V76,K$1)</f>
        <v>0.64300000000000002</v>
      </c>
      <c r="Z76" s="87">
        <f t="shared" si="19"/>
        <v>46721</v>
      </c>
      <c r="AA76" t="str">
        <f t="shared" si="20"/>
        <v>FVMZM13 Index</v>
      </c>
      <c r="AB76" t="str">
        <f t="array" ref="AB76">_xll.BDP($AA76,$D$3)</f>
        <v>Nov 27</v>
      </c>
      <c r="AC76">
        <f t="array" ref="AC76">_xll.BDP($AA76,E$3)</f>
        <v>-5.88</v>
      </c>
      <c r="AD76">
        <f t="array" ref="AD76">_xll.BDP($AA76,K$1)</f>
        <v>-13.19</v>
      </c>
      <c r="AE76" s="87">
        <f t="shared" si="35"/>
        <v>46752</v>
      </c>
      <c r="AF76" s="87" t="str">
        <f t="array" ref="AF76">_xll.BDP($AG76,$D$3)</f>
        <v>DEC 27</v>
      </c>
      <c r="AG76" t="str">
        <f t="shared" si="28"/>
        <v>MUC13 Comdty</v>
      </c>
      <c r="AH76" t="str">
        <f t="array" ref="AH76">_xll.BDP($AG76,F$3)</f>
        <v>#N/A N/A</v>
      </c>
      <c r="AI76">
        <f t="shared" si="36"/>
        <v>79.762900000000002</v>
      </c>
      <c r="AJ76" t="e">
        <f t="shared" si="29"/>
        <v>#VALUE!</v>
      </c>
      <c r="AL76" s="87">
        <f t="shared" si="37"/>
        <v>46752</v>
      </c>
      <c r="AM76" s="87" t="str">
        <f t="array" ref="AM76">_xll.BDP($AN76,$D$3)</f>
        <v>DEC 27</v>
      </c>
      <c r="AN76" t="str">
        <f t="shared" si="30"/>
        <v>OQA13 Comdty</v>
      </c>
      <c r="AO76">
        <f t="array" ref="AO76">_xll.BDP($AN76,F$3)</f>
        <v>86.37</v>
      </c>
      <c r="AP76">
        <f t="shared" si="38"/>
        <v>79.762900000000002</v>
      </c>
      <c r="AQ76">
        <f t="shared" si="31"/>
        <v>6.6071000000000026</v>
      </c>
      <c r="AS76" t="e">
        <f t="shared" si="39"/>
        <v>#VALUE!</v>
      </c>
    </row>
    <row r="77" spans="1:45" x14ac:dyDescent="0.35">
      <c r="A77" t="str">
        <f t="shared" si="21"/>
        <v>FSCLM14 Index</v>
      </c>
      <c r="B77" s="87">
        <f t="shared" si="32"/>
        <v>46752</v>
      </c>
      <c r="C77" t="str">
        <f t="shared" si="22"/>
        <v>VH15 Comdty</v>
      </c>
      <c r="D77" s="85" t="str">
        <f t="array" ref="D77">_xll.BDP($C77,$D$3)</f>
        <v>DEC 27</v>
      </c>
      <c r="E77">
        <f t="array" ref="E77">_xll.BDP($A77,E$3)</f>
        <v>74.47</v>
      </c>
      <c r="F77">
        <f t="array" ref="F77">_xll.BDP($C77,F$3)</f>
        <v>74.63</v>
      </c>
      <c r="G77">
        <f t="shared" si="23"/>
        <v>-5.1329000000000065</v>
      </c>
      <c r="H77" s="87">
        <f t="shared" si="33"/>
        <v>46752</v>
      </c>
      <c r="I77" t="str">
        <f t="shared" si="16"/>
        <v>FSCOM14 Index</v>
      </c>
      <c r="J77" s="85" t="str">
        <f t="array" ref="J77">_xll.BDP($I77,$D$3)</f>
        <v>Dec 27</v>
      </c>
      <c r="K77">
        <f t="array" ref="K77">_xll.BDP($I77,E$3)</f>
        <v>79.95</v>
      </c>
      <c r="L77">
        <f t="array" ref="L77">_xll.BDP($I77,F$3)</f>
        <v>79.762900000000002</v>
      </c>
      <c r="M77" s="84">
        <f t="shared" si="17"/>
        <v>-5.710000000000548E-2</v>
      </c>
      <c r="N77" s="87">
        <f t="shared" si="24"/>
        <v>46752</v>
      </c>
      <c r="O77" t="str">
        <f t="shared" si="25"/>
        <v>FDBSM14 Index</v>
      </c>
      <c r="P77" s="85" t="str">
        <f t="array" ref="P77">_xll.BDP($O77,$D$3)</f>
        <v>Dec 27</v>
      </c>
      <c r="Q77">
        <f t="array" ref="Q77">_xll.BDP($O77,E$3)</f>
        <v>1.35</v>
      </c>
      <c r="R77" s="84">
        <f t="array" ref="R77">_xll.BDP($O77,K$1)</f>
        <v>0.87</v>
      </c>
      <c r="S77" s="84">
        <f t="shared" si="40"/>
        <v>80.632900000000006</v>
      </c>
      <c r="T77" s="84">
        <f t="shared" si="41"/>
        <v>0.81289999999999907</v>
      </c>
      <c r="U77" s="87">
        <f t="shared" si="34"/>
        <v>46752</v>
      </c>
      <c r="V77" t="str">
        <f t="shared" si="18"/>
        <v>AFY15 Comdty</v>
      </c>
      <c r="W77" s="85" t="str">
        <f t="array" ref="W77">_xll.BDP($V77,$D$3)</f>
        <v>DEC 27</v>
      </c>
      <c r="X77" s="84">
        <f t="array" ref="X77">_xll.BDP($V77,E$3)</f>
        <v>0.41</v>
      </c>
      <c r="Y77" s="84">
        <f t="array" ref="Y77">_xll.BDP($V77,K$1)</f>
        <v>0.64300000000000002</v>
      </c>
      <c r="Z77" s="87">
        <f t="shared" si="19"/>
        <v>46752</v>
      </c>
      <c r="AA77" t="str">
        <f t="shared" si="20"/>
        <v>FVMZM14 Index</v>
      </c>
      <c r="AB77" t="str">
        <f t="array" ref="AB77">_xll.BDP($AA77,$D$3)</f>
        <v>Dec 27</v>
      </c>
      <c r="AC77">
        <f t="array" ref="AC77">_xll.BDP($AA77,E$3)</f>
        <v>-5.42</v>
      </c>
      <c r="AD77">
        <f t="array" ref="AD77">_xll.BDP($AA77,K$1)</f>
        <v>-12.79</v>
      </c>
      <c r="AE77" s="87">
        <f t="shared" si="35"/>
        <v>46783</v>
      </c>
      <c r="AF77" s="87" t="str">
        <f t="array" ref="AF77">_xll.BDP($AG77,$D$3)</f>
        <v>JAN 28</v>
      </c>
      <c r="AG77" t="str">
        <f t="shared" si="28"/>
        <v>MUC14 Comdty</v>
      </c>
      <c r="AH77" t="str">
        <f t="array" ref="AH77">_xll.BDP($AG77,F$3)</f>
        <v>#N/A N/A</v>
      </c>
      <c r="AI77">
        <f t="shared" si="36"/>
        <v>79.194800000000001</v>
      </c>
      <c r="AJ77" t="e">
        <f t="shared" si="29"/>
        <v>#VALUE!</v>
      </c>
      <c r="AL77" s="87">
        <f t="shared" si="37"/>
        <v>46783</v>
      </c>
      <c r="AM77" s="87" t="str">
        <f t="array" ref="AM77">_xll.BDP($AN77,$D$3)</f>
        <v>JAN 28</v>
      </c>
      <c r="AN77" t="str">
        <f t="shared" si="30"/>
        <v>OQA14 Comdty</v>
      </c>
      <c r="AO77">
        <f t="array" ref="AO77">_xll.BDP($AN77,F$3)</f>
        <v>85.63</v>
      </c>
      <c r="AP77">
        <f t="shared" si="38"/>
        <v>79.194800000000001</v>
      </c>
      <c r="AQ77">
        <f t="shared" si="31"/>
        <v>6.4351999999999947</v>
      </c>
      <c r="AS77" t="e">
        <f t="shared" si="39"/>
        <v>#VALUE!</v>
      </c>
    </row>
    <row r="78" spans="1:45" x14ac:dyDescent="0.35">
      <c r="A78" t="str">
        <f t="shared" si="21"/>
        <v>FSCLM15 Index</v>
      </c>
      <c r="B78" s="87">
        <f t="shared" si="32"/>
        <v>46783</v>
      </c>
      <c r="C78" t="str">
        <f t="shared" si="22"/>
        <v>VH16 Comdty</v>
      </c>
      <c r="D78" s="85" t="str">
        <f t="array" ref="D78">_xll.BDP($C78,$D$3)</f>
        <v>JAN 28</v>
      </c>
      <c r="E78">
        <f t="array" ref="E78">_xll.BDP($A78,E$3)</f>
        <v>73.89</v>
      </c>
      <c r="F78">
        <f t="array" ref="F78">_xll.BDP($C78,F$3)</f>
        <v>74.09</v>
      </c>
      <c r="G78">
        <f t="shared" si="23"/>
        <v>-5.1047999999999973</v>
      </c>
      <c r="H78" s="87">
        <f t="shared" si="33"/>
        <v>46783</v>
      </c>
      <c r="I78" t="str">
        <f t="shared" si="16"/>
        <v>FSCOM15 Index</v>
      </c>
      <c r="J78" s="85" t="str">
        <f t="array" ref="J78">_xll.BDP($I78,$D$3)</f>
        <v>Jan 28</v>
      </c>
      <c r="K78">
        <f t="array" ref="K78">_xll.BDP($I78,E$3)</f>
        <v>79.33</v>
      </c>
      <c r="L78">
        <f t="array" ref="L78">_xll.BDP($I78,F$3)</f>
        <v>79.194800000000001</v>
      </c>
      <c r="M78" s="84">
        <f t="shared" si="17"/>
        <v>-2.5199999999998113E-2</v>
      </c>
      <c r="N78" s="87">
        <f t="shared" si="24"/>
        <v>46783</v>
      </c>
      <c r="O78" t="str">
        <f t="shared" si="25"/>
        <v>FDBSM15 Index</v>
      </c>
      <c r="P78" s="85" t="str">
        <f t="array" ref="P78">_xll.BDP($O78,$D$3)</f>
        <v>Jan 28</v>
      </c>
      <c r="Q78">
        <f t="array" ref="Q78">_xll.BDP($O78,E$3)</f>
        <v>1.27</v>
      </c>
      <c r="R78" s="84">
        <f t="array" ref="R78">_xll.BDP($O78,K$1)</f>
        <v>0.82</v>
      </c>
      <c r="S78" s="84">
        <f t="shared" si="40"/>
        <v>80.014799999999994</v>
      </c>
      <c r="T78" s="84">
        <f t="shared" si="41"/>
        <v>0.79479999999999507</v>
      </c>
      <c r="U78" s="87">
        <f t="shared" si="34"/>
        <v>46783</v>
      </c>
      <c r="V78" t="str">
        <f t="shared" si="18"/>
        <v>AFY16 Comdty</v>
      </c>
      <c r="W78" s="85" t="str">
        <f t="array" ref="W78">_xll.BDP($V78,$D$3)</f>
        <v>JAN 28</v>
      </c>
      <c r="X78" s="84">
        <f t="array" ref="X78">_xll.BDP($V78,E$3)</f>
        <v>0.44</v>
      </c>
      <c r="Y78" s="84">
        <f t="array" ref="Y78">_xll.BDP($V78,K$1)</f>
        <v>0.64</v>
      </c>
      <c r="Z78" s="87">
        <f t="shared" si="19"/>
        <v>46783</v>
      </c>
      <c r="AA78" t="str">
        <f t="shared" si="20"/>
        <v>FVMZM15 Index</v>
      </c>
      <c r="AB78" t="str">
        <f t="array" ref="AB78">_xll.BDP($AA78,$D$3)</f>
        <v>Jan 28</v>
      </c>
      <c r="AC78">
        <f t="array" ref="AC78">_xll.BDP($AA78,E$3)</f>
        <v>-5.0599999999999996</v>
      </c>
      <c r="AD78">
        <f t="array" ref="AD78">_xll.BDP($AA78,K$1)</f>
        <v>-12.48</v>
      </c>
      <c r="AE78" s="87">
        <f t="shared" si="35"/>
        <v>46812</v>
      </c>
      <c r="AF78" s="87" t="str">
        <f t="array" ref="AF78">_xll.BDP($AG78,$D$3)</f>
        <v>FEB 28</v>
      </c>
      <c r="AG78" t="str">
        <f t="shared" si="28"/>
        <v>MUC15 Comdty</v>
      </c>
      <c r="AH78" t="str">
        <f t="array" ref="AH78">_xll.BDP($AG78,F$3)</f>
        <v>#N/A N/A</v>
      </c>
      <c r="AI78">
        <f t="shared" si="36"/>
        <v>78.667599999999993</v>
      </c>
      <c r="AJ78" t="e">
        <f t="shared" si="29"/>
        <v>#VALUE!</v>
      </c>
      <c r="AL78" s="87">
        <f t="shared" si="37"/>
        <v>46812</v>
      </c>
      <c r="AM78" s="87" t="str">
        <f t="array" ref="AM78">_xll.BDP($AN78,$D$3)</f>
        <v>FEB 28</v>
      </c>
      <c r="AN78" t="str">
        <f t="shared" si="30"/>
        <v>OQA15 Comdty</v>
      </c>
      <c r="AO78">
        <f t="array" ref="AO78">_xll.BDP($AN78,F$3)</f>
        <v>84.94</v>
      </c>
      <c r="AP78">
        <f t="shared" si="38"/>
        <v>78.667599999999993</v>
      </c>
      <c r="AQ78">
        <f t="shared" si="31"/>
        <v>6.2724000000000046</v>
      </c>
      <c r="AS78" t="e">
        <f t="shared" si="39"/>
        <v>#VALUE!</v>
      </c>
    </row>
    <row r="79" spans="1:45" x14ac:dyDescent="0.35">
      <c r="A79" t="str">
        <f t="shared" si="21"/>
        <v>FSCLM16 Index</v>
      </c>
      <c r="B79" s="87">
        <f t="shared" si="32"/>
        <v>46812</v>
      </c>
      <c r="C79" t="str">
        <f t="shared" si="22"/>
        <v>VH17 Comdty</v>
      </c>
      <c r="D79" s="85" t="str">
        <f t="array" ref="D79">_xll.BDP($C79,$D$3)</f>
        <v>FEB 28</v>
      </c>
      <c r="E79">
        <f t="array" ref="E79">_xll.BDP($A79,E$3)</f>
        <v>73.41</v>
      </c>
      <c r="F79">
        <f t="array" ref="F79">_xll.BDP($C79,F$3)</f>
        <v>73.64</v>
      </c>
      <c r="G79">
        <f t="shared" si="23"/>
        <v>-5.0275999999999925</v>
      </c>
      <c r="H79" s="87">
        <f t="shared" si="33"/>
        <v>46812</v>
      </c>
      <c r="I79" t="str">
        <f t="shared" si="16"/>
        <v>FSCOM16 Index</v>
      </c>
      <c r="J79" s="85" t="str">
        <f t="array" ref="J79">_xll.BDP($I79,$D$3)</f>
        <v>Feb 28</v>
      </c>
      <c r="K79">
        <f t="array" ref="K79">_xll.BDP($I79,E$3)</f>
        <v>78.73</v>
      </c>
      <c r="L79">
        <f t="array" ref="L79">_xll.BDP($I79,F$3)</f>
        <v>78.667599999999993</v>
      </c>
      <c r="M79" s="84">
        <f t="shared" si="17"/>
        <v>-2.2400000000004638E-2</v>
      </c>
      <c r="N79" s="87">
        <f t="shared" si="24"/>
        <v>46812</v>
      </c>
      <c r="O79" t="str">
        <f t="shared" si="25"/>
        <v>FDBSM16 Index</v>
      </c>
      <c r="P79" s="85" t="str">
        <f t="array" ref="P79">_xll.BDP($O79,$D$3)</f>
        <v>Feb 28</v>
      </c>
      <c r="Q79">
        <f t="array" ref="Q79">_xll.BDP($O79,E$3)</f>
        <v>1.21</v>
      </c>
      <c r="R79" s="84">
        <f t="array" ref="R79">_xll.BDP($O79,K$1)</f>
        <v>0.76</v>
      </c>
      <c r="S79" s="84">
        <f t="shared" si="40"/>
        <v>79.427599999999998</v>
      </c>
      <c r="T79" s="84">
        <f t="shared" si="41"/>
        <v>0.73760000000000048</v>
      </c>
      <c r="U79" s="87">
        <f t="shared" si="34"/>
        <v>46812</v>
      </c>
      <c r="V79" t="str">
        <f t="shared" si="18"/>
        <v>AFY17 Comdty</v>
      </c>
      <c r="W79" s="85" t="str">
        <f t="array" ref="W79">_xll.BDP($V79,$D$3)</f>
        <v>FEB 28</v>
      </c>
      <c r="X79" s="84">
        <f t="array" ref="X79">_xll.BDP($V79,E$3)</f>
        <v>0.44</v>
      </c>
      <c r="Y79" s="84">
        <f t="array" ref="Y79">_xll.BDP($V79,K$1)</f>
        <v>0.64</v>
      </c>
      <c r="Z79" s="87">
        <f t="shared" si="19"/>
        <v>46812</v>
      </c>
      <c r="AA79" t="str">
        <f t="shared" si="20"/>
        <v>FVMZM16 Index</v>
      </c>
      <c r="AB79" t="str">
        <f t="array" ref="AB79">_xll.BDP($AA79,$D$3)</f>
        <v>Feb 28</v>
      </c>
      <c r="AC79">
        <f t="array" ref="AC79">_xll.BDP($AA79,E$3)</f>
        <v>-4.72</v>
      </c>
      <c r="AD79">
        <f t="array" ref="AD79">_xll.BDP($AA79,K$1)</f>
        <v>-12.2</v>
      </c>
      <c r="AE79" s="87">
        <f t="shared" si="35"/>
        <v>46843</v>
      </c>
      <c r="AF79" s="87" t="str">
        <f t="array" ref="AF79">_xll.BDP($AG79,$D$3)</f>
        <v>MAR 28</v>
      </c>
      <c r="AG79" t="str">
        <f t="shared" si="28"/>
        <v>MUC16 Comdty</v>
      </c>
      <c r="AH79" t="str">
        <f t="array" ref="AH79">_xll.BDP($AG79,F$3)</f>
        <v>#N/A N/A</v>
      </c>
      <c r="AI79">
        <f t="shared" si="36"/>
        <v>78.200900000000004</v>
      </c>
      <c r="AJ79" t="e">
        <f t="shared" si="29"/>
        <v>#VALUE!</v>
      </c>
      <c r="AL79" s="87">
        <f t="shared" si="37"/>
        <v>46843</v>
      </c>
      <c r="AM79" s="87" t="str">
        <f t="array" ref="AM79">_xll.BDP($AN79,$D$3)</f>
        <v>MAR 28</v>
      </c>
      <c r="AN79" t="str">
        <f t="shared" si="30"/>
        <v>OQA16 Comdty</v>
      </c>
      <c r="AO79">
        <f t="array" ref="AO79">_xll.BDP($AN79,F$3)</f>
        <v>84.34</v>
      </c>
      <c r="AP79">
        <f t="shared" si="38"/>
        <v>78.200900000000004</v>
      </c>
      <c r="AQ79">
        <f t="shared" si="31"/>
        <v>6.1390999999999991</v>
      </c>
      <c r="AS79" t="e">
        <f t="shared" si="39"/>
        <v>#VALUE!</v>
      </c>
    </row>
    <row r="80" spans="1:45" x14ac:dyDescent="0.35">
      <c r="A80" t="str">
        <f t="shared" si="21"/>
        <v>FSCLM17 Index</v>
      </c>
      <c r="B80" s="87">
        <f t="shared" si="32"/>
        <v>46843</v>
      </c>
      <c r="C80" t="str">
        <f t="shared" si="22"/>
        <v>VH18 Comdty</v>
      </c>
      <c r="D80" s="85" t="str">
        <f t="array" ref="D80">_xll.BDP($C80,$D$3)</f>
        <v>MAR 28</v>
      </c>
      <c r="E80">
        <f t="array" ref="E80">_xll.BDP($A80,E$3)</f>
        <v>72.87</v>
      </c>
      <c r="F80">
        <f t="array" ref="F80">_xll.BDP($C80,F$3)</f>
        <v>73.14</v>
      </c>
      <c r="G80">
        <f t="shared" si="23"/>
        <v>-5.0609000000000037</v>
      </c>
      <c r="H80" s="87">
        <f t="shared" si="33"/>
        <v>46843</v>
      </c>
      <c r="I80" t="str">
        <f t="shared" si="16"/>
        <v>FSCOM17 Index</v>
      </c>
      <c r="J80" s="85" t="str">
        <f t="array" ref="J80">_xll.BDP($I80,$D$3)</f>
        <v>Mar 28</v>
      </c>
      <c r="K80">
        <f t="array" ref="K80">_xll.BDP($I80,E$3)</f>
        <v>78.2</v>
      </c>
      <c r="L80">
        <f t="array" ref="L80">_xll.BDP($I80,F$3)</f>
        <v>78.200900000000004</v>
      </c>
      <c r="M80" s="84">
        <f t="shared" si="17"/>
        <v>-1.9099999999994566E-2</v>
      </c>
      <c r="N80" s="87">
        <f t="shared" si="24"/>
        <v>46843</v>
      </c>
      <c r="O80" t="str">
        <f t="shared" si="25"/>
        <v>FDBSM17 Index</v>
      </c>
      <c r="P80" s="85" t="str">
        <f t="array" ref="P80">_xll.BDP($O80,$D$3)</f>
        <v>Mar 28</v>
      </c>
      <c r="Q80">
        <f t="array" ref="Q80">_xll.BDP($O80,E$3)</f>
        <v>1.1499999999999999</v>
      </c>
      <c r="R80" s="84">
        <f t="array" ref="R80">_xll.BDP($O80,K$1)</f>
        <v>0.72</v>
      </c>
      <c r="S80" s="84">
        <f t="shared" si="40"/>
        <v>78.920900000000003</v>
      </c>
      <c r="T80" s="84">
        <f t="shared" si="41"/>
        <v>0.7009000000000043</v>
      </c>
      <c r="U80" s="87">
        <f t="shared" si="34"/>
        <v>46843</v>
      </c>
      <c r="V80" t="str">
        <f t="shared" si="18"/>
        <v>AFY18 Comdty</v>
      </c>
      <c r="W80" s="85" t="str">
        <f t="array" ref="W80">_xll.BDP($V80,$D$3)</f>
        <v>MAR 28</v>
      </c>
      <c r="X80" s="84">
        <f t="array" ref="X80">_xll.BDP($V80,E$3)</f>
        <v>0.44</v>
      </c>
      <c r="Y80" s="84">
        <f t="array" ref="Y80">_xll.BDP($V80,K$1)</f>
        <v>0.64</v>
      </c>
      <c r="Z80" s="87">
        <f t="shared" si="19"/>
        <v>46843</v>
      </c>
      <c r="AA80" t="str">
        <f t="shared" si="20"/>
        <v>FVMZM17 Index</v>
      </c>
      <c r="AB80" t="str">
        <f t="array" ref="AB80">_xll.BDP($AA80,$D$3)</f>
        <v>Mar 28</v>
      </c>
      <c r="AC80">
        <f t="array" ref="AC80">_xll.BDP($AA80,E$3)</f>
        <v>-4.3600000000000003</v>
      </c>
      <c r="AD80">
        <f t="array" ref="AD80">_xll.BDP($AA80,K$1)</f>
        <v>-11.91</v>
      </c>
      <c r="AE80" s="87">
        <f t="shared" si="35"/>
        <v>46873</v>
      </c>
      <c r="AF80" s="87" t="str">
        <f t="array" ref="AF80">_xll.BDP($AG80,$D$3)</f>
        <v>APR 28</v>
      </c>
      <c r="AG80" t="str">
        <f t="shared" si="28"/>
        <v>MUC17 Comdty</v>
      </c>
      <c r="AH80" t="str">
        <f t="array" ref="AH80">_xll.BDP($AG80,F$3)</f>
        <v>#N/A N/A</v>
      </c>
      <c r="AI80">
        <f t="shared" si="36"/>
        <v>77.756799999999998</v>
      </c>
      <c r="AJ80" t="e">
        <f t="shared" si="29"/>
        <v>#VALUE!</v>
      </c>
      <c r="AL80" s="87">
        <f t="shared" si="37"/>
        <v>46873</v>
      </c>
      <c r="AM80" s="87" t="str">
        <f t="array" ref="AM80">_xll.BDP($AN80,$D$3)</f>
        <v>APR 28</v>
      </c>
      <c r="AN80" t="str">
        <f t="shared" si="30"/>
        <v>OQA17 Comdty</v>
      </c>
      <c r="AO80">
        <f t="array" ref="AO80">_xll.BDP($AN80,F$3)</f>
        <v>83.81</v>
      </c>
      <c r="AP80">
        <f t="shared" si="38"/>
        <v>77.756799999999998</v>
      </c>
      <c r="AQ80">
        <f t="shared" si="31"/>
        <v>6.0532000000000039</v>
      </c>
      <c r="AS80" t="e">
        <f t="shared" si="39"/>
        <v>#VALUE!</v>
      </c>
    </row>
    <row r="81" spans="1:45" x14ac:dyDescent="0.35">
      <c r="A81" t="str">
        <f t="shared" si="21"/>
        <v>FSCLM18 Index</v>
      </c>
      <c r="B81" s="87">
        <f t="shared" si="32"/>
        <v>46873</v>
      </c>
      <c r="C81" t="str">
        <f t="shared" si="22"/>
        <v>VH19 Comdty</v>
      </c>
      <c r="D81" s="85" t="str">
        <f t="array" ref="D81">_xll.BDP($C81,$D$3)</f>
        <v>APR 28</v>
      </c>
      <c r="E81">
        <f t="array" ref="E81">_xll.BDP($A81,E$3)</f>
        <v>72.42</v>
      </c>
      <c r="F81">
        <f t="array" ref="F81">_xll.BDP($C81,F$3)</f>
        <v>72.739999999999995</v>
      </c>
      <c r="G81">
        <f t="shared" si="23"/>
        <v>-5.0168000000000035</v>
      </c>
      <c r="H81" s="87">
        <f t="shared" si="33"/>
        <v>46873</v>
      </c>
      <c r="I81" t="str">
        <f t="shared" si="16"/>
        <v>FSCOM18 Index</v>
      </c>
      <c r="J81" s="85" t="str">
        <f t="array" ref="J81">_xll.BDP($I81,$D$3)</f>
        <v>Apr 28</v>
      </c>
      <c r="K81">
        <f t="array" ref="K81">_xll.BDP($I81,E$3)</f>
        <v>77.72</v>
      </c>
      <c r="L81">
        <f t="array" ref="L81">_xll.BDP($I81,F$3)</f>
        <v>77.756799999999998</v>
      </c>
      <c r="M81" s="84">
        <f t="shared" si="17"/>
        <v>-2.3200000000002774E-2</v>
      </c>
      <c r="N81" s="87">
        <f t="shared" si="24"/>
        <v>46873</v>
      </c>
      <c r="O81" t="str">
        <f t="shared" si="25"/>
        <v>FDBSM18 Index</v>
      </c>
      <c r="P81" s="85" t="str">
        <f t="array" ref="P81">_xll.BDP($O81,$D$3)</f>
        <v>Apr 28</v>
      </c>
      <c r="Q81">
        <f t="array" ref="Q81">_xll.BDP($O81,E$3)</f>
        <v>1.1200000000000001</v>
      </c>
      <c r="R81" s="84">
        <f t="array" ref="R81">_xll.BDP($O81,K$1)</f>
        <v>0.68</v>
      </c>
      <c r="S81" s="84">
        <f t="shared" si="40"/>
        <v>78.436800000000005</v>
      </c>
      <c r="T81" s="84">
        <f t="shared" si="41"/>
        <v>0.65680000000000405</v>
      </c>
      <c r="U81" s="87">
        <f t="shared" si="34"/>
        <v>46873</v>
      </c>
      <c r="V81" t="str">
        <f t="shared" si="18"/>
        <v>AFY19 Comdty</v>
      </c>
      <c r="W81" s="85" t="str">
        <f t="array" ref="W81">_xll.BDP($V81,$D$3)</f>
        <v>APR 28</v>
      </c>
      <c r="X81" s="84">
        <f t="array" ref="X81">_xll.BDP($V81,E$3)</f>
        <v>0.44</v>
      </c>
      <c r="Y81" s="84">
        <f t="array" ref="Y81">_xll.BDP($V81,K$1)</f>
        <v>0.64</v>
      </c>
      <c r="Z81" s="87">
        <f t="shared" si="19"/>
        <v>46873</v>
      </c>
      <c r="AA81" t="str">
        <f t="shared" si="20"/>
        <v>FVMZM18 Index</v>
      </c>
      <c r="AB81" t="str">
        <f t="array" ref="AB81">_xll.BDP($AA81,$D$3)</f>
        <v>Apr 28</v>
      </c>
      <c r="AC81">
        <f t="array" ref="AC81">_xll.BDP($AA81,E$3)</f>
        <v>-4.0199999999999996</v>
      </c>
      <c r="AD81">
        <f t="array" ref="AD81">_xll.BDP($AA81,K$1)</f>
        <v>-11.6</v>
      </c>
      <c r="AE81" s="87">
        <f t="shared" si="35"/>
        <v>46904</v>
      </c>
      <c r="AF81" s="87" t="str">
        <f t="array" ref="AF81">_xll.BDP($AG81,$D$3)</f>
        <v>MAY 28</v>
      </c>
      <c r="AG81" t="str">
        <f t="shared" si="28"/>
        <v>MUC18 Comdty</v>
      </c>
      <c r="AH81" t="str">
        <f t="array" ref="AH81">_xll.BDP($AG81,F$3)</f>
        <v>#N/A N/A</v>
      </c>
      <c r="AI81">
        <f t="shared" si="36"/>
        <v>77.320400000000006</v>
      </c>
      <c r="AJ81" t="e">
        <f t="shared" si="29"/>
        <v>#VALUE!</v>
      </c>
      <c r="AL81" s="87">
        <f t="shared" si="37"/>
        <v>46904</v>
      </c>
      <c r="AM81" s="87" t="str">
        <f t="array" ref="AM81">_xll.BDP($AN81,$D$3)</f>
        <v>MAY 28</v>
      </c>
      <c r="AN81" t="str">
        <f t="shared" si="30"/>
        <v>OQA18 Comdty</v>
      </c>
      <c r="AO81">
        <f t="array" ref="AO81">_xll.BDP($AN81,F$3)</f>
        <v>83.34</v>
      </c>
      <c r="AP81">
        <f t="shared" si="38"/>
        <v>77.320400000000006</v>
      </c>
      <c r="AQ81">
        <f t="shared" si="31"/>
        <v>6.019599999999997</v>
      </c>
      <c r="AS81" t="e">
        <f t="shared" si="39"/>
        <v>#VALUE!</v>
      </c>
    </row>
    <row r="82" spans="1:45" x14ac:dyDescent="0.35">
      <c r="A82" t="str">
        <f t="shared" si="21"/>
        <v>FSCLM19 Index</v>
      </c>
      <c r="B82" s="87">
        <f t="shared" si="32"/>
        <v>46904</v>
      </c>
      <c r="C82" t="str">
        <f t="shared" si="22"/>
        <v>VH20 Comdty</v>
      </c>
      <c r="D82" s="85" t="str">
        <f t="array" ref="D82">_xll.BDP($C82,$D$3)</f>
        <v>MAY 28</v>
      </c>
      <c r="E82">
        <f t="array" ref="E82">_xll.BDP($A82,E$3)</f>
        <v>71.989999999999995</v>
      </c>
      <c r="F82">
        <f t="array" ref="F82">_xll.BDP($C82,F$3)</f>
        <v>72.34</v>
      </c>
      <c r="G82">
        <f t="shared" si="23"/>
        <v>-4.980400000000003</v>
      </c>
      <c r="H82" s="87">
        <f t="shared" si="33"/>
        <v>46904</v>
      </c>
      <c r="I82" t="str">
        <f t="shared" si="16"/>
        <v>FSCOM19 Index</v>
      </c>
      <c r="J82" s="85" t="str">
        <f t="array" ref="J82">_xll.BDP($I82,$D$3)</f>
        <v>May 28</v>
      </c>
      <c r="K82">
        <f t="array" ref="K82">_xll.BDP($I82,E$3)</f>
        <v>77.239999999999995</v>
      </c>
      <c r="L82">
        <f t="array" ref="L82">_xll.BDP($I82,F$3)</f>
        <v>77.320400000000006</v>
      </c>
      <c r="M82" s="84">
        <f t="shared" si="17"/>
        <v>-1.9599999999996953E-2</v>
      </c>
      <c r="N82" s="87">
        <f t="shared" si="24"/>
        <v>46904</v>
      </c>
      <c r="O82" t="str">
        <f t="shared" si="25"/>
        <v>FDBSM19 Index</v>
      </c>
      <c r="P82" s="85" t="str">
        <f t="array" ref="P82">_xll.BDP($O82,$D$3)</f>
        <v>May 28</v>
      </c>
      <c r="Q82">
        <f t="array" ref="Q82">_xll.BDP($O82,E$3)</f>
        <v>1.1000000000000001</v>
      </c>
      <c r="R82" s="84">
        <f t="array" ref="R82">_xll.BDP($O82,K$1)</f>
        <v>0.64</v>
      </c>
      <c r="S82" s="84">
        <f t="shared" si="40"/>
        <v>77.960400000000007</v>
      </c>
      <c r="T82" s="84">
        <f t="shared" si="41"/>
        <v>0.62040000000000362</v>
      </c>
      <c r="U82" s="87">
        <f t="shared" si="34"/>
        <v>46904</v>
      </c>
      <c r="V82" t="str">
        <f t="shared" si="18"/>
        <v>AFY20 Comdty</v>
      </c>
      <c r="W82" s="85" t="str">
        <f t="array" ref="W82">_xll.BDP($V82,$D$3)</f>
        <v>MAY 28</v>
      </c>
      <c r="X82" s="84">
        <f t="array" ref="X82">_xll.BDP($V82,E$3)</f>
        <v>0.44</v>
      </c>
      <c r="Y82" s="84">
        <f t="array" ref="Y82">_xll.BDP($V82,K$1)</f>
        <v>0.64</v>
      </c>
      <c r="Z82" s="87">
        <f t="shared" si="19"/>
        <v>46904</v>
      </c>
      <c r="AA82" t="str">
        <f t="shared" si="20"/>
        <v>FVMZM19 Index</v>
      </c>
      <c r="AB82" t="str">
        <f t="array" ref="AB82">_xll.BDP($AA82,$D$3)</f>
        <v>May 28</v>
      </c>
      <c r="AC82">
        <f t="array" ref="AC82">_xll.BDP($AA82,E$3)</f>
        <v>-3.71</v>
      </c>
      <c r="AD82">
        <f t="array" ref="AD82">_xll.BDP($AA82,K$1)</f>
        <v>-11.34</v>
      </c>
      <c r="AE82" s="87">
        <f t="shared" si="35"/>
        <v>46934</v>
      </c>
      <c r="AF82" s="87" t="str">
        <f t="array" ref="AF82">_xll.BDP($AG82,$D$3)</f>
        <v>JUN 28</v>
      </c>
      <c r="AG82" t="str">
        <f t="shared" si="28"/>
        <v>MUC19 Comdty</v>
      </c>
      <c r="AH82" t="str">
        <f t="array" ref="AH82">_xll.BDP($AG82,F$3)</f>
        <v>#N/A N/A</v>
      </c>
      <c r="AI82">
        <f t="shared" si="36"/>
        <v>76.870500000000007</v>
      </c>
      <c r="AJ82" t="e">
        <f t="shared" si="29"/>
        <v>#VALUE!</v>
      </c>
      <c r="AL82" s="87">
        <f t="shared" si="37"/>
        <v>46934</v>
      </c>
      <c r="AM82" s="87" t="str">
        <f t="array" ref="AM82">_xll.BDP($AN82,$D$3)</f>
        <v>JUN 28</v>
      </c>
      <c r="AN82" t="str">
        <f t="shared" si="30"/>
        <v>OQA19 Comdty</v>
      </c>
      <c r="AO82">
        <f t="array" ref="AO82">_xll.BDP($AN82,F$3)</f>
        <v>82.9</v>
      </c>
      <c r="AP82">
        <f t="shared" si="38"/>
        <v>76.870500000000007</v>
      </c>
      <c r="AQ82">
        <f t="shared" si="31"/>
        <v>6.0294999999999987</v>
      </c>
      <c r="AS82" t="e">
        <f t="shared" si="39"/>
        <v>#VALUE!</v>
      </c>
    </row>
    <row r="83" spans="1:45" x14ac:dyDescent="0.35">
      <c r="A83" t="str">
        <f t="shared" si="21"/>
        <v>FSCLM20 Index</v>
      </c>
      <c r="B83" s="87">
        <f t="shared" si="32"/>
        <v>46934</v>
      </c>
      <c r="C83" t="str">
        <f t="shared" si="22"/>
        <v>VH21 Comdty</v>
      </c>
      <c r="D83" s="85" t="str">
        <f t="array" ref="D83">_xll.BDP($C83,$D$3)</f>
        <v>JUN 28</v>
      </c>
      <c r="E83">
        <f t="array" ref="E83">_xll.BDP($A83,E$3)</f>
        <v>71.489999999999995</v>
      </c>
      <c r="F83">
        <f t="array" ref="F83">_xll.BDP($C83,F$3)</f>
        <v>71.87</v>
      </c>
      <c r="G83">
        <f t="shared" si="23"/>
        <v>-5.0005000000000024</v>
      </c>
      <c r="H83" s="87">
        <f t="shared" si="33"/>
        <v>46934</v>
      </c>
      <c r="I83" t="str">
        <f t="shared" si="16"/>
        <v>FSCOM20 Index</v>
      </c>
      <c r="J83" s="85" t="str">
        <f t="array" ref="J83">_xll.BDP($I83,$D$3)</f>
        <v>Jun 28</v>
      </c>
      <c r="K83">
        <f t="array" ref="K83">_xll.BDP($I83,E$3)</f>
        <v>76.760000000000005</v>
      </c>
      <c r="L83">
        <f t="array" ref="L83">_xll.BDP($I83,F$3)</f>
        <v>76.870500000000007</v>
      </c>
      <c r="M83" s="84">
        <f t="shared" si="17"/>
        <v>-1.9499999999993634E-2</v>
      </c>
      <c r="N83" s="87">
        <f t="shared" si="24"/>
        <v>46934</v>
      </c>
      <c r="O83" t="str">
        <f t="shared" si="25"/>
        <v>FDBSM20 Index</v>
      </c>
      <c r="P83" s="85" t="str">
        <f t="array" ref="P83">_xll.BDP($O83,$D$3)</f>
        <v>Jun 28</v>
      </c>
      <c r="Q83">
        <f t="array" ref="Q83">_xll.BDP($O83,E$3)</f>
        <v>1.08</v>
      </c>
      <c r="R83" s="84">
        <f t="array" ref="R83">_xll.BDP($O83,K$1)</f>
        <v>0.6</v>
      </c>
      <c r="S83" s="84">
        <f t="shared" si="40"/>
        <v>77.470500000000001</v>
      </c>
      <c r="T83" s="84">
        <f t="shared" si="41"/>
        <v>0.58050000000000068</v>
      </c>
      <c r="U83" s="87">
        <f t="shared" si="34"/>
        <v>46934</v>
      </c>
      <c r="V83" t="str">
        <f t="shared" si="18"/>
        <v>AFY21 Comdty</v>
      </c>
      <c r="W83" s="85" t="str">
        <f t="array" ref="W83">_xll.BDP($V83,$D$3)</f>
        <v>JUN 28</v>
      </c>
      <c r="X83" s="84">
        <f t="array" ref="X83">_xll.BDP($V83,E$3)</f>
        <v>0.44</v>
      </c>
      <c r="Y83" s="84">
        <f t="array" ref="Y83">_xll.BDP($V83,K$1)</f>
        <v>0.64</v>
      </c>
      <c r="Z83" s="87">
        <f t="shared" si="19"/>
        <v>46934</v>
      </c>
      <c r="AA83" t="str">
        <f t="shared" si="20"/>
        <v>FVMZM20 Index</v>
      </c>
      <c r="AB83" t="str">
        <f t="array" ref="AB83">_xll.BDP($AA83,$D$3)</f>
        <v>Jun 28</v>
      </c>
      <c r="AC83">
        <f t="array" ref="AC83">_xll.BDP($AA83,E$3)</f>
        <v>-3.42</v>
      </c>
      <c r="AD83">
        <f t="array" ref="AD83">_xll.BDP($AA83,K$1)</f>
        <v>-11.07</v>
      </c>
      <c r="AE83" s="87">
        <f t="shared" si="35"/>
        <v>46965</v>
      </c>
      <c r="AF83" s="87" t="str">
        <f t="array" ref="AF83">_xll.BDP($AG83,$D$3)</f>
        <v>JUL 28</v>
      </c>
      <c r="AG83" t="str">
        <f t="shared" si="28"/>
        <v>MUC20 Comdty</v>
      </c>
      <c r="AH83" t="str">
        <f t="array" ref="AH83">_xll.BDP($AG83,F$3)</f>
        <v>#N/A N/A</v>
      </c>
      <c r="AI83">
        <f t="shared" si="36"/>
        <v>76.439499999999995</v>
      </c>
      <c r="AJ83" t="e">
        <f t="shared" si="29"/>
        <v>#VALUE!</v>
      </c>
      <c r="AL83" s="87">
        <f t="shared" si="37"/>
        <v>46965</v>
      </c>
      <c r="AM83" s="87" t="str">
        <f t="array" ref="AM83">_xll.BDP($AN83,$D$3)</f>
        <v>JUL 28</v>
      </c>
      <c r="AN83" t="str">
        <f t="shared" si="30"/>
        <v>OQA20 Comdty</v>
      </c>
      <c r="AO83">
        <f t="array" ref="AO83">_xll.BDP($AN83,F$3)</f>
        <v>82.460000000000008</v>
      </c>
      <c r="AP83">
        <f t="shared" si="38"/>
        <v>76.439499999999995</v>
      </c>
      <c r="AQ83">
        <f t="shared" si="31"/>
        <v>6.0205000000000126</v>
      </c>
      <c r="AS83" t="e">
        <f t="shared" si="39"/>
        <v>#VALUE!</v>
      </c>
    </row>
    <row r="84" spans="1:45" x14ac:dyDescent="0.35">
      <c r="A84" t="str">
        <f t="shared" si="21"/>
        <v>FSCLM21 Index</v>
      </c>
      <c r="B84" s="87">
        <f t="shared" si="32"/>
        <v>46965</v>
      </c>
      <c r="C84" t="str">
        <f t="shared" si="22"/>
        <v>VH22 Comdty</v>
      </c>
      <c r="D84" s="85" t="str">
        <f t="array" ref="D84">_xll.BDP($C84,$D$3)</f>
        <v>JUL 28</v>
      </c>
      <c r="E84">
        <f t="array" ref="E84">_xll.BDP($A84,E$3)</f>
        <v>71.06</v>
      </c>
      <c r="F84">
        <f t="array" ref="F84">_xll.BDP($C84,F$3)</f>
        <v>71.489999999999995</v>
      </c>
      <c r="G84">
        <f t="shared" si="23"/>
        <v>-4.9495000000000005</v>
      </c>
      <c r="H84" s="87">
        <f t="shared" si="33"/>
        <v>46965</v>
      </c>
      <c r="I84" t="str">
        <f t="shared" si="16"/>
        <v>FSCOM21 Index</v>
      </c>
      <c r="J84" s="85" t="str">
        <f t="array" ref="J84">_xll.BDP($I84,$D$3)</f>
        <v>Jul 28</v>
      </c>
      <c r="K84">
        <f t="array" ref="K84">_xll.BDP($I84,E$3)</f>
        <v>76.290000000000006</v>
      </c>
      <c r="L84">
        <f t="array" ref="L84">_xll.BDP($I84,F$3)</f>
        <v>76.439499999999995</v>
      </c>
      <c r="M84" s="84">
        <f t="shared" si="17"/>
        <v>-2.0500000000012619E-2</v>
      </c>
      <c r="N84" s="87">
        <f t="shared" si="24"/>
        <v>46965</v>
      </c>
      <c r="O84" t="str">
        <f t="shared" si="25"/>
        <v>FDBSM21 Index</v>
      </c>
      <c r="P84" s="85" t="str">
        <f t="array" ref="P84">_xll.BDP($O84,$D$3)</f>
        <v>Jul 28</v>
      </c>
      <c r="Q84">
        <f t="array" ref="Q84">_xll.BDP($O84,E$3)</f>
        <v>1.05</v>
      </c>
      <c r="R84" s="84">
        <f t="array" ref="R84">_xll.BDP($O84,K$1)</f>
        <v>0.55000000000000004</v>
      </c>
      <c r="S84" s="84">
        <f t="shared" si="40"/>
        <v>76.989499999999992</v>
      </c>
      <c r="T84" s="84">
        <f t="shared" si="41"/>
        <v>0.52949999999998454</v>
      </c>
      <c r="U84" s="87">
        <f t="shared" si="34"/>
        <v>46965</v>
      </c>
      <c r="V84" t="str">
        <f t="shared" si="18"/>
        <v>AFY22 Comdty</v>
      </c>
      <c r="W84" s="85" t="str">
        <f t="array" ref="W84">_xll.BDP($V84,$D$3)</f>
        <v>JUL 28</v>
      </c>
      <c r="X84" s="84">
        <f t="array" ref="X84">_xll.BDP($V84,E$3)</f>
        <v>0.44</v>
      </c>
      <c r="Y84" s="84">
        <f t="array" ref="Y84">_xll.BDP($V84,K$1)</f>
        <v>0.64</v>
      </c>
      <c r="Z84" s="87">
        <f t="shared" si="19"/>
        <v>46965</v>
      </c>
      <c r="AA84" t="str">
        <f t="shared" si="20"/>
        <v>FVMZM21 Index</v>
      </c>
      <c r="AB84" t="str">
        <f t="array" ref="AB84">_xll.BDP($AA84,$D$3)</f>
        <v>Jul 28</v>
      </c>
      <c r="AC84">
        <f t="array" ref="AC84">_xll.BDP($AA84,E$3)</f>
        <v>-3.11</v>
      </c>
      <c r="AD84">
        <f t="array" ref="AD84">_xll.BDP($AA84,K$1)</f>
        <v>-10.79</v>
      </c>
      <c r="AE84" s="87">
        <f t="shared" si="35"/>
        <v>46996</v>
      </c>
      <c r="AF84" s="87" t="str">
        <f t="array" ref="AF84">_xll.BDP($AG84,$D$3)</f>
        <v>AUG 28</v>
      </c>
      <c r="AG84" t="str">
        <f t="shared" si="28"/>
        <v>MUC21 Comdty</v>
      </c>
      <c r="AH84" t="str">
        <f t="array" ref="AH84">_xll.BDP($AG84,F$3)</f>
        <v>#N/A N/A</v>
      </c>
      <c r="AI84">
        <f t="shared" si="36"/>
        <v>76.012600000000006</v>
      </c>
      <c r="AJ84" t="e">
        <f t="shared" si="29"/>
        <v>#VALUE!</v>
      </c>
      <c r="AL84" s="87">
        <f t="shared" si="37"/>
        <v>46996</v>
      </c>
      <c r="AM84" s="87" t="str">
        <f t="array" ref="AM84">_xll.BDP($AN84,$D$3)</f>
        <v>AUG 28</v>
      </c>
      <c r="AN84" t="str">
        <f t="shared" si="30"/>
        <v>OQA21 Comdty</v>
      </c>
      <c r="AO84">
        <f t="array" ref="AO84">_xll.BDP($AN84,F$3)</f>
        <v>82.01</v>
      </c>
      <c r="AP84">
        <f t="shared" si="38"/>
        <v>76.012600000000006</v>
      </c>
      <c r="AQ84">
        <f t="shared" si="31"/>
        <v>5.997399999999999</v>
      </c>
      <c r="AS84" t="e">
        <f t="shared" si="39"/>
        <v>#VALUE!</v>
      </c>
    </row>
    <row r="85" spans="1:45" x14ac:dyDescent="0.35">
      <c r="A85" t="str">
        <f t="shared" si="21"/>
        <v>FSCLM22 Index</v>
      </c>
      <c r="B85" s="87">
        <f t="shared" si="32"/>
        <v>46996</v>
      </c>
      <c r="C85" t="str">
        <f t="shared" si="22"/>
        <v>VH23 Comdty</v>
      </c>
      <c r="D85" s="85" t="str">
        <f t="array" ref="D85">_xll.BDP($C85,$D$3)</f>
        <v>AUG 28</v>
      </c>
      <c r="E85">
        <f t="array" ref="E85">_xll.BDP($A85,E$3)</f>
        <v>70.67</v>
      </c>
      <c r="F85">
        <f t="array" ref="F85">_xll.BDP($C85,F$3)</f>
        <v>71.12</v>
      </c>
      <c r="G85">
        <f t="shared" si="23"/>
        <v>-4.8926000000000016</v>
      </c>
      <c r="H85" s="87">
        <f t="shared" si="33"/>
        <v>46996</v>
      </c>
      <c r="I85" t="str">
        <f t="shared" si="16"/>
        <v>FSCOM22 Index</v>
      </c>
      <c r="J85" s="85" t="str">
        <f t="array" ref="J85">_xll.BDP($I85,$D$3)</f>
        <v>Aug 28</v>
      </c>
      <c r="K85">
        <f t="array" ref="K85">_xll.BDP($I85,E$3)</f>
        <v>75.819999999999993</v>
      </c>
      <c r="L85">
        <f t="array" ref="L85">_xll.BDP($I85,F$3)</f>
        <v>76.012600000000006</v>
      </c>
      <c r="M85" s="84">
        <f t="shared" si="17"/>
        <v>-1.7399999999994975E-2</v>
      </c>
      <c r="N85" s="87">
        <f t="shared" si="24"/>
        <v>46996</v>
      </c>
      <c r="O85" t="str">
        <f t="shared" si="25"/>
        <v>FDBSM22 Index</v>
      </c>
      <c r="P85" s="85" t="str">
        <f t="array" ref="P85">_xll.BDP($O85,$D$3)</f>
        <v>Aug 28</v>
      </c>
      <c r="Q85">
        <f t="array" ref="Q85">_xll.BDP($O85,E$3)</f>
        <v>1.03</v>
      </c>
      <c r="R85" s="84">
        <f t="array" ref="R85">_xll.BDP($O85,K$1)</f>
        <v>0.54</v>
      </c>
      <c r="S85" s="84">
        <f t="shared" si="40"/>
        <v>76.552600000000012</v>
      </c>
      <c r="T85" s="84">
        <f t="shared" si="41"/>
        <v>0.52260000000001128</v>
      </c>
      <c r="U85" s="87">
        <f t="shared" si="34"/>
        <v>46996</v>
      </c>
      <c r="V85" t="str">
        <f t="shared" si="18"/>
        <v>AFY23 Comdty</v>
      </c>
      <c r="W85" s="85" t="str">
        <f t="array" ref="W85">_xll.BDP($V85,$D$3)</f>
        <v>AUG 28</v>
      </c>
      <c r="X85" s="84">
        <f t="array" ref="X85">_xll.BDP($V85,E$3)</f>
        <v>0.44</v>
      </c>
      <c r="Y85" s="84">
        <f t="array" ref="Y85">_xll.BDP($V85,K$1)</f>
        <v>0.64</v>
      </c>
      <c r="Z85" s="87">
        <f t="shared" si="19"/>
        <v>46996</v>
      </c>
      <c r="AA85" t="str">
        <f t="shared" si="20"/>
        <v>FVMZM22 Index</v>
      </c>
      <c r="AB85" t="str">
        <f t="array" ref="AB85">_xll.BDP($AA85,$D$3)</f>
        <v>Aug 28</v>
      </c>
      <c r="AC85">
        <f t="array" ref="AC85">_xll.BDP($AA85,E$3)</f>
        <v>-2.8</v>
      </c>
      <c r="AD85">
        <f t="array" ref="AD85">_xll.BDP($AA85,K$1)</f>
        <v>-10.53</v>
      </c>
      <c r="AE85" s="87">
        <f t="shared" si="35"/>
        <v>47026</v>
      </c>
      <c r="AF85" s="87" t="str">
        <f t="array" ref="AF85">_xll.BDP($AG85,$D$3)</f>
        <v>SEP 28</v>
      </c>
      <c r="AG85" t="str">
        <f t="shared" si="28"/>
        <v>MUC22 Comdty</v>
      </c>
      <c r="AH85" t="str">
        <f t="array" ref="AH85">_xll.BDP($AG85,F$3)</f>
        <v>#N/A N/A</v>
      </c>
      <c r="AI85">
        <f t="shared" si="36"/>
        <v>75.613799999999998</v>
      </c>
      <c r="AJ85" t="e">
        <f t="shared" si="29"/>
        <v>#VALUE!</v>
      </c>
      <c r="AL85" s="87">
        <f t="shared" si="37"/>
        <v>47026</v>
      </c>
      <c r="AM85" s="87" t="str">
        <f t="array" ref="AM85">_xll.BDP($AN85,$D$3)</f>
        <v>SEP 28</v>
      </c>
      <c r="AN85" t="str">
        <f t="shared" si="30"/>
        <v>OQA22 Comdty</v>
      </c>
      <c r="AO85">
        <f t="array" ref="AO85">_xll.BDP($AN85,F$3)</f>
        <v>81.58</v>
      </c>
      <c r="AP85">
        <f t="shared" si="38"/>
        <v>75.613799999999998</v>
      </c>
      <c r="AQ85">
        <f t="shared" si="31"/>
        <v>5.9662000000000006</v>
      </c>
      <c r="AS85" t="e">
        <f t="shared" si="39"/>
        <v>#VALUE!</v>
      </c>
    </row>
    <row r="86" spans="1:45" x14ac:dyDescent="0.35">
      <c r="A86" t="str">
        <f t="shared" si="21"/>
        <v>FSCLM23 Index</v>
      </c>
      <c r="B86" s="87">
        <f t="shared" si="32"/>
        <v>47026</v>
      </c>
      <c r="C86" t="str">
        <f t="shared" si="22"/>
        <v>VH24 Comdty</v>
      </c>
      <c r="D86" s="85" t="str">
        <f t="array" ref="D86">_xll.BDP($C86,$D$3)</f>
        <v>SEP 28</v>
      </c>
      <c r="E86">
        <f t="array" ref="E86">_xll.BDP($A86,E$3)</f>
        <v>70.27</v>
      </c>
      <c r="F86">
        <f t="array" ref="F86">_xll.BDP($C86,F$3)</f>
        <v>70.75</v>
      </c>
      <c r="G86">
        <f t="shared" si="23"/>
        <v>-4.8637999999999977</v>
      </c>
      <c r="H86" s="87">
        <f t="shared" si="33"/>
        <v>47026</v>
      </c>
      <c r="I86" t="str">
        <f t="shared" si="16"/>
        <v>FSCOM23 Index</v>
      </c>
      <c r="J86" s="85" t="str">
        <f t="array" ref="J86">_xll.BDP($I86,$D$3)</f>
        <v>Sep 28</v>
      </c>
      <c r="K86">
        <f t="array" ref="K86">_xll.BDP($I86,E$3)</f>
        <v>75.38</v>
      </c>
      <c r="L86">
        <f t="array" ref="L86">_xll.BDP($I86,F$3)</f>
        <v>75.613799999999998</v>
      </c>
      <c r="M86" s="84">
        <f t="shared" si="17"/>
        <v>-1.6199999999997772E-2</v>
      </c>
      <c r="N86" s="87">
        <f t="shared" si="24"/>
        <v>47026</v>
      </c>
      <c r="O86" t="str">
        <f t="shared" si="25"/>
        <v>FDBSM23 Index</v>
      </c>
      <c r="P86" s="85" t="str">
        <f t="array" ref="P86">_xll.BDP($O86,$D$3)</f>
        <v>Sep 28</v>
      </c>
      <c r="Q86">
        <f t="array" ref="Q86">_xll.BDP($O86,E$3)</f>
        <v>1.01</v>
      </c>
      <c r="R86" s="84">
        <f t="array" ref="R86">_xll.BDP($O86,K$1)</f>
        <v>0.54</v>
      </c>
      <c r="S86" s="84">
        <f t="shared" si="40"/>
        <v>76.153800000000004</v>
      </c>
      <c r="T86" s="84">
        <f t="shared" si="41"/>
        <v>0.52380000000000848</v>
      </c>
      <c r="U86" s="87">
        <f t="shared" si="34"/>
        <v>47026</v>
      </c>
      <c r="V86" t="str">
        <f t="shared" si="18"/>
        <v>AFY24 Comdty</v>
      </c>
      <c r="W86" s="85" t="str">
        <f t="array" ref="W86">_xll.BDP($V86,$D$3)</f>
        <v>SEP 28</v>
      </c>
      <c r="X86" s="84">
        <f t="array" ref="X86">_xll.BDP($V86,E$3)</f>
        <v>0.44</v>
      </c>
      <c r="Y86" s="84">
        <f t="array" ref="Y86">_xll.BDP($V86,K$1)</f>
        <v>0.64</v>
      </c>
      <c r="Z86" s="87">
        <f t="shared" si="19"/>
        <v>47026</v>
      </c>
      <c r="AA86" t="str">
        <f t="shared" si="20"/>
        <v>FVMZM23 Index</v>
      </c>
      <c r="AB86" t="str">
        <f t="array" ref="AB86">_xll.BDP($AA86,$D$3)</f>
        <v>Sep 28</v>
      </c>
      <c r="AC86">
        <f t="array" ref="AC86">_xll.BDP($AA86,E$3)</f>
        <v>-2.46</v>
      </c>
      <c r="AD86">
        <f t="array" ref="AD86">_xll.BDP($AA86,K$1)</f>
        <v>-10.23</v>
      </c>
      <c r="AE86" s="87">
        <f t="shared" si="35"/>
        <v>47057</v>
      </c>
      <c r="AF86" s="87" t="str">
        <f t="array" ref="AF86">_xll.BDP($AG86,$D$3)</f>
        <v>OCT 28</v>
      </c>
      <c r="AG86" t="str">
        <f t="shared" si="28"/>
        <v>MUC23 Comdty</v>
      </c>
      <c r="AH86" t="str">
        <f t="array" ref="AH86">_xll.BDP($AG86,F$3)</f>
        <v>#N/A N/A</v>
      </c>
      <c r="AI86">
        <f t="shared" si="36"/>
        <v>75.274100000000004</v>
      </c>
      <c r="AJ86" t="e">
        <f t="shared" si="29"/>
        <v>#VALUE!</v>
      </c>
      <c r="AL86" s="87">
        <f t="shared" si="37"/>
        <v>47057</v>
      </c>
      <c r="AM86" s="87" t="str">
        <f t="array" ref="AM86">_xll.BDP($AN86,$D$3)</f>
        <v>OCT 28</v>
      </c>
      <c r="AN86" t="str">
        <f t="shared" si="30"/>
        <v>OQA23 Comdty</v>
      </c>
      <c r="AO86">
        <f t="array" ref="AO86">_xll.BDP($AN86,F$3)</f>
        <v>81.150000000000006</v>
      </c>
      <c r="AP86">
        <f t="shared" si="38"/>
        <v>75.274100000000004</v>
      </c>
      <c r="AQ86">
        <f t="shared" si="31"/>
        <v>5.8759000000000015</v>
      </c>
      <c r="AS86" t="e">
        <f t="shared" si="39"/>
        <v>#VALUE!</v>
      </c>
    </row>
    <row r="87" spans="1:45" x14ac:dyDescent="0.35">
      <c r="A87" t="str">
        <f t="shared" si="21"/>
        <v>FSCLM24 Index</v>
      </c>
      <c r="B87" s="87">
        <f t="shared" si="32"/>
        <v>47057</v>
      </c>
      <c r="C87" t="str">
        <f t="shared" si="22"/>
        <v>VH25 Comdty</v>
      </c>
      <c r="D87" s="85" t="str">
        <f t="array" ref="D87">_xll.BDP($C87,$D$3)</f>
        <v>OCT 28</v>
      </c>
      <c r="E87">
        <f t="array" ref="E87">_xll.BDP($A87,E$3)</f>
        <v>69.94</v>
      </c>
      <c r="F87">
        <f t="array" ref="F87">_xll.BDP($C87,F$3)</f>
        <v>70.44</v>
      </c>
      <c r="G87">
        <f t="shared" si="23"/>
        <v>-4.8341000000000065</v>
      </c>
      <c r="H87" s="87">
        <f t="shared" si="33"/>
        <v>47057</v>
      </c>
      <c r="I87" t="str">
        <f t="shared" si="16"/>
        <v>FSCOM24 Index</v>
      </c>
      <c r="J87" s="85" t="str">
        <f t="array" ref="J87">_xll.BDP($I87,$D$3)</f>
        <v>Oct 28</v>
      </c>
      <c r="K87">
        <f t="array" ref="K87">_xll.BDP($I87,E$3)</f>
        <v>75.02</v>
      </c>
      <c r="L87">
        <f t="array" ref="L87">_xll.BDP($I87,F$3)</f>
        <v>75.274100000000004</v>
      </c>
      <c r="M87" s="84">
        <f t="shared" si="17"/>
        <v>-1.5900000000002024E-2</v>
      </c>
      <c r="N87" s="87">
        <f t="shared" si="24"/>
        <v>47057</v>
      </c>
      <c r="O87" t="str">
        <f t="shared" si="25"/>
        <v>FDBSM24 Index</v>
      </c>
      <c r="P87" s="85" t="str">
        <f t="array" ref="P87">_xll.BDP($O87,$D$3)</f>
        <v>Oct 28</v>
      </c>
      <c r="Q87">
        <f t="array" ref="Q87">_xll.BDP($O87,E$3)</f>
        <v>1.01</v>
      </c>
      <c r="R87" s="84">
        <f t="array" ref="R87">_xll.BDP($O87,K$1)</f>
        <v>0.53</v>
      </c>
      <c r="S87" s="84">
        <f t="shared" si="40"/>
        <v>75.804100000000005</v>
      </c>
      <c r="T87" s="84">
        <f t="shared" si="41"/>
        <v>0.51409999999999911</v>
      </c>
      <c r="U87" s="87">
        <f t="shared" si="34"/>
        <v>47057</v>
      </c>
      <c r="V87" t="str">
        <f t="shared" si="18"/>
        <v>AFY25 Comdty</v>
      </c>
      <c r="W87" s="85" t="str">
        <f t="array" ref="W87">_xll.BDP($V87,$D$3)</f>
        <v>OCT 28</v>
      </c>
      <c r="X87" s="84">
        <f t="array" ref="X87">_xll.BDP($V87,E$3)</f>
        <v>0.44</v>
      </c>
      <c r="Y87" s="84">
        <f t="array" ref="Y87">_xll.BDP($V87,K$1)</f>
        <v>0.64</v>
      </c>
      <c r="Z87" s="87">
        <f t="shared" si="19"/>
        <v>47057</v>
      </c>
      <c r="AA87" t="str">
        <f t="shared" si="20"/>
        <v>FVMZM24 Index</v>
      </c>
      <c r="AB87" t="str">
        <f t="array" ref="AB87">_xll.BDP($AA87,$D$3)</f>
        <v>Oct 28</v>
      </c>
      <c r="AC87">
        <f t="array" ref="AC87">_xll.BDP($AA87,E$3)</f>
        <v>-2.21</v>
      </c>
      <c r="AD87">
        <f t="array" ref="AD87">_xll.BDP($AA87,K$1)</f>
        <v>-9.9499999999999993</v>
      </c>
      <c r="AE87" s="87">
        <f t="shared" si="35"/>
        <v>47087</v>
      </c>
      <c r="AF87" s="87" t="str">
        <f t="array" ref="AF87">_xll.BDP($AG87,$D$3)</f>
        <v>NOV 28</v>
      </c>
      <c r="AG87" t="str">
        <f t="shared" si="28"/>
        <v>MUC24 Comdty</v>
      </c>
      <c r="AH87" t="str">
        <f t="array" ref="AH87">_xll.BDP($AG87,F$3)</f>
        <v>#N/A N/A</v>
      </c>
      <c r="AI87">
        <f t="shared" si="36"/>
        <v>74.924999999999997</v>
      </c>
      <c r="AJ87" t="e">
        <f t="shared" si="29"/>
        <v>#VALUE!</v>
      </c>
      <c r="AL87" s="87">
        <f t="shared" si="37"/>
        <v>47087</v>
      </c>
      <c r="AM87" s="87" t="str">
        <f t="array" ref="AM87">_xll.BDP($AN87,$D$3)</f>
        <v>NOV 28</v>
      </c>
      <c r="AN87" t="str">
        <f t="shared" si="30"/>
        <v>OQA24 Comdty</v>
      </c>
      <c r="AO87">
        <f t="array" ref="AO87">_xll.BDP($AN87,F$3)</f>
        <v>80.75</v>
      </c>
      <c r="AP87">
        <f t="shared" si="38"/>
        <v>74.924999999999997</v>
      </c>
      <c r="AQ87">
        <f t="shared" si="31"/>
        <v>5.8250000000000028</v>
      </c>
      <c r="AS87" t="e">
        <f t="shared" si="39"/>
        <v>#VALUE!</v>
      </c>
    </row>
    <row r="88" spans="1:45" x14ac:dyDescent="0.35">
      <c r="A88" t="str">
        <f t="shared" si="21"/>
        <v>FSCLM25 Index</v>
      </c>
      <c r="B88" s="87">
        <f t="shared" si="32"/>
        <v>47087</v>
      </c>
      <c r="C88" t="str">
        <f t="shared" si="22"/>
        <v>VH26 Comdty</v>
      </c>
      <c r="D88" s="85" t="str">
        <f t="array" ref="D88">_xll.BDP($C88,$D$3)</f>
        <v>NOV 28</v>
      </c>
      <c r="E88">
        <f t="array" ref="E88">_xll.BDP($A88,E$3)</f>
        <v>69.599999999999994</v>
      </c>
      <c r="F88">
        <f t="array" ref="F88">_xll.BDP($C88,F$3)</f>
        <v>70.13</v>
      </c>
      <c r="G88">
        <f t="shared" si="23"/>
        <v>-4.7950000000000017</v>
      </c>
      <c r="H88" s="87">
        <f t="shared" si="33"/>
        <v>47087</v>
      </c>
      <c r="I88" t="str">
        <f t="shared" si="16"/>
        <v>FSCOM25 Index</v>
      </c>
      <c r="J88" s="85" t="str">
        <f t="array" ref="J88">_xll.BDP($I88,$D$3)</f>
        <v>Nov 28</v>
      </c>
      <c r="K88">
        <f t="array" ref="K88">_xll.BDP($I88,E$3)</f>
        <v>74.63</v>
      </c>
      <c r="L88">
        <f t="array" ref="L88">_xll.BDP($I88,F$3)</f>
        <v>74.924999999999997</v>
      </c>
      <c r="M88" s="84">
        <f t="shared" si="17"/>
        <v>-1.5000000000000568E-2</v>
      </c>
      <c r="N88" s="87">
        <f t="shared" si="24"/>
        <v>47087</v>
      </c>
      <c r="O88" t="str">
        <f t="shared" si="25"/>
        <v>FDBSM25 Index</v>
      </c>
      <c r="P88" s="85" t="str">
        <f t="array" ref="P88">_xll.BDP($O88,$D$3)</f>
        <v>Nov 28</v>
      </c>
      <c r="Q88">
        <f t="array" ref="Q88">_xll.BDP($O88,E$3)</f>
        <v>1</v>
      </c>
      <c r="R88" s="84">
        <f t="array" ref="R88">_xll.BDP($O88,K$1)</f>
        <v>0.53</v>
      </c>
      <c r="S88" s="84">
        <f t="shared" si="40"/>
        <v>75.454999999999998</v>
      </c>
      <c r="T88" s="84">
        <f t="shared" si="41"/>
        <v>0.51500000000000057</v>
      </c>
      <c r="U88" s="87">
        <f t="shared" si="34"/>
        <v>47087</v>
      </c>
      <c r="V88" t="str">
        <f t="shared" si="18"/>
        <v>AFY26 Comdty</v>
      </c>
      <c r="W88" s="85" t="str">
        <f t="array" ref="W88">_xll.BDP($V88,$D$3)</f>
        <v>NOV 28</v>
      </c>
      <c r="X88" s="84">
        <f t="array" ref="X88">_xll.BDP($V88,E$3)</f>
        <v>0.44</v>
      </c>
      <c r="Y88" s="84">
        <f t="array" ref="Y88">_xll.BDP($V88,K$1)</f>
        <v>0.64</v>
      </c>
      <c r="Z88" s="87">
        <f t="shared" si="19"/>
        <v>47087</v>
      </c>
      <c r="AA88" t="str">
        <f t="shared" si="20"/>
        <v>FVMZM25 Index</v>
      </c>
      <c r="AB88" t="str">
        <f t="array" ref="AB88">_xll.BDP($AA88,$D$3)</f>
        <v>Nov 28</v>
      </c>
      <c r="AC88">
        <f t="array" ref="AC88">_xll.BDP($AA88,E$3)</f>
        <v>-1.86</v>
      </c>
      <c r="AD88">
        <f t="array" ref="AD88">_xll.BDP($AA88,K$1)</f>
        <v>-9.64</v>
      </c>
      <c r="AE88" s="87">
        <f t="shared" si="35"/>
        <v>47118</v>
      </c>
      <c r="AF88" s="87" t="str">
        <f t="array" ref="AF88">_xll.BDP($AG88,$D$3)</f>
        <v>DEC 28</v>
      </c>
      <c r="AG88" t="str">
        <f t="shared" si="28"/>
        <v>MUC25 Comdty</v>
      </c>
      <c r="AH88" t="str">
        <f t="array" ref="AH88">_xll.BDP($AG88,F$3)</f>
        <v>#N/A N/A</v>
      </c>
      <c r="AI88">
        <f t="shared" si="36"/>
        <v>74.584000000000003</v>
      </c>
      <c r="AJ88" t="e">
        <f t="shared" si="29"/>
        <v>#VALUE!</v>
      </c>
      <c r="AL88" s="87">
        <f t="shared" si="37"/>
        <v>47118</v>
      </c>
      <c r="AM88" s="87" t="str">
        <f t="array" ref="AM88">_xll.BDP($AN88,$D$3)</f>
        <v>DEC 28</v>
      </c>
      <c r="AN88" t="str">
        <f t="shared" si="30"/>
        <v>OQA25 Comdty</v>
      </c>
      <c r="AO88">
        <f t="array" ref="AO88">_xll.BDP($AN88,F$3)</f>
        <v>80.41</v>
      </c>
      <c r="AP88">
        <f t="shared" si="38"/>
        <v>74.584000000000003</v>
      </c>
      <c r="AQ88">
        <f t="shared" si="31"/>
        <v>5.8259999999999934</v>
      </c>
      <c r="AS88" t="e">
        <f t="shared" si="39"/>
        <v>#VALUE!</v>
      </c>
    </row>
    <row r="89" spans="1:45" x14ac:dyDescent="0.35">
      <c r="A89" t="str">
        <f t="shared" si="21"/>
        <v>FSCLM26 Index</v>
      </c>
      <c r="B89" s="87">
        <f t="shared" si="32"/>
        <v>47118</v>
      </c>
      <c r="C89" t="str">
        <f t="shared" si="22"/>
        <v>VH27 Comdty</v>
      </c>
      <c r="D89" s="85" t="str">
        <f t="array" ref="D89">_xll.BDP($C89,$D$3)</f>
        <v>DEC 28</v>
      </c>
      <c r="E89">
        <f t="array" ref="E89">_xll.BDP($A89,E$3)</f>
        <v>69.22</v>
      </c>
      <c r="F89">
        <f t="array" ref="F89">_xll.BDP($C89,F$3)</f>
        <v>69.78</v>
      </c>
      <c r="G89">
        <f t="shared" si="23"/>
        <v>-4.804000000000002</v>
      </c>
      <c r="H89" s="87">
        <f t="shared" si="33"/>
        <v>47118</v>
      </c>
      <c r="I89" t="str">
        <f t="shared" si="16"/>
        <v>FSCOM26 Index</v>
      </c>
      <c r="J89" s="85" t="str">
        <f t="array" ref="J89">_xll.BDP($I89,$D$3)</f>
        <v>Dec 28</v>
      </c>
      <c r="K89">
        <f t="array" ref="K89">_xll.BDP($I89,E$3)</f>
        <v>74.260000000000005</v>
      </c>
      <c r="L89">
        <f t="array" ref="L89">_xll.BDP($I89,F$3)</f>
        <v>74.584000000000003</v>
      </c>
      <c r="M89" s="84">
        <f t="shared" si="17"/>
        <v>-2.5999999999996248E-2</v>
      </c>
      <c r="N89" s="87">
        <f t="shared" si="24"/>
        <v>47118</v>
      </c>
      <c r="O89" t="str">
        <f t="shared" si="25"/>
        <v>FDBSM26 Index</v>
      </c>
      <c r="P89" s="85" t="str">
        <f t="array" ref="P89">_xll.BDP($O89,$D$3)</f>
        <v>Dec 28</v>
      </c>
      <c r="Q89">
        <f t="array" ref="Q89">_xll.BDP($O89,E$3)</f>
        <v>1</v>
      </c>
      <c r="R89" s="84">
        <f t="array" ref="R89">_xll.BDP($O89,K$1)</f>
        <v>0.53</v>
      </c>
      <c r="S89" s="84">
        <f t="shared" si="40"/>
        <v>75.114000000000004</v>
      </c>
      <c r="T89" s="84">
        <f t="shared" si="41"/>
        <v>0.50400000000000489</v>
      </c>
      <c r="U89" s="87">
        <f t="shared" si="34"/>
        <v>47118</v>
      </c>
      <c r="V89" t="str">
        <f t="shared" si="18"/>
        <v>AFY27 Comdty</v>
      </c>
      <c r="W89" s="85" t="str">
        <f t="array" ref="W89">_xll.BDP($V89,$D$3)</f>
        <v>DEC 28</v>
      </c>
      <c r="X89" s="84">
        <f t="array" ref="X89">_xll.BDP($V89,E$3)</f>
        <v>0.44</v>
      </c>
      <c r="Y89" s="84">
        <f t="array" ref="Y89">_xll.BDP($V89,K$1)</f>
        <v>0.64</v>
      </c>
      <c r="Z89" s="87">
        <f t="shared" si="19"/>
        <v>47118</v>
      </c>
      <c r="AA89" t="str">
        <f t="shared" si="20"/>
        <v>FVMZM26 Index</v>
      </c>
      <c r="AB89" t="str">
        <f t="array" ref="AB89">_xll.BDP($AA89,$D$3)</f>
        <v>Dec 28</v>
      </c>
      <c r="AC89">
        <f t="array" ref="AC89">_xll.BDP($AA89,E$3)</f>
        <v>-1.59</v>
      </c>
      <c r="AD89">
        <f t="array" ref="AD89">_xll.BDP($AA89,K$1)</f>
        <v>-9.4</v>
      </c>
      <c r="AE89" s="87">
        <f t="shared" si="35"/>
        <v>47149</v>
      </c>
      <c r="AF89" s="87" t="str">
        <f t="array" ref="AF89">_xll.BDP($AG89,$D$3)</f>
        <v>JAN 29</v>
      </c>
      <c r="AG89" t="str">
        <f t="shared" si="28"/>
        <v>MUC26 Comdty</v>
      </c>
      <c r="AH89" t="str">
        <f t="array" ref="AH89">_xll.BDP($AG89,F$3)</f>
        <v>#N/A N/A</v>
      </c>
      <c r="AI89">
        <f t="shared" si="36"/>
        <v>74.338200000000001</v>
      </c>
      <c r="AJ89" t="e">
        <f t="shared" si="29"/>
        <v>#VALUE!</v>
      </c>
      <c r="AL89" s="87">
        <f t="shared" si="37"/>
        <v>47149</v>
      </c>
      <c r="AM89" s="87" t="str">
        <f t="array" ref="AM89">_xll.BDP($AN89,$D$3)</f>
        <v>JAN 29</v>
      </c>
      <c r="AN89" t="str">
        <f t="shared" si="30"/>
        <v>OQA26 Comdty</v>
      </c>
      <c r="AO89">
        <f t="array" ref="AO89">_xll.BDP($AN89,F$3)</f>
        <v>80.06</v>
      </c>
      <c r="AP89">
        <f t="shared" si="38"/>
        <v>74.338200000000001</v>
      </c>
      <c r="AQ89">
        <f t="shared" si="31"/>
        <v>5.7218000000000018</v>
      </c>
      <c r="AS89" t="e">
        <f t="shared" si="39"/>
        <v>#VALUE!</v>
      </c>
    </row>
    <row r="90" spans="1:45" x14ac:dyDescent="0.35">
      <c r="A90" t="str">
        <f t="shared" si="21"/>
        <v>FSCLM27 Index</v>
      </c>
      <c r="B90" s="87">
        <f t="shared" si="32"/>
        <v>47149</v>
      </c>
      <c r="C90" t="str">
        <f t="shared" si="22"/>
        <v>VH28 Comdty</v>
      </c>
      <c r="D90" s="85" t="str">
        <f t="array" ref="D90">_xll.BDP($C90,$D$3)</f>
        <v>JAN 29</v>
      </c>
      <c r="E90">
        <f t="array" ref="E90">_xll.BDP($A90,E$3)</f>
        <v>68.86</v>
      </c>
      <c r="F90">
        <f t="array" ref="F90">_xll.BDP($C90,F$3)</f>
        <v>69.44</v>
      </c>
      <c r="G90">
        <f t="shared" si="23"/>
        <v>-4.8982000000000028</v>
      </c>
      <c r="H90" s="87">
        <f t="shared" si="33"/>
        <v>47149</v>
      </c>
      <c r="I90" t="str">
        <f t="shared" si="16"/>
        <v>FSCOM27 Index</v>
      </c>
      <c r="J90" s="85" t="str">
        <f t="array" ref="J90">_xll.BDP($I90,$D$3)</f>
        <v>Jan 29</v>
      </c>
      <c r="K90">
        <f t="array" ref="K90">_xll.BDP($I90,E$3)</f>
        <v>74</v>
      </c>
      <c r="L90">
        <f t="array" ref="L90">_xll.BDP($I90,F$3)</f>
        <v>74.338200000000001</v>
      </c>
      <c r="M90" s="84">
        <f t="shared" si="17"/>
        <v>-1.1800000000008026E-2</v>
      </c>
      <c r="N90" s="87">
        <f t="shared" si="24"/>
        <v>47149</v>
      </c>
      <c r="O90" t="str">
        <f t="shared" si="25"/>
        <v>FDBSM27 Index</v>
      </c>
      <c r="P90" s="85" t="str">
        <f t="array" ref="P90">_xll.BDP($O90,$D$3)</f>
        <v>Jan 29</v>
      </c>
      <c r="Q90">
        <f t="array" ref="Q90">_xll.BDP($O90,E$3)</f>
        <v>0.99</v>
      </c>
      <c r="R90" s="84">
        <f t="array" ref="R90">_xll.BDP($O90,K$1)</f>
        <v>0.54</v>
      </c>
      <c r="S90" s="84">
        <f t="shared" si="40"/>
        <v>74.878200000000007</v>
      </c>
      <c r="T90" s="84">
        <f t="shared" si="41"/>
        <v>0.52819999999999823</v>
      </c>
      <c r="U90" s="87">
        <f t="shared" si="34"/>
        <v>47149</v>
      </c>
      <c r="V90" t="str">
        <f t="shared" si="18"/>
        <v>AFY28 Comdty</v>
      </c>
      <c r="W90" s="85" t="str">
        <f t="array" ref="W90">_xll.BDP($V90,$D$3)</f>
        <v>JAN 29</v>
      </c>
      <c r="X90" s="84">
        <f t="array" ref="X90">_xll.BDP($V90,E$3)</f>
        <v>0.44</v>
      </c>
      <c r="Y90" s="84">
        <f t="array" ref="Y90">_xll.BDP($V90,K$1)</f>
        <v>0.64</v>
      </c>
      <c r="Z90" s="87">
        <f t="shared" si="19"/>
        <v>47149</v>
      </c>
      <c r="AA90" t="str">
        <f t="shared" si="20"/>
        <v>FVMZM27 Index</v>
      </c>
      <c r="AB90" t="str">
        <f t="array" ref="AB90">_xll.BDP($AA90,$D$3)</f>
        <v>Jan 29</v>
      </c>
      <c r="AC90">
        <f t="array" ref="AC90">_xll.BDP($AA90,E$3)</f>
        <v>-1.34</v>
      </c>
      <c r="AD90">
        <f t="array" ref="AD90">_xll.BDP($AA90,K$1)</f>
        <v>-9.17</v>
      </c>
      <c r="AE90" s="87">
        <f t="shared" si="35"/>
        <v>47177</v>
      </c>
      <c r="AF90" s="87" t="str">
        <f t="array" ref="AF90">_xll.BDP($AG90,$D$3)</f>
        <v>FEB 29</v>
      </c>
      <c r="AG90" t="str">
        <f t="shared" si="28"/>
        <v>MUC27 Comdty</v>
      </c>
      <c r="AH90" t="str">
        <f t="array" ref="AH90">_xll.BDP($AG90,F$3)</f>
        <v>#N/A N/A</v>
      </c>
      <c r="AI90">
        <f t="shared" si="36"/>
        <v>74.076499999999996</v>
      </c>
      <c r="AJ90" t="e">
        <f t="shared" si="29"/>
        <v>#VALUE!</v>
      </c>
      <c r="AL90" s="87">
        <f t="shared" si="37"/>
        <v>47177</v>
      </c>
      <c r="AM90" s="87" t="str">
        <f t="array" ref="AM90">_xll.BDP($AN90,$D$3)</f>
        <v>FEB 29</v>
      </c>
      <c r="AN90" t="str">
        <f t="shared" si="30"/>
        <v>OQA27 Comdty</v>
      </c>
      <c r="AO90">
        <f t="array" ref="AO90">_xll.BDP($AN90,F$3)</f>
        <v>79.73</v>
      </c>
      <c r="AP90">
        <f t="shared" si="38"/>
        <v>74.076499999999996</v>
      </c>
      <c r="AQ90">
        <f t="shared" si="31"/>
        <v>5.6535000000000082</v>
      </c>
      <c r="AS90" t="e">
        <f t="shared" si="39"/>
        <v>#VALUE!</v>
      </c>
    </row>
    <row r="91" spans="1:45" x14ac:dyDescent="0.35">
      <c r="A91" t="str">
        <f t="shared" si="21"/>
        <v>FSCLM28 Index</v>
      </c>
      <c r="B91" s="87">
        <f t="shared" si="32"/>
        <v>47177</v>
      </c>
      <c r="C91" t="str">
        <f t="shared" si="22"/>
        <v>VH29 Comdty</v>
      </c>
      <c r="D91" s="85" t="str">
        <f t="array" ref="D91">_xll.BDP($C91,$D$3)</f>
        <v>FEB 29</v>
      </c>
      <c r="E91">
        <f t="array" ref="E91">_xll.BDP($A91,E$3)</f>
        <v>68.52</v>
      </c>
      <c r="F91">
        <f t="array" ref="F91">_xll.BDP($C91,F$3)</f>
        <v>69.12</v>
      </c>
      <c r="G91">
        <f t="shared" si="23"/>
        <v>-4.9564999999999912</v>
      </c>
      <c r="H91" s="87">
        <f t="shared" si="33"/>
        <v>47177</v>
      </c>
      <c r="I91" t="str">
        <f t="shared" si="16"/>
        <v>FSCOM28 Index</v>
      </c>
      <c r="J91" s="85" t="str">
        <f t="array" ref="J91">_xll.BDP($I91,$D$3)</f>
        <v>Feb 29</v>
      </c>
      <c r="K91">
        <f t="array" ref="K91">_xll.BDP($I91,E$3)</f>
        <v>73.72</v>
      </c>
      <c r="L91">
        <f t="array" ref="L91">_xll.BDP($I91,F$3)</f>
        <v>74.076499999999996</v>
      </c>
      <c r="M91" s="84">
        <f t="shared" si="17"/>
        <v>-1.3500000000007617E-2</v>
      </c>
      <c r="N91" s="87">
        <f t="shared" si="24"/>
        <v>47177</v>
      </c>
      <c r="O91" t="str">
        <f t="shared" si="25"/>
        <v>FDBSM28 Index</v>
      </c>
      <c r="P91" s="85" t="str">
        <f t="array" ref="P91">_xll.BDP($O91,$D$3)</f>
        <v>Feb 29</v>
      </c>
      <c r="Q91">
        <f t="array" ref="Q91">_xll.BDP($O91,E$3)</f>
        <v>0.99</v>
      </c>
      <c r="R91" s="84">
        <f t="array" ref="R91">_xll.BDP($O91,K$1)</f>
        <v>0.53</v>
      </c>
      <c r="S91" s="84">
        <f t="shared" si="40"/>
        <v>74.606499999999997</v>
      </c>
      <c r="T91" s="84">
        <f t="shared" si="41"/>
        <v>0.51649999999999352</v>
      </c>
      <c r="U91" s="87">
        <f t="shared" si="34"/>
        <v>47177</v>
      </c>
      <c r="V91" t="str">
        <f t="shared" si="18"/>
        <v>AFY29 Comdty</v>
      </c>
      <c r="W91" s="85" t="str">
        <f t="array" ref="W91">_xll.BDP($V91,$D$3)</f>
        <v>FEB 29</v>
      </c>
      <c r="X91" s="84">
        <f t="array" ref="X91">_xll.BDP($V91,E$3)</f>
        <v>0.44</v>
      </c>
      <c r="Y91" s="84">
        <f t="array" ref="Y91">_xll.BDP($V91,K$1)</f>
        <v>0.64</v>
      </c>
      <c r="Z91" s="87">
        <f t="shared" si="19"/>
        <v>47177</v>
      </c>
      <c r="AA91" t="str">
        <f t="shared" si="20"/>
        <v>FVMZM28 Index</v>
      </c>
      <c r="AB91" t="str">
        <f t="array" ref="AB91">_xll.BDP($AA91,$D$3)</f>
        <v>Feb 29</v>
      </c>
      <c r="AC91">
        <f t="array" ref="AC91">_xll.BDP($AA91,E$3)</f>
        <v>-1.17</v>
      </c>
      <c r="AD91">
        <f t="array" ref="AD91">_xll.BDP($AA91,K$1)</f>
        <v>-9.02</v>
      </c>
      <c r="AE91" s="87">
        <f t="shared" si="35"/>
        <v>47208</v>
      </c>
      <c r="AF91" s="87" t="str">
        <f t="array" ref="AF91">_xll.BDP($AG91,$D$3)</f>
        <v>MAR 29</v>
      </c>
      <c r="AG91" t="str">
        <f t="shared" si="28"/>
        <v>MUC28 Comdty</v>
      </c>
      <c r="AH91" t="str">
        <f t="array" ref="AH91">_xll.BDP($AG91,F$3)</f>
        <v>#N/A N/A</v>
      </c>
      <c r="AI91">
        <f t="shared" si="36"/>
        <v>73.806700000000006</v>
      </c>
      <c r="AJ91" t="e">
        <f t="shared" si="29"/>
        <v>#VALUE!</v>
      </c>
      <c r="AL91" s="87">
        <f t="shared" si="37"/>
        <v>47208</v>
      </c>
      <c r="AM91" s="87" t="str">
        <f t="array" ref="AM91">_xll.BDP($AN91,$D$3)</f>
        <v>MAR 29</v>
      </c>
      <c r="AN91" t="str">
        <f t="shared" si="30"/>
        <v>OQA28 Comdty</v>
      </c>
      <c r="AO91">
        <f t="array" ref="AO91">_xll.BDP($AN91,F$3)</f>
        <v>79.47</v>
      </c>
      <c r="AP91">
        <f t="shared" si="38"/>
        <v>73.806700000000006</v>
      </c>
      <c r="AQ91">
        <f t="shared" si="31"/>
        <v>5.6632999999999925</v>
      </c>
      <c r="AS91" t="e">
        <f t="shared" si="39"/>
        <v>#VALUE!</v>
      </c>
    </row>
    <row r="92" spans="1:45" x14ac:dyDescent="0.35">
      <c r="A92" t="str">
        <f t="shared" si="21"/>
        <v>FSCLM29 Index</v>
      </c>
      <c r="B92" s="87">
        <f t="shared" si="32"/>
        <v>47208</v>
      </c>
      <c r="C92" t="str">
        <f t="shared" si="22"/>
        <v>VH30 Comdty</v>
      </c>
      <c r="D92" s="85" t="str">
        <f t="array" ref="D92">_xll.BDP($C92,$D$3)</f>
        <v>MAR 29</v>
      </c>
      <c r="E92">
        <f t="array" ref="E92">_xll.BDP($A92,E$3)</f>
        <v>68.19</v>
      </c>
      <c r="F92">
        <f t="array" ref="F92">_xll.BDP($C92,F$3)</f>
        <v>68.8</v>
      </c>
      <c r="G92">
        <f t="shared" si="23"/>
        <v>-5.0067000000000093</v>
      </c>
      <c r="H92" s="87">
        <f t="shared" si="33"/>
        <v>47208</v>
      </c>
      <c r="I92" t="str">
        <f t="shared" si="16"/>
        <v>FSCOM29 Index</v>
      </c>
      <c r="J92" s="85" t="str">
        <f t="array" ref="J92">_xll.BDP($I92,$D$3)</f>
        <v>Mar 29</v>
      </c>
      <c r="K92">
        <f t="array" ref="K92">_xll.BDP($I92,E$3)</f>
        <v>73.430000000000007</v>
      </c>
      <c r="L92">
        <f t="array" ref="L92">_xll.BDP($I92,F$3)</f>
        <v>73.806700000000006</v>
      </c>
      <c r="M92" s="84">
        <f t="shared" si="17"/>
        <v>-1.3300000000000978E-2</v>
      </c>
      <c r="N92" s="87">
        <f t="shared" si="24"/>
        <v>47208</v>
      </c>
      <c r="O92" t="str">
        <f t="shared" si="25"/>
        <v>FDBSM29 Index</v>
      </c>
      <c r="P92" s="85" t="str">
        <f t="array" ref="P92">_xll.BDP($O92,$D$3)</f>
        <v>Mar 29</v>
      </c>
      <c r="Q92">
        <f t="array" ref="Q92">_xll.BDP($O92,E$3)</f>
        <v>0.99</v>
      </c>
      <c r="R92" s="84">
        <f t="array" ref="R92">_xll.BDP($O92,K$1)</f>
        <v>0.53</v>
      </c>
      <c r="S92" s="84">
        <f t="shared" si="40"/>
        <v>74.336700000000008</v>
      </c>
      <c r="T92" s="84">
        <f t="shared" si="41"/>
        <v>0.51670000000000016</v>
      </c>
      <c r="U92" s="87">
        <f t="shared" si="34"/>
        <v>47208</v>
      </c>
      <c r="V92" t="str">
        <f t="shared" si="18"/>
        <v>AFY30 Comdty</v>
      </c>
      <c r="W92" s="85" t="str">
        <f t="array" ref="W92">_xll.BDP($V92,$D$3)</f>
        <v>MAR 29</v>
      </c>
      <c r="X92" s="84">
        <f t="array" ref="X92">_xll.BDP($V92,E$3)</f>
        <v>0.44</v>
      </c>
      <c r="Y92" s="84">
        <f t="array" ref="Y92">_xll.BDP($V92,K$1)</f>
        <v>0.64</v>
      </c>
      <c r="Z92" s="87">
        <f t="shared" si="19"/>
        <v>47208</v>
      </c>
      <c r="AA92" t="str">
        <f t="shared" si="20"/>
        <v>FVMZM29 Index</v>
      </c>
      <c r="AB92" t="str">
        <f t="array" ref="AB92">_xll.BDP($AA92,$D$3)</f>
        <v>Mar 29</v>
      </c>
      <c r="AC92">
        <f t="array" ref="AC92">_xll.BDP($AA92,E$3)</f>
        <v>-0.94</v>
      </c>
      <c r="AD92">
        <f t="array" ref="AD92">_xll.BDP($AA92,K$1)</f>
        <v>-8.81</v>
      </c>
      <c r="AE92" s="87">
        <f t="shared" si="35"/>
        <v>47238</v>
      </c>
      <c r="AF92" s="87" t="str">
        <f t="array" ref="AF92">_xll.BDP($AG92,$D$3)</f>
        <v>APR 29</v>
      </c>
      <c r="AG92" t="str">
        <f t="shared" si="28"/>
        <v>MUC29 Comdty</v>
      </c>
      <c r="AH92" t="str">
        <f t="array" ref="AH92">_xll.BDP($AG92,F$3)</f>
        <v>#N/A N/A</v>
      </c>
      <c r="AI92">
        <f t="shared" si="36"/>
        <v>73.525700000000001</v>
      </c>
      <c r="AJ92" t="e">
        <f t="shared" si="29"/>
        <v>#VALUE!</v>
      </c>
      <c r="AL92" s="87">
        <f t="shared" si="37"/>
        <v>47238</v>
      </c>
      <c r="AM92" s="87" t="str">
        <f t="array" ref="AM92">_xll.BDP($AN92,$D$3)</f>
        <v>APR 29</v>
      </c>
      <c r="AN92" t="str">
        <f t="shared" si="30"/>
        <v>OQA29 Comdty</v>
      </c>
      <c r="AO92">
        <f t="array" ref="AO92">_xll.BDP($AN92,F$3)</f>
        <v>79.210000000000008</v>
      </c>
      <c r="AP92">
        <f t="shared" si="38"/>
        <v>73.525700000000001</v>
      </c>
      <c r="AQ92">
        <f t="shared" si="31"/>
        <v>5.6843000000000075</v>
      </c>
      <c r="AS92" t="e">
        <f t="shared" si="39"/>
        <v>#VALUE!</v>
      </c>
    </row>
    <row r="93" spans="1:45" x14ac:dyDescent="0.35">
      <c r="A93" t="str">
        <f t="shared" si="21"/>
        <v>FSCLM30 Index</v>
      </c>
      <c r="B93" s="87">
        <f t="shared" si="32"/>
        <v>47238</v>
      </c>
      <c r="C93" t="str">
        <f t="shared" si="22"/>
        <v>VH31 Comdty</v>
      </c>
      <c r="D93" s="85" t="str">
        <f t="array" ref="D93">_xll.BDP($C93,$D$3)</f>
        <v>APR 29</v>
      </c>
      <c r="E93">
        <f t="array" ref="E93">_xll.BDP($A93,E$3)</f>
        <v>67.88</v>
      </c>
      <c r="F93">
        <f t="array" ref="F93">_xll.BDP($C93,F$3)</f>
        <v>68.510000000000005</v>
      </c>
      <c r="G93">
        <f t="shared" si="23"/>
        <v>-5.0156999999999954</v>
      </c>
      <c r="H93" s="87">
        <f t="shared" si="33"/>
        <v>47238</v>
      </c>
      <c r="I93" t="str">
        <f t="shared" si="16"/>
        <v>FSCOM30 Index</v>
      </c>
      <c r="J93" s="85" t="str">
        <f t="array" ref="J93">_xll.BDP($I93,$D$3)</f>
        <v>Apr 29</v>
      </c>
      <c r="K93">
        <f t="array" ref="K93">_xll.BDP($I93,E$3)</f>
        <v>73.150000000000006</v>
      </c>
      <c r="L93">
        <f t="array" ref="L93">_xll.BDP($I93,F$3)</f>
        <v>73.525700000000001</v>
      </c>
      <c r="M93" s="84">
        <f t="shared" si="17"/>
        <v>-1.4300000000005753E-2</v>
      </c>
      <c r="N93" s="87">
        <f t="shared" si="24"/>
        <v>47238</v>
      </c>
      <c r="O93" t="str">
        <f t="shared" si="25"/>
        <v>FDBSM30 Index</v>
      </c>
      <c r="P93" s="85" t="str">
        <f t="array" ref="P93">_xll.BDP($O93,$D$3)</f>
        <v>Apr 29</v>
      </c>
      <c r="Q93">
        <f t="array" ref="Q93">_xll.BDP($O93,E$3)</f>
        <v>0.99</v>
      </c>
      <c r="R93" s="84">
        <f t="array" ref="R93">_xll.BDP($O93,K$1)</f>
        <v>0.53</v>
      </c>
      <c r="S93" s="84">
        <f t="shared" si="40"/>
        <v>74.055700000000002</v>
      </c>
      <c r="T93" s="84">
        <f t="shared" si="41"/>
        <v>0.51569999999999538</v>
      </c>
      <c r="U93" s="87">
        <f t="shared" si="34"/>
        <v>47238</v>
      </c>
      <c r="V93" t="str">
        <f t="shared" si="18"/>
        <v>AFY31 Comdty</v>
      </c>
      <c r="W93" s="85" t="str">
        <f t="array" ref="W93">_xll.BDP($V93,$D$3)</f>
        <v>APR 29</v>
      </c>
      <c r="X93" s="84">
        <f t="array" ref="X93">_xll.BDP($V93,E$3)</f>
        <v>0.44</v>
      </c>
      <c r="Y93" s="84">
        <f t="array" ref="Y93">_xll.BDP($V93,K$1)</f>
        <v>0.64</v>
      </c>
      <c r="Z93" s="87">
        <f t="shared" si="19"/>
        <v>47238</v>
      </c>
      <c r="AA93" t="str">
        <f t="shared" si="20"/>
        <v>FVMZM30 Index</v>
      </c>
      <c r="AB93" t="str">
        <f t="array" ref="AB93">_xll.BDP($AA93,$D$3)</f>
        <v>Apr 29</v>
      </c>
      <c r="AC93">
        <f t="array" ref="AC93">_xll.BDP($AA93,E$3)</f>
        <v>-0.68</v>
      </c>
      <c r="AD93">
        <f t="array" ref="AD93">_xll.BDP($AA93,K$1)</f>
        <v>-8.65</v>
      </c>
      <c r="AE93" s="87">
        <f t="shared" si="35"/>
        <v>47269</v>
      </c>
      <c r="AF93" s="87" t="str">
        <f t="array" ref="AF93">_xll.BDP($AG93,$D$3)</f>
        <v>MAY 29</v>
      </c>
      <c r="AG93" t="str">
        <f t="shared" si="28"/>
        <v>MUC30 Comdty</v>
      </c>
      <c r="AH93" t="str">
        <f t="array" ref="AH93">_xll.BDP($AG93,F$3)</f>
        <v>#N/A N/A</v>
      </c>
      <c r="AI93">
        <f t="shared" si="36"/>
        <v>73.228300000000004</v>
      </c>
      <c r="AJ93" t="e">
        <f t="shared" si="29"/>
        <v>#VALUE!</v>
      </c>
      <c r="AL93" s="87">
        <f t="shared" si="37"/>
        <v>47269</v>
      </c>
      <c r="AM93" s="87" t="str">
        <f t="array" ref="AM93">_xll.BDP($AN93,$D$3)</f>
        <v>MAY 29</v>
      </c>
      <c r="AN93" t="str">
        <f t="shared" si="30"/>
        <v>OQA30 Comdty</v>
      </c>
      <c r="AO93">
        <f t="array" ref="AO93">_xll.BDP($AN93,F$3)</f>
        <v>78.94</v>
      </c>
      <c r="AP93">
        <f t="shared" si="38"/>
        <v>73.228300000000004</v>
      </c>
      <c r="AQ93">
        <f t="shared" si="31"/>
        <v>5.7116999999999933</v>
      </c>
      <c r="AS93" t="e">
        <f t="shared" si="39"/>
        <v>#VALUE!</v>
      </c>
    </row>
    <row r="94" spans="1:45" x14ac:dyDescent="0.35">
      <c r="A94" t="str">
        <f t="shared" si="21"/>
        <v>FSCLM31 Index</v>
      </c>
      <c r="B94" s="87">
        <f t="shared" si="32"/>
        <v>47269</v>
      </c>
      <c r="C94" t="str">
        <f t="shared" si="22"/>
        <v>VH32 Comdty</v>
      </c>
      <c r="D94" s="85" t="str">
        <f t="array" ref="D94">_xll.BDP($C94,$D$3)</f>
        <v>MAY 29</v>
      </c>
      <c r="E94">
        <f t="array" ref="E94">_xll.BDP($A94,E$3)</f>
        <v>67.55</v>
      </c>
      <c r="F94">
        <f t="array" ref="F94">_xll.BDP($C94,F$3)</f>
        <v>68.17</v>
      </c>
      <c r="G94">
        <f t="shared" si="23"/>
        <v>-5.0583000000000027</v>
      </c>
      <c r="H94" s="87">
        <f t="shared" si="33"/>
        <v>47269</v>
      </c>
      <c r="I94" t="str">
        <f t="shared" si="16"/>
        <v>FSCOM31 Index</v>
      </c>
      <c r="J94" s="85" t="str">
        <f t="array" ref="J94">_xll.BDP($I94,$D$3)</f>
        <v>May 29</v>
      </c>
      <c r="K94">
        <f t="array" ref="K94">_xll.BDP($I94,E$3)</f>
        <v>72.84</v>
      </c>
      <c r="L94">
        <f t="array" ref="L94">_xll.BDP($I94,F$3)</f>
        <v>73.228300000000004</v>
      </c>
      <c r="M94" s="84">
        <f t="shared" si="17"/>
        <v>-1.1699999999990496E-2</v>
      </c>
      <c r="N94" s="87">
        <f t="shared" si="24"/>
        <v>47269</v>
      </c>
      <c r="O94" t="str">
        <f t="shared" si="25"/>
        <v>FDBSM31 Index</v>
      </c>
      <c r="P94" s="85" t="str">
        <f t="array" ref="P94">_xll.BDP($O94,$D$3)</f>
        <v>May 29</v>
      </c>
      <c r="Q94">
        <f t="array" ref="Q94">_xll.BDP($O94,E$3)</f>
        <v>0.99</v>
      </c>
      <c r="R94" s="84">
        <f t="array" ref="R94">_xll.BDP($O94,K$1)</f>
        <v>0.53</v>
      </c>
      <c r="S94" s="84">
        <f t="shared" si="40"/>
        <v>73.758300000000006</v>
      </c>
      <c r="T94" s="84">
        <f t="shared" si="41"/>
        <v>0.51830000000001064</v>
      </c>
      <c r="U94" s="87">
        <f t="shared" si="34"/>
        <v>47269</v>
      </c>
      <c r="V94" t="str">
        <f t="shared" si="18"/>
        <v>AFY32 Comdty</v>
      </c>
      <c r="W94" s="85" t="str">
        <f t="array" ref="W94">_xll.BDP($V94,$D$3)</f>
        <v>MAY 29</v>
      </c>
      <c r="X94" s="84">
        <f t="array" ref="X94">_xll.BDP($V94,E$3)</f>
        <v>0.44</v>
      </c>
      <c r="Y94" s="84">
        <f t="array" ref="Y94">_xll.BDP($V94,K$1)</f>
        <v>0.64</v>
      </c>
      <c r="Z94" s="87">
        <f t="shared" si="19"/>
        <v>47269</v>
      </c>
      <c r="AA94" t="str">
        <f t="shared" si="20"/>
        <v>FVMZM31 Index</v>
      </c>
      <c r="AB94" t="str">
        <f t="array" ref="AB94">_xll.BDP($AA94,$D$3)</f>
        <v>May 29</v>
      </c>
      <c r="AC94">
        <f t="array" ref="AC94">_xll.BDP($AA94,E$3)</f>
        <v>-0.5</v>
      </c>
      <c r="AD94">
        <f t="array" ref="AD94">_xll.BDP($AA94,K$1)</f>
        <v>-8.48</v>
      </c>
      <c r="AE94" s="87">
        <f t="shared" si="35"/>
        <v>47299</v>
      </c>
      <c r="AF94" s="87" t="str">
        <f t="array" ref="AF94">_xll.BDP($AG94,$D$3)</f>
        <v>JUN 29</v>
      </c>
      <c r="AG94" t="str">
        <f t="shared" si="28"/>
        <v>MUC31 Comdty</v>
      </c>
      <c r="AH94" t="str">
        <f t="array" ref="AH94">_xll.BDP($AG94,F$3)</f>
        <v>#N/A N/A</v>
      </c>
      <c r="AI94">
        <f t="shared" si="36"/>
        <v>72.956699999999998</v>
      </c>
      <c r="AJ94" t="e">
        <f t="shared" si="29"/>
        <v>#VALUE!</v>
      </c>
      <c r="AL94" s="87">
        <f t="shared" si="37"/>
        <v>47299</v>
      </c>
      <c r="AM94" s="87" t="str">
        <f t="array" ref="AM94">_xll.BDP($AN94,$D$3)</f>
        <v>JUN 29</v>
      </c>
      <c r="AN94" t="str">
        <f t="shared" si="30"/>
        <v>OQA31 Comdty</v>
      </c>
      <c r="AO94">
        <f t="array" ref="AO94">_xll.BDP($AN94,F$3)</f>
        <v>78.66</v>
      </c>
      <c r="AP94">
        <f t="shared" si="38"/>
        <v>72.956699999999998</v>
      </c>
      <c r="AQ94">
        <f t="shared" si="31"/>
        <v>5.7032999999999987</v>
      </c>
      <c r="AS94" t="e">
        <f t="shared" si="39"/>
        <v>#VALUE!</v>
      </c>
    </row>
    <row r="95" spans="1:45" x14ac:dyDescent="0.35">
      <c r="A95" t="str">
        <f t="shared" si="21"/>
        <v>FSCLM32 Index</v>
      </c>
      <c r="B95" s="87">
        <f t="shared" si="32"/>
        <v>47299</v>
      </c>
      <c r="C95" t="str">
        <f t="shared" si="22"/>
        <v>VH33 Comdty</v>
      </c>
      <c r="D95" s="85" t="str">
        <f t="array" ref="D95">_xll.BDP($C95,$D$3)</f>
        <v>JUN 29</v>
      </c>
      <c r="E95">
        <f t="array" ref="E95">_xll.BDP($A95,E$3)</f>
        <v>67.180000000000007</v>
      </c>
      <c r="F95">
        <f t="array" ref="F95">_xll.BDP($C95,F$3)</f>
        <v>67.81</v>
      </c>
      <c r="G95">
        <f t="shared" si="23"/>
        <v>-5.1466999999999956</v>
      </c>
      <c r="H95" s="87">
        <f t="shared" si="33"/>
        <v>47299</v>
      </c>
      <c r="I95" t="str">
        <f t="shared" si="16"/>
        <v>FSCOM32 Index</v>
      </c>
      <c r="J95" s="85" t="str">
        <f t="array" ref="J95">_xll.BDP($I95,$D$3)</f>
        <v>Jun 29</v>
      </c>
      <c r="K95">
        <f t="array" ref="K95">_xll.BDP($I95,E$3)</f>
        <v>72.56</v>
      </c>
      <c r="L95">
        <f t="array" ref="L95">_xll.BDP($I95,F$3)</f>
        <v>72.956699999999998</v>
      </c>
      <c r="M95" s="84">
        <f t="shared" si="17"/>
        <v>-1.3300000000000978E-2</v>
      </c>
      <c r="N95" s="87">
        <f t="shared" si="24"/>
        <v>47299</v>
      </c>
      <c r="O95" t="str">
        <f t="shared" si="25"/>
        <v>FDBSM32 Index</v>
      </c>
      <c r="P95" s="85" t="str">
        <f t="array" ref="P95">_xll.BDP($O95,$D$3)</f>
        <v>Jun 29</v>
      </c>
      <c r="Q95">
        <f t="array" ref="Q95">_xll.BDP($O95,E$3)</f>
        <v>0.98</v>
      </c>
      <c r="R95" s="84">
        <f t="array" ref="R95">_xll.BDP($O95,K$1)</f>
        <v>0.53</v>
      </c>
      <c r="S95" s="84">
        <f t="shared" si="40"/>
        <v>73.486699999999999</v>
      </c>
      <c r="T95" s="84">
        <f t="shared" si="41"/>
        <v>0.51670000000000016</v>
      </c>
      <c r="U95" s="87">
        <f t="shared" si="34"/>
        <v>47299</v>
      </c>
      <c r="V95" t="str">
        <f t="shared" si="18"/>
        <v>AFY33 Comdty</v>
      </c>
      <c r="W95" s="85" t="str">
        <f t="array" ref="W95">_xll.BDP($V95,$D$3)</f>
        <v>JUN 29</v>
      </c>
      <c r="X95" s="84">
        <f t="array" ref="X95">_xll.BDP($V95,E$3)</f>
        <v>0.44</v>
      </c>
      <c r="Y95" s="84">
        <f t="array" ref="Y95">_xll.BDP($V95,K$1)</f>
        <v>0.64</v>
      </c>
      <c r="Z95" s="87">
        <f t="shared" si="19"/>
        <v>47299</v>
      </c>
      <c r="AA95" t="str">
        <f t="shared" si="20"/>
        <v>FVMZM32 Index</v>
      </c>
      <c r="AB95" t="str">
        <f t="array" ref="AB95">_xll.BDP($AA95,$D$3)</f>
        <v>Jun 29</v>
      </c>
      <c r="AC95">
        <f t="array" ref="AC95">_xll.BDP($AA95,E$3)</f>
        <v>-0.28999999999999998</v>
      </c>
      <c r="AD95">
        <f t="array" ref="AD95">_xll.BDP($AA95,K$1)</f>
        <v>-8.2799999999999994</v>
      </c>
      <c r="AE95" s="87">
        <f t="shared" si="35"/>
        <v>47330</v>
      </c>
      <c r="AF95" s="87" t="str">
        <f t="array" ref="AF95">_xll.BDP($AG95,$D$3)</f>
        <v>JUL 29</v>
      </c>
      <c r="AG95" t="str">
        <f t="shared" si="28"/>
        <v>MUC32 Comdty</v>
      </c>
      <c r="AH95" t="str">
        <f t="array" ref="AH95">_xll.BDP($AG95,F$3)</f>
        <v>#N/A N/A</v>
      </c>
      <c r="AI95">
        <f t="shared" si="36"/>
        <v>72.677700000000002</v>
      </c>
      <c r="AJ95" t="e">
        <f t="shared" si="29"/>
        <v>#VALUE!</v>
      </c>
      <c r="AL95" s="87">
        <f t="shared" si="37"/>
        <v>47330</v>
      </c>
      <c r="AM95" s="87" t="str">
        <f t="array" ref="AM95">_xll.BDP($AN95,$D$3)</f>
        <v>JUL 29</v>
      </c>
      <c r="AN95" t="str">
        <f t="shared" si="30"/>
        <v>OQA32 Comdty</v>
      </c>
      <c r="AO95">
        <f t="array" ref="AO95">_xll.BDP($AN95,F$3)</f>
        <v>78.36</v>
      </c>
      <c r="AP95">
        <f t="shared" si="38"/>
        <v>72.677700000000002</v>
      </c>
      <c r="AQ95">
        <f t="shared" si="31"/>
        <v>5.6822999999999979</v>
      </c>
      <c r="AS95" t="e">
        <f t="shared" si="39"/>
        <v>#VALUE!</v>
      </c>
    </row>
    <row r="96" spans="1:45" x14ac:dyDescent="0.35">
      <c r="A96" t="str">
        <f t="shared" si="21"/>
        <v>FSCLM33 Index</v>
      </c>
      <c r="B96" s="87">
        <f t="shared" si="32"/>
        <v>47330</v>
      </c>
      <c r="C96" t="str">
        <f t="shared" si="22"/>
        <v>VH34 Comdty</v>
      </c>
      <c r="D96" s="85" t="str">
        <f t="array" ref="D96">_xll.BDP($C96,$D$3)</f>
        <v>JUL 29</v>
      </c>
      <c r="E96">
        <f t="array" ref="E96">_xll.BDP($A96,E$3)</f>
        <v>66.88</v>
      </c>
      <c r="F96">
        <f t="array" ref="F96">_xll.BDP($C96,F$3)</f>
        <v>67.510000000000005</v>
      </c>
      <c r="G96">
        <f t="shared" si="23"/>
        <v>-5.1676999999999964</v>
      </c>
      <c r="H96" s="87">
        <f t="shared" si="33"/>
        <v>47330</v>
      </c>
      <c r="I96" t="str">
        <f t="shared" si="16"/>
        <v>FSCOM33 Index</v>
      </c>
      <c r="J96" s="85" t="str">
        <f t="array" ref="J96">_xll.BDP($I96,$D$3)</f>
        <v>Jul 29</v>
      </c>
      <c r="K96">
        <f t="array" ref="K96">_xll.BDP($I96,E$3)</f>
        <v>72.27</v>
      </c>
      <c r="L96">
        <f t="array" ref="L96">_xll.BDP($I96,F$3)</f>
        <v>72.677700000000002</v>
      </c>
      <c r="M96" s="84">
        <f t="shared" si="17"/>
        <v>-1.2299999999996203E-2</v>
      </c>
      <c r="N96" s="87">
        <f t="shared" si="24"/>
        <v>47330</v>
      </c>
      <c r="O96" t="str">
        <f t="shared" si="25"/>
        <v>FDBSM33 Index</v>
      </c>
      <c r="P96" s="85" t="str">
        <f t="array" ref="P96">_xll.BDP($O96,$D$3)</f>
        <v>Jul 29</v>
      </c>
      <c r="Q96">
        <f t="array" ref="Q96">_xll.BDP($O96,E$3)</f>
        <v>0.98</v>
      </c>
      <c r="R96" s="84">
        <f t="array" ref="R96">_xll.BDP($O96,K$1)</f>
        <v>0.53</v>
      </c>
      <c r="S96" s="84">
        <f t="shared" si="40"/>
        <v>73.207700000000003</v>
      </c>
      <c r="T96" s="84">
        <f t="shared" si="41"/>
        <v>0.51770000000000493</v>
      </c>
      <c r="U96" s="87">
        <f t="shared" si="34"/>
        <v>47330</v>
      </c>
      <c r="V96" t="str">
        <f t="shared" si="18"/>
        <v>AFY34 Comdty</v>
      </c>
      <c r="W96" s="85" t="str">
        <f t="array" ref="W96">_xll.BDP($V96,$D$3)</f>
        <v>JUL 29</v>
      </c>
      <c r="X96" s="84">
        <f t="array" ref="X96">_xll.BDP($V96,E$3)</f>
        <v>0.44</v>
      </c>
      <c r="Y96" s="84">
        <f t="array" ref="Y96">_xll.BDP($V96,K$1)</f>
        <v>0.64</v>
      </c>
      <c r="Z96" s="87">
        <f t="shared" si="19"/>
        <v>47330</v>
      </c>
      <c r="AA96" t="str">
        <f t="shared" si="20"/>
        <v>FVMZM33 Index</v>
      </c>
      <c r="AB96" t="str">
        <f t="array" ref="AB96">_xll.BDP($AA96,$D$3)</f>
        <v>Jul 29</v>
      </c>
      <c r="AC96">
        <f t="array" ref="AC96">_xll.BDP($AA96,E$3)</f>
        <v>0</v>
      </c>
      <c r="AD96">
        <f t="array" ref="AD96">_xll.BDP($AA96,K$1)</f>
        <v>-8</v>
      </c>
      <c r="AE96" s="87">
        <f t="shared" si="35"/>
        <v>47361</v>
      </c>
      <c r="AF96" s="87" t="str">
        <f t="array" ref="AF96">_xll.BDP($AG96,$D$3)</f>
        <v>AUG 29</v>
      </c>
      <c r="AG96" t="str">
        <f t="shared" si="28"/>
        <v>MUC33 Comdty</v>
      </c>
      <c r="AH96" t="str">
        <f t="array" ref="AH96">_xll.BDP($AG96,F$3)</f>
        <v>#N/A N/A</v>
      </c>
      <c r="AI96">
        <f t="shared" si="36"/>
        <v>72.406999999999996</v>
      </c>
      <c r="AJ96" t="e">
        <f t="shared" si="29"/>
        <v>#VALUE!</v>
      </c>
      <c r="AL96" s="87">
        <f t="shared" si="37"/>
        <v>47361</v>
      </c>
      <c r="AM96" s="87" t="str">
        <f t="array" ref="AM96">_xll.BDP($AN96,$D$3)</f>
        <v>AUG 29</v>
      </c>
      <c r="AN96" t="str">
        <f t="shared" si="30"/>
        <v>OQA33 Comdty</v>
      </c>
      <c r="AO96">
        <f t="array" ref="AO96">_xll.BDP($AN96,F$3)</f>
        <v>78.09</v>
      </c>
      <c r="AP96">
        <f t="shared" si="38"/>
        <v>72.406999999999996</v>
      </c>
      <c r="AQ96">
        <f t="shared" si="31"/>
        <v>5.6830000000000069</v>
      </c>
      <c r="AS96" t="e">
        <f t="shared" si="39"/>
        <v>#VALUE!</v>
      </c>
    </row>
    <row r="97" spans="1:45" x14ac:dyDescent="0.35">
      <c r="A97" t="str">
        <f t="shared" si="21"/>
        <v>FSCLM34 Index</v>
      </c>
      <c r="B97" s="87">
        <f t="shared" si="32"/>
        <v>47361</v>
      </c>
      <c r="C97" t="str">
        <f t="shared" si="22"/>
        <v>VH35 Comdty</v>
      </c>
      <c r="D97" s="85" t="str">
        <f t="array" ref="D97">_xll.BDP($C97,$D$3)</f>
        <v>AUG 29</v>
      </c>
      <c r="E97">
        <f t="array" ref="E97">_xll.BDP($A97,E$3)</f>
        <v>66.56</v>
      </c>
      <c r="F97">
        <f t="array" ref="F97">_xll.BDP($C97,F$3)</f>
        <v>67.2</v>
      </c>
      <c r="G97">
        <f t="shared" si="23"/>
        <v>-5.2069999999999936</v>
      </c>
      <c r="H97" s="87">
        <f t="shared" si="33"/>
        <v>47361</v>
      </c>
      <c r="I97" t="str">
        <f t="shared" si="16"/>
        <v>FSCOM34 Index</v>
      </c>
      <c r="J97" s="85" t="str">
        <f t="array" ref="J97">_xll.BDP($I97,$D$3)</f>
        <v>Aug 29</v>
      </c>
      <c r="K97">
        <f t="array" ref="K97">_xll.BDP($I97,E$3)</f>
        <v>71.989999999999995</v>
      </c>
      <c r="L97">
        <f t="array" ref="L97">_xll.BDP($I97,F$3)</f>
        <v>72.406999999999996</v>
      </c>
      <c r="M97" s="84">
        <f t="shared" si="17"/>
        <v>-1.300000000000523E-2</v>
      </c>
      <c r="N97" s="87">
        <f t="shared" si="24"/>
        <v>47361</v>
      </c>
      <c r="O97" t="str">
        <f t="shared" si="25"/>
        <v>FDBSM34 Index</v>
      </c>
      <c r="P97" s="85" t="str">
        <f t="array" ref="P97">_xll.BDP($O97,$D$3)</f>
        <v>Aug 29</v>
      </c>
      <c r="Q97">
        <f t="array" ref="Q97">_xll.BDP($O97,E$3)</f>
        <v>0.98</v>
      </c>
      <c r="R97" s="84">
        <f t="array" ref="R97">_xll.BDP($O97,K$1)</f>
        <v>0.53</v>
      </c>
      <c r="S97" s="84">
        <f t="shared" si="40"/>
        <v>72.936999999999998</v>
      </c>
      <c r="T97" s="84">
        <f t="shared" si="41"/>
        <v>0.51699999999999591</v>
      </c>
      <c r="U97" s="87">
        <f t="shared" si="34"/>
        <v>47361</v>
      </c>
      <c r="V97" t="str">
        <f t="shared" si="18"/>
        <v>AFY35 Comdty</v>
      </c>
      <c r="W97" s="85" t="str">
        <f t="array" ref="W97">_xll.BDP($V97,$D$3)</f>
        <v>AUG 29</v>
      </c>
      <c r="X97" s="84">
        <f t="array" ref="X97">_xll.BDP($V97,E$3)</f>
        <v>0.44</v>
      </c>
      <c r="Y97" s="84">
        <f t="array" ref="Y97">_xll.BDP($V97,K$1)</f>
        <v>0.64</v>
      </c>
      <c r="Z97" s="87">
        <f t="shared" si="19"/>
        <v>47361</v>
      </c>
      <c r="AA97" t="str">
        <f t="shared" si="20"/>
        <v>FVMZM34 Index</v>
      </c>
      <c r="AB97" t="str">
        <f t="array" ref="AB97">_xll.BDP($AA97,$D$3)</f>
        <v>Aug 29</v>
      </c>
      <c r="AC97">
        <f t="array" ref="AC97">_xll.BDP($AA97,E$3)</f>
        <v>0.23</v>
      </c>
      <c r="AD97">
        <f t="array" ref="AD97">_xll.BDP($AA97,K$1)</f>
        <v>-7.78</v>
      </c>
      <c r="AE97" s="87">
        <f t="shared" si="35"/>
        <v>47391</v>
      </c>
      <c r="AF97" s="87" t="str">
        <f t="array" ref="AF97">_xll.BDP($AG97,$D$3)</f>
        <v>SEP 29</v>
      </c>
      <c r="AG97" t="str">
        <f t="shared" si="28"/>
        <v>MUC34 Comdty</v>
      </c>
      <c r="AH97" t="str">
        <f t="array" ref="AH97">_xll.BDP($AG97,F$3)</f>
        <v>#N/A N/A</v>
      </c>
      <c r="AI97">
        <f t="shared" si="36"/>
        <v>72.105999999999995</v>
      </c>
      <c r="AJ97" t="e">
        <f t="shared" si="29"/>
        <v>#VALUE!</v>
      </c>
      <c r="AL97" s="87">
        <f t="shared" si="37"/>
        <v>47391</v>
      </c>
      <c r="AM97" s="87" t="str">
        <f t="array" ref="AM97">_xll.BDP($AN97,$D$3)</f>
        <v>SEP 29</v>
      </c>
      <c r="AN97" t="str">
        <f t="shared" si="30"/>
        <v>OQA34 Comdty</v>
      </c>
      <c r="AO97">
        <f t="array" ref="AO97">_xll.BDP($AN97,F$3)</f>
        <v>77.81</v>
      </c>
      <c r="AP97">
        <f t="shared" si="38"/>
        <v>72.105999999999995</v>
      </c>
      <c r="AQ97">
        <f t="shared" si="31"/>
        <v>5.7040000000000077</v>
      </c>
      <c r="AS97" t="e">
        <f t="shared" si="39"/>
        <v>#VALUE!</v>
      </c>
    </row>
    <row r="98" spans="1:45" x14ac:dyDescent="0.35">
      <c r="A98" t="str">
        <f t="shared" si="21"/>
        <v>FSCLM35 Index</v>
      </c>
      <c r="B98" s="87">
        <f t="shared" si="32"/>
        <v>47391</v>
      </c>
      <c r="C98" t="str">
        <f t="shared" si="22"/>
        <v>VH36 Comdty</v>
      </c>
      <c r="D98" s="85" t="str">
        <f t="array" ref="D98">_xll.BDP($C98,$D$3)</f>
        <v>SEP 29</v>
      </c>
      <c r="E98">
        <f t="array" ref="E98">_xll.BDP($A98,E$3)</f>
        <v>66.27</v>
      </c>
      <c r="F98">
        <f t="array" ref="F98">_xll.BDP($C98,F$3)</f>
        <v>66.91</v>
      </c>
      <c r="G98">
        <f t="shared" si="23"/>
        <v>-5.195999999999998</v>
      </c>
      <c r="H98" s="87">
        <f t="shared" si="33"/>
        <v>47391</v>
      </c>
      <c r="I98" t="str">
        <f t="shared" si="16"/>
        <v>FSCOM35 Index</v>
      </c>
      <c r="J98" s="85" t="str">
        <f t="array" ref="J98">_xll.BDP($I98,$D$3)</f>
        <v>Sep 29</v>
      </c>
      <c r="K98">
        <f t="array" ref="K98">_xll.BDP($I98,E$3)</f>
        <v>71.680000000000007</v>
      </c>
      <c r="L98">
        <f t="array" ref="L98">_xll.BDP($I98,F$3)</f>
        <v>72.105999999999995</v>
      </c>
      <c r="M98" s="84">
        <f t="shared" si="17"/>
        <v>-1.4000000000010004E-2</v>
      </c>
      <c r="N98" s="87">
        <f t="shared" si="24"/>
        <v>47391</v>
      </c>
      <c r="O98" t="str">
        <f t="shared" si="25"/>
        <v>FDBSM35 Index</v>
      </c>
      <c r="P98" s="85" t="str">
        <f t="array" ref="P98">_xll.BDP($O98,$D$3)</f>
        <v>Sep 29</v>
      </c>
      <c r="Q98">
        <f t="array" ref="Q98">_xll.BDP($O98,E$3)</f>
        <v>0.98</v>
      </c>
      <c r="R98" s="84">
        <f t="array" ref="R98">_xll.BDP($O98,K$1)</f>
        <v>0.53</v>
      </c>
      <c r="S98" s="84">
        <f t="shared" si="40"/>
        <v>72.635999999999996</v>
      </c>
      <c r="T98" s="84">
        <f t="shared" si="41"/>
        <v>0.51599999999999113</v>
      </c>
      <c r="U98" s="87">
        <f t="shared" si="34"/>
        <v>47391</v>
      </c>
      <c r="V98" t="str">
        <f t="shared" si="18"/>
        <v>AFY36 Comdty</v>
      </c>
      <c r="W98" s="85" t="str">
        <f t="array" ref="W98">_xll.BDP($V98,$D$3)</f>
        <v>SEP 29</v>
      </c>
      <c r="X98" s="84">
        <f t="array" ref="X98">_xll.BDP($V98,E$3)</f>
        <v>0.44</v>
      </c>
      <c r="Y98" s="84">
        <f t="array" ref="Y98">_xll.BDP($V98,K$1)</f>
        <v>0.64</v>
      </c>
      <c r="Z98" s="87">
        <f t="shared" si="19"/>
        <v>47391</v>
      </c>
      <c r="AA98" t="str">
        <f t="shared" si="20"/>
        <v>FVMZM35 Index</v>
      </c>
      <c r="AB98" t="str">
        <f t="array" ref="AB98">_xll.BDP($AA98,$D$3)</f>
        <v>Sep 29</v>
      </c>
      <c r="AC98">
        <f t="array" ref="AC98">_xll.BDP($AA98,E$3)</f>
        <v>0.49</v>
      </c>
      <c r="AD98">
        <f t="array" ref="AD98">_xll.BDP($AA98,K$1)</f>
        <v>-7.53</v>
      </c>
      <c r="AE98" s="87">
        <f t="shared" si="35"/>
        <v>47422</v>
      </c>
      <c r="AF98" s="87" t="str">
        <f t="array" ref="AF98">_xll.BDP($AG98,$D$3)</f>
        <v>OCT 29</v>
      </c>
      <c r="AG98" t="str">
        <f t="shared" si="28"/>
        <v>MUC35 Comdty</v>
      </c>
      <c r="AH98" t="str">
        <f t="array" ref="AH98">_xll.BDP($AG98,F$3)</f>
        <v>#N/A N/A</v>
      </c>
      <c r="AI98">
        <f t="shared" si="36"/>
        <v>71.826999999999998</v>
      </c>
      <c r="AJ98" t="e">
        <f t="shared" si="29"/>
        <v>#VALUE!</v>
      </c>
      <c r="AL98" s="87">
        <f t="shared" si="37"/>
        <v>47422</v>
      </c>
      <c r="AM98" s="87" t="str">
        <f t="array" ref="AM98">_xll.BDP($AN98,$D$3)</f>
        <v>OCT 29</v>
      </c>
      <c r="AN98" t="str">
        <f t="shared" si="30"/>
        <v>OQA35 Comdty</v>
      </c>
      <c r="AO98">
        <f t="array" ref="AO98">_xll.BDP($AN98,F$3)</f>
        <v>77.540000000000006</v>
      </c>
      <c r="AP98">
        <f t="shared" si="38"/>
        <v>71.826999999999998</v>
      </c>
      <c r="AQ98">
        <f t="shared" si="31"/>
        <v>5.7130000000000081</v>
      </c>
      <c r="AS98" t="e">
        <f t="shared" si="39"/>
        <v>#VALUE!</v>
      </c>
    </row>
    <row r="99" spans="1:45" x14ac:dyDescent="0.35">
      <c r="A99" t="str">
        <f t="shared" si="21"/>
        <v>FSCLM36 Index</v>
      </c>
      <c r="B99" s="87">
        <f t="shared" si="32"/>
        <v>47422</v>
      </c>
      <c r="C99" t="str">
        <f t="shared" si="22"/>
        <v>VH37 Comdty</v>
      </c>
      <c r="D99" s="85" t="str">
        <f t="array" ref="D99">_xll.BDP($C99,$D$3)</f>
        <v>OCT 29</v>
      </c>
      <c r="E99">
        <f t="array" ref="E99">_xll.BDP($A99,E$3)</f>
        <v>65.97</v>
      </c>
      <c r="F99">
        <f t="array" ref="F99">_xll.BDP($C99,F$3)</f>
        <v>66.63</v>
      </c>
      <c r="G99">
        <f t="shared" si="23"/>
        <v>-5.1970000000000027</v>
      </c>
      <c r="H99" s="87">
        <f t="shared" si="33"/>
        <v>47422</v>
      </c>
      <c r="I99" t="str">
        <f t="shared" si="16"/>
        <v>FSCOM36 Index</v>
      </c>
      <c r="J99" s="85" t="str">
        <f t="array" ref="J99">_xll.BDP($I99,$D$3)</f>
        <v>Oct 29</v>
      </c>
      <c r="K99">
        <f t="array" ref="K99">_xll.BDP($I99,E$3)</f>
        <v>71.400000000000006</v>
      </c>
      <c r="L99">
        <f t="array" ref="L99">_xll.BDP($I99,F$3)</f>
        <v>71.826999999999998</v>
      </c>
      <c r="M99" s="84">
        <f t="shared" si="17"/>
        <v>-1.300000000000523E-2</v>
      </c>
      <c r="N99" s="87">
        <f t="shared" si="24"/>
        <v>47422</v>
      </c>
      <c r="O99" t="str">
        <f t="shared" si="25"/>
        <v>FDBSM36 Index</v>
      </c>
      <c r="P99" s="85" t="str">
        <f t="array" ref="P99">_xll.BDP($O99,$D$3)</f>
        <v>Oct 29</v>
      </c>
      <c r="Q99">
        <f t="array" ref="Q99">_xll.BDP($O99,E$3)</f>
        <v>0.98</v>
      </c>
      <c r="R99" s="84">
        <f t="array" ref="R99">_xll.BDP($O99,K$1)</f>
        <v>0.53</v>
      </c>
      <c r="S99" s="84">
        <f t="shared" si="40"/>
        <v>72.356999999999999</v>
      </c>
      <c r="T99" s="84">
        <f t="shared" si="41"/>
        <v>0.51699999999999591</v>
      </c>
      <c r="U99" s="87">
        <f t="shared" si="34"/>
        <v>47422</v>
      </c>
      <c r="V99" t="str">
        <f t="shared" si="18"/>
        <v>AFY37 Comdty</v>
      </c>
      <c r="W99" s="85" t="str">
        <f t="array" ref="W99">_xll.BDP($V99,$D$3)</f>
        <v>OCT 29</v>
      </c>
      <c r="X99" s="84">
        <f t="array" ref="X99">_xll.BDP($V99,E$3)</f>
        <v>0.44</v>
      </c>
      <c r="Y99" s="84">
        <f t="array" ref="Y99">_xll.BDP($V99,K$1)</f>
        <v>0.64</v>
      </c>
      <c r="Z99" s="87">
        <f t="shared" si="19"/>
        <v>47422</v>
      </c>
      <c r="AA99" t="str">
        <f t="shared" si="20"/>
        <v>FVMZM36 Index</v>
      </c>
      <c r="AB99" t="str">
        <f t="array" ref="AB99">_xll.BDP($AA99,$D$3)</f>
        <v>Oct 29</v>
      </c>
      <c r="AC99">
        <f t="array" ref="AC99">_xll.BDP($AA99,E$3)</f>
        <v>0.75</v>
      </c>
      <c r="AD99">
        <f t="array" ref="AD99">_xll.BDP($AA99,K$1)</f>
        <v>-7.28</v>
      </c>
      <c r="AE99" s="87">
        <f t="shared" si="35"/>
        <v>47452</v>
      </c>
      <c r="AF99" s="87" t="str">
        <f t="array" ref="AF99">_xll.BDP($AG99,$D$3)</f>
        <v>NOV 29</v>
      </c>
      <c r="AG99" t="str">
        <f t="shared" si="28"/>
        <v>MUC36 Comdty</v>
      </c>
      <c r="AH99" t="str">
        <f t="array" ref="AH99">_xll.BDP($AG99,F$3)</f>
        <v>#N/A N/A</v>
      </c>
      <c r="AI99">
        <f t="shared" si="36"/>
        <v>71.533199999999994</v>
      </c>
      <c r="AJ99" t="e">
        <f t="shared" si="29"/>
        <v>#VALUE!</v>
      </c>
      <c r="AL99" s="87">
        <f t="shared" si="37"/>
        <v>47452</v>
      </c>
      <c r="AM99" s="87" t="str">
        <f t="array" ref="AM99">_xll.BDP($AN99,$D$3)</f>
        <v>NOV 29</v>
      </c>
      <c r="AN99" t="str">
        <f t="shared" si="30"/>
        <v>OQA36 Comdty</v>
      </c>
      <c r="AO99">
        <f t="array" ref="AO99">_xll.BDP($AN99,F$3)</f>
        <v>77.239999999999995</v>
      </c>
      <c r="AP99">
        <f t="shared" si="38"/>
        <v>71.533199999999994</v>
      </c>
      <c r="AQ99">
        <f t="shared" si="31"/>
        <v>5.7068000000000012</v>
      </c>
      <c r="AS99" t="e">
        <f t="shared" si="39"/>
        <v>#VALUE!</v>
      </c>
    </row>
    <row r="100" spans="1:45" x14ac:dyDescent="0.35">
      <c r="A100" t="str">
        <f t="shared" si="21"/>
        <v>FSCLM37 Index</v>
      </c>
      <c r="B100" s="87">
        <f t="shared" si="32"/>
        <v>47452</v>
      </c>
      <c r="C100" t="str">
        <f t="shared" si="22"/>
        <v>VH38 Comdty</v>
      </c>
      <c r="D100" s="85" t="str">
        <f t="array" ref="D100">_xll.BDP($C100,$D$3)</f>
        <v>NOV 29</v>
      </c>
      <c r="E100">
        <f t="array" ref="E100">_xll.BDP($A100,E$3)</f>
        <v>65.62</v>
      </c>
      <c r="F100">
        <f t="array" ref="F100">_xll.BDP($C100,F$3)</f>
        <v>66.290000000000006</v>
      </c>
      <c r="G100">
        <f t="shared" si="23"/>
        <v>-5.2431999999999874</v>
      </c>
      <c r="H100" s="87">
        <f t="shared" si="33"/>
        <v>47452</v>
      </c>
      <c r="I100" t="str">
        <f t="shared" si="16"/>
        <v>FSCOM37 Index</v>
      </c>
      <c r="J100" s="85" t="str">
        <f t="array" ref="J100">_xll.BDP($I100,$D$3)</f>
        <v>Nov 29</v>
      </c>
      <c r="K100">
        <f t="array" ref="K100">_xll.BDP($I100,E$3)</f>
        <v>71.09</v>
      </c>
      <c r="L100">
        <f t="array" ref="L100">_xll.BDP($I100,F$3)</f>
        <v>71.533199999999994</v>
      </c>
      <c r="M100" s="84">
        <f t="shared" si="17"/>
        <v>-6.8000000000125738E-3</v>
      </c>
      <c r="N100" s="87">
        <f t="shared" si="24"/>
        <v>47452</v>
      </c>
      <c r="O100" t="str">
        <f t="shared" si="25"/>
        <v>FDBSM37 Index</v>
      </c>
      <c r="P100" s="85" t="str">
        <f t="array" ref="P100">_xll.BDP($O100,$D$3)</f>
        <v>Nov 29</v>
      </c>
      <c r="Q100">
        <f t="array" ref="Q100">_xll.BDP($O100,E$3)</f>
        <v>0.99</v>
      </c>
      <c r="R100" s="84">
        <f t="array" ref="R100">_xll.BDP($O100,K$1)</f>
        <v>0.54</v>
      </c>
      <c r="S100" s="84">
        <f t="shared" si="40"/>
        <v>72.0732</v>
      </c>
      <c r="T100" s="84">
        <f t="shared" si="41"/>
        <v>0.53319999999999368</v>
      </c>
      <c r="U100" s="87">
        <f t="shared" si="34"/>
        <v>47452</v>
      </c>
      <c r="V100" t="str">
        <f t="shared" si="18"/>
        <v>AFY38 Comdty</v>
      </c>
      <c r="W100" s="85" t="str">
        <f t="array" ref="W100">_xll.BDP($V100,$D$3)</f>
        <v>NOV 29</v>
      </c>
      <c r="X100" s="84">
        <f t="array" ref="X100">_xll.BDP($V100,E$3)</f>
        <v>0.44</v>
      </c>
      <c r="Y100" s="84">
        <f t="array" ref="Y100">_xll.BDP($V100,K$1)</f>
        <v>0.64</v>
      </c>
      <c r="Z100" s="87">
        <f t="shared" si="19"/>
        <v>47452</v>
      </c>
      <c r="AA100" t="str">
        <f t="shared" si="20"/>
        <v>FVMZM37 Index</v>
      </c>
      <c r="AB100" t="str">
        <f t="array" ref="AB100">_xll.BDP($AA100,$D$3)</f>
        <v>Nov 29</v>
      </c>
      <c r="AC100">
        <f t="array" ref="AC100">_xll.BDP($AA100,E$3)</f>
        <v>0.95</v>
      </c>
      <c r="AD100">
        <f t="array" ref="AD100">_xll.BDP($AA100,K$1)</f>
        <v>-7.09</v>
      </c>
      <c r="AE100" s="87">
        <f t="shared" si="35"/>
        <v>47483</v>
      </c>
      <c r="AF100" s="87" t="str">
        <f t="array" ref="AF100">_xll.BDP($AG100,$D$3)</f>
        <v>DEC 29</v>
      </c>
      <c r="AG100" t="str">
        <f t="shared" si="28"/>
        <v>MUC37 Comdty</v>
      </c>
      <c r="AH100" t="str">
        <f t="array" ref="AH100">_xll.BDP($AG100,F$3)</f>
        <v>#N/A N/A</v>
      </c>
      <c r="AI100">
        <f>INDEX($I$62:$L$101,MATCH($AF100,$J$62:$J$101,0),MATCH("Settle",$I$62:$L$62,0))</f>
        <v>71.375</v>
      </c>
      <c r="AJ100" t="e">
        <f t="shared" si="29"/>
        <v>#VALUE!</v>
      </c>
      <c r="AL100" s="87">
        <f t="shared" si="37"/>
        <v>47483</v>
      </c>
      <c r="AM100" s="87" t="str">
        <f t="array" ref="AM100">_xll.BDP($AN100,$D$3)</f>
        <v>DEC 29</v>
      </c>
      <c r="AN100" t="str">
        <f t="shared" si="30"/>
        <v>OQA37 Comdty</v>
      </c>
      <c r="AO100">
        <f t="array" ref="AO100">_xll.BDP($AN100,F$3)</f>
        <v>76.960000000000008</v>
      </c>
      <c r="AP100" t="e">
        <f t="shared" si="38"/>
        <v>#N/A</v>
      </c>
      <c r="AQ100" t="e">
        <f t="shared" si="31"/>
        <v>#N/A</v>
      </c>
    </row>
    <row r="101" spans="1:45" x14ac:dyDescent="0.35">
      <c r="A101" t="str">
        <f t="shared" si="21"/>
        <v>FSCLM38 Index</v>
      </c>
      <c r="B101" s="87">
        <f t="shared" si="32"/>
        <v>47483</v>
      </c>
      <c r="C101" t="str">
        <f t="shared" si="22"/>
        <v>VH39 Comdty</v>
      </c>
      <c r="D101" s="85" t="str">
        <f t="array" ref="D101">_xll.BDP($C101,$D$3)</f>
        <v>DEC 29</v>
      </c>
      <c r="E101">
        <f t="array" ref="E101">_xll.BDP($A101,E$3)</f>
        <v>65.31</v>
      </c>
      <c r="F101">
        <f t="array" ref="F101">_xll.BDP($C101,F$3)</f>
        <v>65.989999999999995</v>
      </c>
      <c r="G101">
        <f t="shared" si="23"/>
        <v>-5.3850000000000051</v>
      </c>
      <c r="H101" s="87">
        <f t="shared" si="33"/>
        <v>47483</v>
      </c>
      <c r="I101" t="str">
        <f t="shared" si="16"/>
        <v>FSCOM38 Index</v>
      </c>
      <c r="J101" s="85" t="str">
        <f t="array" ref="J101">_xll.BDP($I101,$D$3)</f>
        <v>Dec 29</v>
      </c>
      <c r="K101">
        <f t="array" ref="K101">_xll.BDP($I101,E$3)</f>
        <v>70.92</v>
      </c>
      <c r="L101">
        <f t="array" ref="L101">_xll.BDP($I101,F$3)</f>
        <v>71.375</v>
      </c>
      <c r="M101" s="84">
        <f t="shared" si="17"/>
        <v>-1.5000000000000568E-2</v>
      </c>
      <c r="U101" s="87">
        <f t="shared" si="34"/>
        <v>47483</v>
      </c>
      <c r="V101" t="str">
        <f t="shared" si="18"/>
        <v>AFY39 Comdty</v>
      </c>
      <c r="W101" s="85" t="str">
        <f t="array" ref="W101">_xll.BDP($V101,$D$3)</f>
        <v>DEC 29</v>
      </c>
      <c r="X101" s="84">
        <f t="array" ref="X101">_xll.BDP($V101,E$3)</f>
        <v>0.44</v>
      </c>
      <c r="Y101" s="84">
        <f t="array" ref="Y101">_xll.BDP($V101,K$1)</f>
        <v>0.64</v>
      </c>
    </row>
    <row r="102" spans="1:45" x14ac:dyDescent="0.35">
      <c r="U102" s="87">
        <f t="shared" si="34"/>
        <v>47514</v>
      </c>
      <c r="V102" t="str">
        <f t="shared" si="18"/>
        <v>AFY40 Comdty</v>
      </c>
      <c r="W102" s="85" t="str">
        <f t="array" ref="W102">_xll.BDP($V102,$D$3)</f>
        <v>JAN 30</v>
      </c>
      <c r="X102" s="84">
        <f t="array" ref="X102">_xll.BDP($V102,E$3)</f>
        <v>0.44</v>
      </c>
      <c r="Y102" s="84">
        <f t="array" ref="Y102">_xll.BDP($V102,K$1)</f>
        <v>0.64</v>
      </c>
    </row>
    <row r="103" spans="1:45" x14ac:dyDescent="0.35">
      <c r="U103" s="87">
        <f t="shared" si="34"/>
        <v>47542</v>
      </c>
      <c r="V103" t="str">
        <f t="shared" si="18"/>
        <v>AFY41 Comdty</v>
      </c>
      <c r="W103" s="85" t="str">
        <f t="array" ref="W103">_xll.BDP($V103,$D$3)</f>
        <v>FEB 30</v>
      </c>
      <c r="X103" s="84">
        <f t="array" ref="X103">_xll.BDP($V103,E$3)</f>
        <v>0.44</v>
      </c>
      <c r="Y103" s="84">
        <f t="array" ref="Y103">_xll.BDP($V103,K$1)</f>
        <v>0.64</v>
      </c>
    </row>
    <row r="105" spans="1:45" ht="15" thickBot="1" x14ac:dyDescent="0.4"/>
    <row r="106" spans="1:45" ht="15" thickBot="1" x14ac:dyDescent="0.4">
      <c r="C106" s="633" t="s">
        <v>343</v>
      </c>
      <c r="D106" s="634"/>
      <c r="E106" s="634"/>
      <c r="F106" s="634"/>
      <c r="G106" s="634"/>
      <c r="H106" s="635"/>
    </row>
    <row r="107" spans="1:45" x14ac:dyDescent="0.35">
      <c r="D107" t="s">
        <v>305</v>
      </c>
      <c r="E107" t="s">
        <v>306</v>
      </c>
      <c r="F107" t="s">
        <v>307</v>
      </c>
      <c r="I107">
        <v>1.95</v>
      </c>
    </row>
    <row r="108" spans="1:45" x14ac:dyDescent="0.35">
      <c r="D108" s="85"/>
      <c r="H108" t="s">
        <v>344</v>
      </c>
      <c r="I108" t="s">
        <v>344</v>
      </c>
    </row>
    <row r="109" spans="1:45" x14ac:dyDescent="0.35">
      <c r="B109" s="109">
        <f>EOMONTH(D109,12)</f>
        <v>46721</v>
      </c>
      <c r="C109" t="str">
        <f>"DTD"&amp;B5&amp;" Comdty"</f>
        <v>DTD1 Comdty</v>
      </c>
      <c r="D109" s="85" t="str">
        <f t="array" ref="D109">_xll.BDP($C109,$D$3)</f>
        <v>NOV 26</v>
      </c>
      <c r="E109">
        <f t="array" ref="E109">_xll.BDP($C109,E$3)</f>
        <v>4.3499999999999996</v>
      </c>
      <c r="F109">
        <f t="array" ref="F109">_xll.BDP($C109,K$1)</f>
        <v>5.75</v>
      </c>
      <c r="H109">
        <f>F109+$I$107</f>
        <v>7.7</v>
      </c>
      <c r="I109">
        <f t="shared" ref="I109:I146" si="42">VLOOKUP(D109,$K$109:$L$147,2,FALSE)</f>
        <v>-6.9832999999999998</v>
      </c>
      <c r="K109" t="str">
        <f t="shared" ref="K109:K147" si="43">D63</f>
        <v>OCT 26</v>
      </c>
      <c r="L109">
        <f t="shared" ref="L109:L147" si="44">F63-L63</f>
        <v>-8.2064000000000021</v>
      </c>
    </row>
    <row r="110" spans="1:45" x14ac:dyDescent="0.35">
      <c r="B110" s="93">
        <f>EOMONTH(B109,1)</f>
        <v>46752</v>
      </c>
      <c r="C110" t="str">
        <f t="shared" ref="C110:C146" si="45">"DTD"&amp;B6&amp;" Comdty"</f>
        <v>DTD2 Comdty</v>
      </c>
      <c r="D110" s="110" t="str">
        <f t="array" ref="D110">_xll.BDP($C110,$D$3)</f>
        <v>DEC 26</v>
      </c>
      <c r="E110">
        <f t="array" ref="E110">_xll.BDP($C110,E$3)</f>
        <v>3.6</v>
      </c>
      <c r="F110">
        <f t="array" ref="F110">_xll.BDP($C110,K$1)</f>
        <v>4.0999999999999996</v>
      </c>
      <c r="H110">
        <f t="shared" ref="H110:H146" si="46">F110+$I$107</f>
        <v>6.05</v>
      </c>
      <c r="I110">
        <f t="shared" si="42"/>
        <v>-6.4854999999999876</v>
      </c>
      <c r="K110" t="str">
        <f t="shared" si="43"/>
        <v>NOV 26</v>
      </c>
      <c r="L110">
        <f t="shared" si="44"/>
        <v>-6.9832999999999998</v>
      </c>
    </row>
    <row r="111" spans="1:45" x14ac:dyDescent="0.35">
      <c r="B111" s="93">
        <f t="shared" ref="B111:B146" si="47">EOMONTH(B110,1)</f>
        <v>46783</v>
      </c>
      <c r="C111" t="str">
        <f t="shared" si="45"/>
        <v>DTD3 Comdty</v>
      </c>
      <c r="D111" s="110" t="str">
        <f t="array" ref="D111">_xll.BDP($C111,$D$3)</f>
        <v>JAN 27</v>
      </c>
      <c r="E111">
        <f t="array" ref="E111">_xll.BDP($C111,E$3)</f>
        <v>2.75</v>
      </c>
      <c r="F111">
        <f t="array" ref="F111">_xll.BDP($C111,K$1)</f>
        <v>3.05</v>
      </c>
      <c r="H111">
        <f t="shared" si="46"/>
        <v>5</v>
      </c>
      <c r="I111">
        <f t="shared" si="42"/>
        <v>-6.48599999999999</v>
      </c>
      <c r="K111" t="str">
        <f t="shared" si="43"/>
        <v>DEC 26</v>
      </c>
      <c r="L111">
        <f t="shared" si="44"/>
        <v>-6.4854999999999876</v>
      </c>
      <c r="Q111" s="245"/>
    </row>
    <row r="112" spans="1:45" x14ac:dyDescent="0.35">
      <c r="B112" s="93">
        <f t="shared" si="47"/>
        <v>46812</v>
      </c>
      <c r="C112" t="str">
        <f t="shared" si="45"/>
        <v>DTD4 Comdty</v>
      </c>
      <c r="D112" s="110" t="str">
        <f t="array" ref="D112">_xll.BDP($C112,$D$3)</f>
        <v>FEB 27</v>
      </c>
      <c r="E112">
        <f t="array" ref="E112">_xll.BDP($C112,E$3)</f>
        <v>2.4</v>
      </c>
      <c r="F112">
        <f t="array" ref="F112">_xll.BDP($C112,K$1)</f>
        <v>2.6</v>
      </c>
      <c r="H112">
        <f t="shared" si="46"/>
        <v>4.55</v>
      </c>
      <c r="I112">
        <f t="shared" si="42"/>
        <v>-6.1634999999999991</v>
      </c>
      <c r="K112" t="str">
        <f t="shared" si="43"/>
        <v>JAN 27</v>
      </c>
      <c r="L112">
        <f t="shared" si="44"/>
        <v>-6.48599999999999</v>
      </c>
    </row>
    <row r="113" spans="2:12" x14ac:dyDescent="0.35">
      <c r="B113" s="93">
        <f t="shared" si="47"/>
        <v>46843</v>
      </c>
      <c r="C113" t="str">
        <f t="shared" si="45"/>
        <v>DTD5 Comdty</v>
      </c>
      <c r="D113" s="110" t="str">
        <f t="array" ref="D113">_xll.BDP($C113,$D$3)</f>
        <v>MAR 27</v>
      </c>
      <c r="E113">
        <f t="array" ref="E113">_xll.BDP($C113,E$3)</f>
        <v>2.0499999999999998</v>
      </c>
      <c r="F113">
        <f t="array" ref="F113">_xll.BDP($C113,K$1)</f>
        <v>2.25</v>
      </c>
      <c r="H113">
        <f t="shared" si="46"/>
        <v>4.2</v>
      </c>
      <c r="I113">
        <f t="shared" si="42"/>
        <v>-6.1431999999999931</v>
      </c>
      <c r="K113" t="str">
        <f t="shared" si="43"/>
        <v>FEB 27</v>
      </c>
      <c r="L113">
        <f t="shared" si="44"/>
        <v>-6.1634999999999991</v>
      </c>
    </row>
    <row r="114" spans="2:12" x14ac:dyDescent="0.35">
      <c r="B114" s="93">
        <f t="shared" si="47"/>
        <v>46873</v>
      </c>
      <c r="C114" t="str">
        <f t="shared" si="45"/>
        <v>DTD6 Comdty</v>
      </c>
      <c r="D114" s="110" t="str">
        <f t="array" ref="D114">_xll.BDP($C114,$D$3)</f>
        <v>APR 27</v>
      </c>
      <c r="E114">
        <f t="array" ref="E114">_xll.BDP($C114,E$3)</f>
        <v>0.75</v>
      </c>
      <c r="F114">
        <f t="array" ref="F114">_xll.BDP($C114,K$1)</f>
        <v>0.85</v>
      </c>
      <c r="H114">
        <f t="shared" si="46"/>
        <v>2.8</v>
      </c>
      <c r="I114">
        <f t="shared" si="42"/>
        <v>-6.0964000000000027</v>
      </c>
      <c r="K114" t="str">
        <f t="shared" si="43"/>
        <v>MAR 27</v>
      </c>
      <c r="L114">
        <f t="shared" si="44"/>
        <v>-6.1431999999999931</v>
      </c>
    </row>
    <row r="115" spans="2:12" x14ac:dyDescent="0.35">
      <c r="B115" s="93">
        <f t="shared" si="47"/>
        <v>46904</v>
      </c>
      <c r="C115" t="str">
        <f t="shared" si="45"/>
        <v>DTD7 Comdty</v>
      </c>
      <c r="D115" s="110" t="str">
        <f t="array" ref="D115">_xll.BDP($C115,$D$3)</f>
        <v>MAY 27</v>
      </c>
      <c r="E115">
        <f t="array" ref="E115">_xll.BDP($C115,E$3)</f>
        <v>0.75</v>
      </c>
      <c r="F115">
        <f t="array" ref="F115">_xll.BDP($C115,K$1)</f>
        <v>0.8</v>
      </c>
      <c r="H115">
        <f t="shared" si="46"/>
        <v>2.75</v>
      </c>
      <c r="I115">
        <f t="shared" si="42"/>
        <v>-5.8152000000000044</v>
      </c>
      <c r="K115" t="str">
        <f t="shared" si="43"/>
        <v>APR 27</v>
      </c>
      <c r="L115">
        <f t="shared" si="44"/>
        <v>-6.0964000000000027</v>
      </c>
    </row>
    <row r="116" spans="2:12" x14ac:dyDescent="0.35">
      <c r="B116" s="93">
        <f t="shared" si="47"/>
        <v>46934</v>
      </c>
      <c r="C116" t="str">
        <f t="shared" si="45"/>
        <v>DTD8 Comdty</v>
      </c>
      <c r="D116" s="110" t="str">
        <f t="array" ref="D116">_xll.BDP($C116,$D$3)</f>
        <v>JUN 27</v>
      </c>
      <c r="E116">
        <f t="array" ref="E116">_xll.BDP($C116,E$3)</f>
        <v>0.95</v>
      </c>
      <c r="F116">
        <f t="array" ref="F116">_xll.BDP($C116,K$1)</f>
        <v>0.9</v>
      </c>
      <c r="H116">
        <f t="shared" si="46"/>
        <v>2.85</v>
      </c>
      <c r="I116">
        <f t="shared" si="42"/>
        <v>-5.7135999999999996</v>
      </c>
      <c r="K116" t="str">
        <f t="shared" si="43"/>
        <v>MAY 27</v>
      </c>
      <c r="L116">
        <f t="shared" si="44"/>
        <v>-5.8152000000000044</v>
      </c>
    </row>
    <row r="117" spans="2:12" x14ac:dyDescent="0.35">
      <c r="B117" s="93">
        <f t="shared" si="47"/>
        <v>46965</v>
      </c>
      <c r="C117" t="str">
        <f t="shared" si="45"/>
        <v>DTD9 Comdty</v>
      </c>
      <c r="D117" s="110" t="str">
        <f t="array" ref="D117">_xll.BDP($C117,$D$3)</f>
        <v>JUL 27</v>
      </c>
      <c r="E117">
        <f t="array" ref="E117">_xll.BDP($C117,E$3)</f>
        <v>0.4</v>
      </c>
      <c r="F117">
        <f t="array" ref="F117">_xll.BDP($C117,K$1)</f>
        <v>0.45</v>
      </c>
      <c r="H117">
        <f t="shared" si="46"/>
        <v>2.4</v>
      </c>
      <c r="I117">
        <f t="shared" si="42"/>
        <v>-5.6676999999999964</v>
      </c>
      <c r="K117" t="str">
        <f t="shared" si="43"/>
        <v>JUN 27</v>
      </c>
      <c r="L117">
        <f t="shared" si="44"/>
        <v>-5.7135999999999996</v>
      </c>
    </row>
    <row r="118" spans="2:12" x14ac:dyDescent="0.35">
      <c r="B118" s="93">
        <f t="shared" si="47"/>
        <v>46996</v>
      </c>
      <c r="C118" t="str">
        <f t="shared" si="45"/>
        <v>DTD10 Comdty</v>
      </c>
      <c r="D118" s="110" t="str">
        <f t="array" ref="D118">_xll.BDP($C118,$D$3)</f>
        <v>AUG 27</v>
      </c>
      <c r="E118">
        <f t="array" ref="E118">_xll.BDP($C118,E$3)</f>
        <v>0.45</v>
      </c>
      <c r="F118">
        <f t="array" ref="F118">_xll.BDP($C118,K$1)</f>
        <v>0.4</v>
      </c>
      <c r="H118">
        <f t="shared" si="46"/>
        <v>2.35</v>
      </c>
      <c r="I118">
        <f t="shared" si="42"/>
        <v>-5.5122999999999962</v>
      </c>
      <c r="K118" t="str">
        <f t="shared" si="43"/>
        <v>JUL 27</v>
      </c>
      <c r="L118">
        <f t="shared" si="44"/>
        <v>-5.6676999999999964</v>
      </c>
    </row>
    <row r="119" spans="2:12" x14ac:dyDescent="0.35">
      <c r="B119" s="93">
        <f t="shared" si="47"/>
        <v>47026</v>
      </c>
      <c r="C119" t="str">
        <f t="shared" si="45"/>
        <v>DTD11 Comdty</v>
      </c>
      <c r="D119" s="110" t="str">
        <f t="array" ref="D119">_xll.BDP($C119,$D$3)</f>
        <v>SEP 27</v>
      </c>
      <c r="E119">
        <f t="array" ref="E119">_xll.BDP($C119,E$3)</f>
        <v>0.45</v>
      </c>
      <c r="F119">
        <f t="array" ref="F119">_xll.BDP($C119,K$1)</f>
        <v>0.35</v>
      </c>
      <c r="H119">
        <f t="shared" si="46"/>
        <v>2.2999999999999998</v>
      </c>
      <c r="I119">
        <f t="shared" si="42"/>
        <v>-5.444500000000005</v>
      </c>
      <c r="K119" t="str">
        <f t="shared" si="43"/>
        <v>AUG 27</v>
      </c>
      <c r="L119">
        <f t="shared" si="44"/>
        <v>-5.5122999999999962</v>
      </c>
    </row>
    <row r="120" spans="2:12" x14ac:dyDescent="0.35">
      <c r="B120" s="93">
        <f t="shared" si="47"/>
        <v>47057</v>
      </c>
      <c r="C120" t="str">
        <f t="shared" si="45"/>
        <v>DTD12 Comdty</v>
      </c>
      <c r="D120" s="110" t="str">
        <f t="array" ref="D120">_xll.BDP($C120,$D$3)</f>
        <v>OCT 27</v>
      </c>
      <c r="E120">
        <f t="array" ref="E120">_xll.BDP($C120,E$3)</f>
        <v>0.1</v>
      </c>
      <c r="F120">
        <f t="array" ref="F120">_xll.BDP($C120,K$1)</f>
        <v>0.05</v>
      </c>
      <c r="H120">
        <f t="shared" si="46"/>
        <v>2</v>
      </c>
      <c r="I120">
        <f t="shared" si="42"/>
        <v>-5.3348000000000013</v>
      </c>
      <c r="K120" t="str">
        <f t="shared" si="43"/>
        <v>SEP 27</v>
      </c>
      <c r="L120">
        <f t="shared" si="44"/>
        <v>-5.444500000000005</v>
      </c>
    </row>
    <row r="121" spans="2:12" x14ac:dyDescent="0.35">
      <c r="B121" s="93">
        <f t="shared" si="47"/>
        <v>47087</v>
      </c>
      <c r="C121" t="str">
        <f t="shared" si="45"/>
        <v>DTD13 Comdty</v>
      </c>
      <c r="D121" s="110" t="str">
        <f t="array" ref="D121">_xll.BDP($C121,$D$3)</f>
        <v>NOV 27</v>
      </c>
      <c r="E121">
        <f t="array" ref="E121">_xll.BDP($C121,E$3)</f>
        <v>0.2</v>
      </c>
      <c r="F121">
        <f t="array" ref="F121">_xll.BDP($C121,K$1)</f>
        <v>0.1</v>
      </c>
      <c r="H121">
        <f t="shared" si="46"/>
        <v>2.0499999999999998</v>
      </c>
      <c r="I121">
        <f t="shared" si="42"/>
        <v>-5.2086000000000041</v>
      </c>
      <c r="K121" t="str">
        <f t="shared" si="43"/>
        <v>OCT 27</v>
      </c>
      <c r="L121">
        <f t="shared" si="44"/>
        <v>-5.3348000000000013</v>
      </c>
    </row>
    <row r="122" spans="2:12" x14ac:dyDescent="0.35">
      <c r="B122" s="93">
        <f t="shared" si="47"/>
        <v>47118</v>
      </c>
      <c r="C122" t="str">
        <f t="shared" si="45"/>
        <v>DTD14 Comdty</v>
      </c>
      <c r="D122" s="110" t="str">
        <f t="array" ref="D122">_xll.BDP($C122,$D$3)</f>
        <v>DEC 27</v>
      </c>
      <c r="E122">
        <f t="array" ref="E122">_xll.BDP($C122,E$3)</f>
        <v>0.3</v>
      </c>
      <c r="F122">
        <f t="array" ref="F122">_xll.BDP($C122,K$1)</f>
        <v>0.15</v>
      </c>
      <c r="H122">
        <f t="shared" si="46"/>
        <v>2.1</v>
      </c>
      <c r="I122">
        <f t="shared" si="42"/>
        <v>-5.1329000000000065</v>
      </c>
      <c r="K122" t="str">
        <f t="shared" si="43"/>
        <v>NOV 27</v>
      </c>
      <c r="L122">
        <f t="shared" si="44"/>
        <v>-5.2086000000000041</v>
      </c>
    </row>
    <row r="123" spans="2:12" x14ac:dyDescent="0.35">
      <c r="B123" s="93">
        <f t="shared" si="47"/>
        <v>47149</v>
      </c>
      <c r="C123" t="str">
        <f t="shared" si="45"/>
        <v>DTD15 Comdty</v>
      </c>
      <c r="D123" s="110" t="str">
        <f t="array" ref="D123">_xll.BDP($C123,$D$3)</f>
        <v>#N/A N/A</v>
      </c>
      <c r="E123" t="str">
        <f t="array" ref="E123">_xll.BDP($C123,E$3)</f>
        <v>#N/A Real Time</v>
      </c>
      <c r="F123" t="str">
        <f t="array" ref="F123">_xll.BDP($C123,K$1)</f>
        <v>#N/A Real Time</v>
      </c>
      <c r="H123" t="e">
        <f t="shared" si="46"/>
        <v>#VALUE!</v>
      </c>
      <c r="I123" t="e">
        <f t="shared" si="42"/>
        <v>#N/A</v>
      </c>
      <c r="K123" t="str">
        <f t="shared" si="43"/>
        <v>DEC 27</v>
      </c>
      <c r="L123">
        <f t="shared" si="44"/>
        <v>-5.1329000000000065</v>
      </c>
    </row>
    <row r="124" spans="2:12" x14ac:dyDescent="0.35">
      <c r="B124" s="93">
        <f t="shared" si="47"/>
        <v>47177</v>
      </c>
      <c r="C124" t="str">
        <f t="shared" si="45"/>
        <v>DTD16 Comdty</v>
      </c>
      <c r="D124" s="110" t="str">
        <f t="array" ref="D124">_xll.BDP($C124,$D$3)</f>
        <v>#N/A N/A</v>
      </c>
      <c r="E124" t="str">
        <f t="array" ref="E124">_xll.BDP($C124,E$3)</f>
        <v>#N/A Real Time</v>
      </c>
      <c r="F124" t="str">
        <f t="array" ref="F124">_xll.BDP($C124,K$1)</f>
        <v>#N/A Real Time</v>
      </c>
      <c r="H124" t="e">
        <f t="shared" si="46"/>
        <v>#VALUE!</v>
      </c>
      <c r="I124" t="e">
        <f t="shared" si="42"/>
        <v>#N/A</v>
      </c>
      <c r="K124" t="str">
        <f t="shared" si="43"/>
        <v>JAN 28</v>
      </c>
      <c r="L124">
        <f t="shared" si="44"/>
        <v>-5.1047999999999973</v>
      </c>
    </row>
    <row r="125" spans="2:12" x14ac:dyDescent="0.35">
      <c r="B125" s="93">
        <f t="shared" si="47"/>
        <v>47208</v>
      </c>
      <c r="C125" t="str">
        <f t="shared" si="45"/>
        <v>DTD17 Comdty</v>
      </c>
      <c r="D125" s="110" t="str">
        <f t="array" ref="D125">_xll.BDP($C125,$D$3)</f>
        <v>#N/A N/A</v>
      </c>
      <c r="E125" t="str">
        <f t="array" ref="E125">_xll.BDP($C125,E$3)</f>
        <v>#N/A Real Time</v>
      </c>
      <c r="F125" t="str">
        <f t="array" ref="F125">_xll.BDP($C125,K$1)</f>
        <v>#N/A Real Time</v>
      </c>
      <c r="H125" t="e">
        <f t="shared" si="46"/>
        <v>#VALUE!</v>
      </c>
      <c r="I125" t="e">
        <f t="shared" si="42"/>
        <v>#N/A</v>
      </c>
      <c r="K125" t="str">
        <f t="shared" si="43"/>
        <v>FEB 28</v>
      </c>
      <c r="L125">
        <f t="shared" si="44"/>
        <v>-5.0275999999999925</v>
      </c>
    </row>
    <row r="126" spans="2:12" x14ac:dyDescent="0.35">
      <c r="B126" s="93">
        <f t="shared" si="47"/>
        <v>47238</v>
      </c>
      <c r="C126" t="str">
        <f t="shared" si="45"/>
        <v>DTD18 Comdty</v>
      </c>
      <c r="D126" s="110" t="str">
        <f t="array" ref="D126">_xll.BDP($C126,$D$3)</f>
        <v>#N/A N/A</v>
      </c>
      <c r="E126" t="str">
        <f t="array" ref="E126">_xll.BDP($C126,E$3)</f>
        <v>#N/A Real Time</v>
      </c>
      <c r="F126" t="str">
        <f t="array" ref="F126">_xll.BDP($C126,K$1)</f>
        <v>#N/A Real Time</v>
      </c>
      <c r="H126" t="e">
        <f t="shared" si="46"/>
        <v>#VALUE!</v>
      </c>
      <c r="I126" t="e">
        <f t="shared" si="42"/>
        <v>#N/A</v>
      </c>
      <c r="K126" t="str">
        <f t="shared" si="43"/>
        <v>MAR 28</v>
      </c>
      <c r="L126">
        <f t="shared" si="44"/>
        <v>-5.0609000000000037</v>
      </c>
    </row>
    <row r="127" spans="2:12" x14ac:dyDescent="0.35">
      <c r="B127" s="93">
        <f t="shared" si="47"/>
        <v>47269</v>
      </c>
      <c r="C127" t="str">
        <f t="shared" si="45"/>
        <v>DTD19 Comdty</v>
      </c>
      <c r="D127" s="110" t="str">
        <f t="array" ref="D127">_xll.BDP($C127,$D$3)</f>
        <v>#N/A N/A</v>
      </c>
      <c r="E127" t="str">
        <f t="array" ref="E127">_xll.BDP($C127,E$3)</f>
        <v>#N/A Real Time</v>
      </c>
      <c r="F127" t="str">
        <f t="array" ref="F127">_xll.BDP($C127,K$1)</f>
        <v>#N/A Real Time</v>
      </c>
      <c r="H127" t="e">
        <f t="shared" si="46"/>
        <v>#VALUE!</v>
      </c>
      <c r="I127" t="e">
        <f t="shared" si="42"/>
        <v>#N/A</v>
      </c>
      <c r="K127" t="str">
        <f t="shared" si="43"/>
        <v>APR 28</v>
      </c>
      <c r="L127">
        <f t="shared" si="44"/>
        <v>-5.0168000000000035</v>
      </c>
    </row>
    <row r="128" spans="2:12" x14ac:dyDescent="0.35">
      <c r="B128" s="93">
        <f t="shared" si="47"/>
        <v>47299</v>
      </c>
      <c r="C128" t="str">
        <f t="shared" si="45"/>
        <v>DTD20 Comdty</v>
      </c>
      <c r="D128" s="110" t="str">
        <f t="array" ref="D128">_xll.BDP($C128,$D$3)</f>
        <v>#N/A N/A</v>
      </c>
      <c r="E128" t="str">
        <f t="array" ref="E128">_xll.BDP($C128,E$3)</f>
        <v>#N/A Real Time</v>
      </c>
      <c r="F128" t="str">
        <f t="array" ref="F128">_xll.BDP($C128,K$1)</f>
        <v>#N/A Real Time</v>
      </c>
      <c r="H128" t="e">
        <f t="shared" si="46"/>
        <v>#VALUE!</v>
      </c>
      <c r="I128" t="e">
        <f t="shared" si="42"/>
        <v>#N/A</v>
      </c>
      <c r="K128" t="str">
        <f t="shared" si="43"/>
        <v>MAY 28</v>
      </c>
      <c r="L128">
        <f t="shared" si="44"/>
        <v>-4.980400000000003</v>
      </c>
    </row>
    <row r="129" spans="2:12" x14ac:dyDescent="0.35">
      <c r="B129" s="93">
        <f t="shared" si="47"/>
        <v>47330</v>
      </c>
      <c r="C129" t="str">
        <f t="shared" si="45"/>
        <v>DTD21 Comdty</v>
      </c>
      <c r="D129" s="110" t="str">
        <f t="array" ref="D129">_xll.BDP($C129,$D$3)</f>
        <v>#N/A N/A</v>
      </c>
      <c r="E129" t="str">
        <f t="array" ref="E129">_xll.BDP($C129,E$3)</f>
        <v>#N/A Real Time</v>
      </c>
      <c r="F129" t="str">
        <f t="array" ref="F129">_xll.BDP($C129,K$1)</f>
        <v>#N/A Real Time</v>
      </c>
      <c r="H129" t="e">
        <f t="shared" si="46"/>
        <v>#VALUE!</v>
      </c>
      <c r="I129" t="e">
        <f t="shared" si="42"/>
        <v>#N/A</v>
      </c>
      <c r="K129" t="str">
        <f t="shared" si="43"/>
        <v>JUN 28</v>
      </c>
      <c r="L129">
        <f t="shared" si="44"/>
        <v>-5.0005000000000024</v>
      </c>
    </row>
    <row r="130" spans="2:12" x14ac:dyDescent="0.35">
      <c r="B130" s="93">
        <f t="shared" si="47"/>
        <v>47361</v>
      </c>
      <c r="C130" t="str">
        <f t="shared" si="45"/>
        <v>DTD22 Comdty</v>
      </c>
      <c r="D130" s="110" t="str">
        <f t="array" ref="D130">_xll.BDP($C130,$D$3)</f>
        <v>#N/A N/A</v>
      </c>
      <c r="E130" t="str">
        <f t="array" ref="E130">_xll.BDP($C130,E$3)</f>
        <v>#N/A Real Time</v>
      </c>
      <c r="F130" t="str">
        <f t="array" ref="F130">_xll.BDP($C130,K$1)</f>
        <v>#N/A Real Time</v>
      </c>
      <c r="H130" t="e">
        <f t="shared" si="46"/>
        <v>#VALUE!</v>
      </c>
      <c r="I130" t="e">
        <f t="shared" si="42"/>
        <v>#N/A</v>
      </c>
      <c r="K130" t="str">
        <f t="shared" si="43"/>
        <v>JUL 28</v>
      </c>
      <c r="L130">
        <f t="shared" si="44"/>
        <v>-4.9495000000000005</v>
      </c>
    </row>
    <row r="131" spans="2:12" x14ac:dyDescent="0.35">
      <c r="B131" s="93">
        <f t="shared" si="47"/>
        <v>47391</v>
      </c>
      <c r="C131" t="str">
        <f t="shared" si="45"/>
        <v>DTD23 Comdty</v>
      </c>
      <c r="D131" s="110" t="str">
        <f t="array" ref="D131">_xll.BDP($C131,$D$3)</f>
        <v>#N/A N/A</v>
      </c>
      <c r="E131" t="str">
        <f t="array" ref="E131">_xll.BDP($C131,E$3)</f>
        <v>#N/A Real Time</v>
      </c>
      <c r="F131" t="str">
        <f t="array" ref="F131">_xll.BDP($C131,K$1)</f>
        <v>#N/A Real Time</v>
      </c>
      <c r="H131" t="e">
        <f t="shared" si="46"/>
        <v>#VALUE!</v>
      </c>
      <c r="I131" t="e">
        <f t="shared" si="42"/>
        <v>#N/A</v>
      </c>
      <c r="K131" t="str">
        <f t="shared" si="43"/>
        <v>AUG 28</v>
      </c>
      <c r="L131">
        <f t="shared" si="44"/>
        <v>-4.8926000000000016</v>
      </c>
    </row>
    <row r="132" spans="2:12" x14ac:dyDescent="0.35">
      <c r="B132" s="93">
        <f t="shared" si="47"/>
        <v>47422</v>
      </c>
      <c r="C132" t="str">
        <f t="shared" si="45"/>
        <v>DTD24 Comdty</v>
      </c>
      <c r="D132" s="110" t="str">
        <f t="array" ref="D132">_xll.BDP($C132,$D$3)</f>
        <v>#N/A N/A</v>
      </c>
      <c r="E132" t="str">
        <f t="array" ref="E132">_xll.BDP($C132,E$3)</f>
        <v>#N/A Real Time</v>
      </c>
      <c r="F132" t="str">
        <f t="array" ref="F132">_xll.BDP($C132,K$1)</f>
        <v>#N/A Real Time</v>
      </c>
      <c r="H132" t="e">
        <f t="shared" si="46"/>
        <v>#VALUE!</v>
      </c>
      <c r="I132" t="e">
        <f t="shared" si="42"/>
        <v>#N/A</v>
      </c>
      <c r="K132" t="str">
        <f t="shared" si="43"/>
        <v>SEP 28</v>
      </c>
      <c r="L132">
        <f t="shared" si="44"/>
        <v>-4.8637999999999977</v>
      </c>
    </row>
    <row r="133" spans="2:12" x14ac:dyDescent="0.35">
      <c r="B133" s="93">
        <f t="shared" si="47"/>
        <v>47452</v>
      </c>
      <c r="C133" t="str">
        <f t="shared" si="45"/>
        <v>DTD25 Comdty</v>
      </c>
      <c r="D133" s="110" t="str">
        <f t="array" ref="D133">_xll.BDP($C133,$D$3)</f>
        <v>#N/A Invalid Security</v>
      </c>
      <c r="E133" t="str">
        <f t="array" ref="E133">_xll.BDP($C133,E$3)</f>
        <v>#N/A Invalid Security</v>
      </c>
      <c r="F133" t="str">
        <f t="array" ref="F133">_xll.BDP($C133,K$1)</f>
        <v>#N/A Invalid Security</v>
      </c>
      <c r="H133" t="e">
        <f t="shared" si="46"/>
        <v>#VALUE!</v>
      </c>
      <c r="I133" t="e">
        <f t="shared" si="42"/>
        <v>#N/A</v>
      </c>
      <c r="K133" t="str">
        <f t="shared" si="43"/>
        <v>OCT 28</v>
      </c>
      <c r="L133">
        <f t="shared" si="44"/>
        <v>-4.8341000000000065</v>
      </c>
    </row>
    <row r="134" spans="2:12" x14ac:dyDescent="0.35">
      <c r="B134" s="93">
        <f t="shared" si="47"/>
        <v>47483</v>
      </c>
      <c r="C134" t="str">
        <f t="shared" si="45"/>
        <v>DTD26 Comdty</v>
      </c>
      <c r="D134" s="110" t="str">
        <f t="array" ref="D134">_xll.BDP($C134,$D$3)</f>
        <v>#N/A Invalid Security</v>
      </c>
      <c r="E134" t="str">
        <f t="array" ref="E134">_xll.BDP($C134,E$3)</f>
        <v>#N/A Invalid Security</v>
      </c>
      <c r="F134" t="str">
        <f t="array" ref="F134">_xll.BDP($C134,K$1)</f>
        <v>#N/A Invalid Security</v>
      </c>
      <c r="H134" t="e">
        <f t="shared" si="46"/>
        <v>#VALUE!</v>
      </c>
      <c r="I134" t="e">
        <f t="shared" si="42"/>
        <v>#N/A</v>
      </c>
      <c r="K134" t="str">
        <f t="shared" si="43"/>
        <v>NOV 28</v>
      </c>
      <c r="L134">
        <f t="shared" si="44"/>
        <v>-4.7950000000000017</v>
      </c>
    </row>
    <row r="135" spans="2:12" x14ac:dyDescent="0.35">
      <c r="B135" s="93">
        <f t="shared" si="47"/>
        <v>47514</v>
      </c>
      <c r="C135" t="str">
        <f t="shared" si="45"/>
        <v>DTD27 Comdty</v>
      </c>
      <c r="D135" s="110" t="str">
        <f t="array" ref="D135">_xll.BDP($C135,$D$3)</f>
        <v>#N/A Invalid Security</v>
      </c>
      <c r="E135" t="str">
        <f t="array" ref="E135">_xll.BDP($C135,E$3)</f>
        <v>#N/A Invalid Security</v>
      </c>
      <c r="F135" t="str">
        <f t="array" ref="F135">_xll.BDP($C135,K$1)</f>
        <v>#N/A Invalid Security</v>
      </c>
      <c r="H135" t="e">
        <f t="shared" si="46"/>
        <v>#VALUE!</v>
      </c>
      <c r="I135" t="e">
        <f t="shared" si="42"/>
        <v>#N/A</v>
      </c>
      <c r="K135" t="str">
        <f t="shared" si="43"/>
        <v>DEC 28</v>
      </c>
      <c r="L135">
        <f t="shared" si="44"/>
        <v>-4.804000000000002</v>
      </c>
    </row>
    <row r="136" spans="2:12" x14ac:dyDescent="0.35">
      <c r="B136" s="93">
        <f t="shared" si="47"/>
        <v>47542</v>
      </c>
      <c r="C136" t="str">
        <f t="shared" si="45"/>
        <v>DTD28 Comdty</v>
      </c>
      <c r="D136" s="110" t="str">
        <f t="array" ref="D136">_xll.BDP($C136,$D$3)</f>
        <v>#N/A Invalid Security</v>
      </c>
      <c r="E136" t="str">
        <f t="array" ref="E136">_xll.BDP($C136,E$3)</f>
        <v>#N/A Invalid Security</v>
      </c>
      <c r="F136" t="str">
        <f t="array" ref="F136">_xll.BDP($C136,K$1)</f>
        <v>#N/A Invalid Security</v>
      </c>
      <c r="H136" t="e">
        <f t="shared" si="46"/>
        <v>#VALUE!</v>
      </c>
      <c r="I136" t="e">
        <f t="shared" si="42"/>
        <v>#N/A</v>
      </c>
      <c r="K136" t="str">
        <f t="shared" si="43"/>
        <v>JAN 29</v>
      </c>
      <c r="L136">
        <f t="shared" si="44"/>
        <v>-4.8982000000000028</v>
      </c>
    </row>
    <row r="137" spans="2:12" x14ac:dyDescent="0.35">
      <c r="B137" s="93">
        <f t="shared" si="47"/>
        <v>47573</v>
      </c>
      <c r="C137" t="str">
        <f t="shared" si="45"/>
        <v>DTD29 Comdty</v>
      </c>
      <c r="D137" s="110" t="str">
        <f t="array" ref="D137">_xll.BDP($C137,$D$3)</f>
        <v>#N/A Invalid Security</v>
      </c>
      <c r="E137" t="str">
        <f t="array" ref="E137">_xll.BDP($C137,E$3)</f>
        <v>#N/A Invalid Security</v>
      </c>
      <c r="F137" t="str">
        <f t="array" ref="F137">_xll.BDP($C137,K$1)</f>
        <v>#N/A Invalid Security</v>
      </c>
      <c r="H137" t="e">
        <f t="shared" si="46"/>
        <v>#VALUE!</v>
      </c>
      <c r="I137" t="e">
        <f t="shared" si="42"/>
        <v>#N/A</v>
      </c>
      <c r="K137" t="str">
        <f t="shared" si="43"/>
        <v>FEB 29</v>
      </c>
      <c r="L137">
        <f t="shared" si="44"/>
        <v>-4.9564999999999912</v>
      </c>
    </row>
    <row r="138" spans="2:12" x14ac:dyDescent="0.35">
      <c r="B138" s="93">
        <f t="shared" si="47"/>
        <v>47603</v>
      </c>
      <c r="C138" t="str">
        <f t="shared" si="45"/>
        <v>DTD30 Comdty</v>
      </c>
      <c r="D138" s="110" t="str">
        <f t="array" ref="D138">_xll.BDP($C138,$D$3)</f>
        <v>#N/A Invalid Security</v>
      </c>
      <c r="E138" t="str">
        <f t="array" ref="E138">_xll.BDP($C138,E$3)</f>
        <v>#N/A Invalid Security</v>
      </c>
      <c r="F138" t="str">
        <f t="array" ref="F138">_xll.BDP($C138,K$1)</f>
        <v>#N/A Invalid Security</v>
      </c>
      <c r="H138" t="e">
        <f t="shared" si="46"/>
        <v>#VALUE!</v>
      </c>
      <c r="I138" t="e">
        <f t="shared" si="42"/>
        <v>#N/A</v>
      </c>
      <c r="K138" t="str">
        <f t="shared" si="43"/>
        <v>MAR 29</v>
      </c>
      <c r="L138">
        <f t="shared" si="44"/>
        <v>-5.0067000000000093</v>
      </c>
    </row>
    <row r="139" spans="2:12" x14ac:dyDescent="0.35">
      <c r="B139" s="93">
        <f t="shared" si="47"/>
        <v>47634</v>
      </c>
      <c r="C139" t="str">
        <f t="shared" si="45"/>
        <v>DTD31 Comdty</v>
      </c>
      <c r="D139" s="110" t="str">
        <f t="array" ref="D139">_xll.BDP($C139,$D$3)</f>
        <v>#N/A Invalid Security</v>
      </c>
      <c r="E139" t="str">
        <f t="array" ref="E139">_xll.BDP($C139,E$3)</f>
        <v>#N/A Invalid Security</v>
      </c>
      <c r="F139" t="str">
        <f t="array" ref="F139">_xll.BDP($C139,K$1)</f>
        <v>#N/A Invalid Security</v>
      </c>
      <c r="H139" t="e">
        <f t="shared" si="46"/>
        <v>#VALUE!</v>
      </c>
      <c r="I139" t="e">
        <f t="shared" si="42"/>
        <v>#N/A</v>
      </c>
      <c r="K139" t="str">
        <f t="shared" si="43"/>
        <v>APR 29</v>
      </c>
      <c r="L139">
        <f t="shared" si="44"/>
        <v>-5.0156999999999954</v>
      </c>
    </row>
    <row r="140" spans="2:12" x14ac:dyDescent="0.35">
      <c r="B140" s="93">
        <f t="shared" si="47"/>
        <v>47664</v>
      </c>
      <c r="C140" t="str">
        <f t="shared" si="45"/>
        <v>DTD32 Comdty</v>
      </c>
      <c r="D140" s="110" t="str">
        <f t="array" ref="D140">_xll.BDP($C140,$D$3)</f>
        <v>#N/A Invalid Security</v>
      </c>
      <c r="E140" t="str">
        <f t="array" ref="E140">_xll.BDP($C140,E$3)</f>
        <v>#N/A Invalid Security</v>
      </c>
      <c r="F140" t="str">
        <f t="array" ref="F140">_xll.BDP($C140,K$1)</f>
        <v>#N/A Invalid Security</v>
      </c>
      <c r="H140" t="e">
        <f t="shared" si="46"/>
        <v>#VALUE!</v>
      </c>
      <c r="I140" t="e">
        <f t="shared" si="42"/>
        <v>#N/A</v>
      </c>
      <c r="K140" t="str">
        <f t="shared" si="43"/>
        <v>MAY 29</v>
      </c>
      <c r="L140">
        <f t="shared" si="44"/>
        <v>-5.0583000000000027</v>
      </c>
    </row>
    <row r="141" spans="2:12" x14ac:dyDescent="0.35">
      <c r="B141" s="93">
        <f t="shared" si="47"/>
        <v>47695</v>
      </c>
      <c r="C141" t="str">
        <f t="shared" si="45"/>
        <v>DTD33 Comdty</v>
      </c>
      <c r="D141" s="110" t="str">
        <f t="array" ref="D141">_xll.BDP($C141,$D$3)</f>
        <v>#N/A Invalid Security</v>
      </c>
      <c r="E141" t="str">
        <f t="array" ref="E141">_xll.BDP($C141,E$3)</f>
        <v>#N/A Invalid Security</v>
      </c>
      <c r="F141" t="str">
        <f t="array" ref="F141">_xll.BDP($C141,K$1)</f>
        <v>#N/A Invalid Security</v>
      </c>
      <c r="H141" t="e">
        <f t="shared" si="46"/>
        <v>#VALUE!</v>
      </c>
      <c r="I141" t="e">
        <f t="shared" si="42"/>
        <v>#N/A</v>
      </c>
      <c r="K141" t="str">
        <f t="shared" si="43"/>
        <v>JUN 29</v>
      </c>
      <c r="L141">
        <f t="shared" si="44"/>
        <v>-5.1466999999999956</v>
      </c>
    </row>
    <row r="142" spans="2:12" x14ac:dyDescent="0.35">
      <c r="B142" s="93">
        <f t="shared" si="47"/>
        <v>47726</v>
      </c>
      <c r="C142" t="str">
        <f t="shared" si="45"/>
        <v>DTD34 Comdty</v>
      </c>
      <c r="D142" s="110" t="str">
        <f t="array" ref="D142">_xll.BDP($C142,$D$3)</f>
        <v>#N/A Invalid Security</v>
      </c>
      <c r="E142" t="str">
        <f t="array" ref="E142">_xll.BDP($C142,E$3)</f>
        <v>#N/A Invalid Security</v>
      </c>
      <c r="F142" t="str">
        <f t="array" ref="F142">_xll.BDP($C142,K$1)</f>
        <v>#N/A Invalid Security</v>
      </c>
      <c r="H142" t="e">
        <f t="shared" si="46"/>
        <v>#VALUE!</v>
      </c>
      <c r="I142" t="e">
        <f t="shared" si="42"/>
        <v>#N/A</v>
      </c>
      <c r="K142" t="str">
        <f t="shared" si="43"/>
        <v>JUL 29</v>
      </c>
      <c r="L142">
        <f t="shared" si="44"/>
        <v>-5.1676999999999964</v>
      </c>
    </row>
    <row r="143" spans="2:12" x14ac:dyDescent="0.35">
      <c r="B143" s="93">
        <f t="shared" si="47"/>
        <v>47756</v>
      </c>
      <c r="C143" t="str">
        <f t="shared" si="45"/>
        <v>DTD35 Comdty</v>
      </c>
      <c r="D143" s="110" t="str">
        <f t="array" ref="D143">_xll.BDP($C143,$D$3)</f>
        <v>#N/A Invalid Security</v>
      </c>
      <c r="E143" t="str">
        <f t="array" ref="E143">_xll.BDP($C143,E$3)</f>
        <v>#N/A Invalid Security</v>
      </c>
      <c r="F143" t="str">
        <f t="array" ref="F143">_xll.BDP($C143,K$1)</f>
        <v>#N/A Invalid Security</v>
      </c>
      <c r="H143" t="e">
        <f t="shared" si="46"/>
        <v>#VALUE!</v>
      </c>
      <c r="I143" t="e">
        <f t="shared" si="42"/>
        <v>#N/A</v>
      </c>
      <c r="K143" t="str">
        <f t="shared" si="43"/>
        <v>AUG 29</v>
      </c>
      <c r="L143">
        <f t="shared" si="44"/>
        <v>-5.2069999999999936</v>
      </c>
    </row>
    <row r="144" spans="2:12" x14ac:dyDescent="0.35">
      <c r="B144" s="93">
        <f t="shared" si="47"/>
        <v>47787</v>
      </c>
      <c r="C144" t="str">
        <f t="shared" si="45"/>
        <v>DTD36 Comdty</v>
      </c>
      <c r="D144" s="110" t="str">
        <f t="array" ref="D144">_xll.BDP($C144,$D$3)</f>
        <v>#N/A Invalid Security</v>
      </c>
      <c r="E144" t="str">
        <f t="array" ref="E144">_xll.BDP($C144,E$3)</f>
        <v>#N/A Invalid Security</v>
      </c>
      <c r="F144" t="str">
        <f t="array" ref="F144">_xll.BDP($C144,K$1)</f>
        <v>#N/A Invalid Security</v>
      </c>
      <c r="H144" t="e">
        <f t="shared" si="46"/>
        <v>#VALUE!</v>
      </c>
      <c r="I144" t="e">
        <f t="shared" si="42"/>
        <v>#N/A</v>
      </c>
      <c r="K144" t="str">
        <f t="shared" si="43"/>
        <v>SEP 29</v>
      </c>
      <c r="L144">
        <f t="shared" si="44"/>
        <v>-5.195999999999998</v>
      </c>
    </row>
    <row r="145" spans="2:12" x14ac:dyDescent="0.35">
      <c r="B145" s="93">
        <f t="shared" si="47"/>
        <v>47817</v>
      </c>
      <c r="C145" t="str">
        <f t="shared" si="45"/>
        <v>DTD37 Comdty</v>
      </c>
      <c r="D145" s="110" t="str">
        <f t="array" ref="D145">_xll.BDP($C145,$D$3)</f>
        <v>#N/A Invalid Security</v>
      </c>
      <c r="E145" t="str">
        <f t="array" ref="E145">_xll.BDP($C145,E$3)</f>
        <v>#N/A Invalid Security</v>
      </c>
      <c r="F145" t="str">
        <f t="array" ref="F145">_xll.BDP($C145,K$1)</f>
        <v>#N/A Invalid Security</v>
      </c>
      <c r="H145" t="e">
        <f t="shared" si="46"/>
        <v>#VALUE!</v>
      </c>
      <c r="I145" t="e">
        <f t="shared" si="42"/>
        <v>#N/A</v>
      </c>
      <c r="K145" t="str">
        <f t="shared" si="43"/>
        <v>OCT 29</v>
      </c>
      <c r="L145">
        <f t="shared" si="44"/>
        <v>-5.1970000000000027</v>
      </c>
    </row>
    <row r="146" spans="2:12" x14ac:dyDescent="0.35">
      <c r="B146" s="93">
        <f t="shared" si="47"/>
        <v>47848</v>
      </c>
      <c r="C146" t="str">
        <f t="shared" si="45"/>
        <v>DTD38 Comdty</v>
      </c>
      <c r="D146" s="110" t="str">
        <f t="array" ref="D146">_xll.BDP($C146,$D$3)</f>
        <v>#N/A Invalid Security</v>
      </c>
      <c r="E146" t="str">
        <f t="array" ref="E146">_xll.BDP($C146,E$3)</f>
        <v>#N/A Invalid Security</v>
      </c>
      <c r="F146" t="str">
        <f t="array" ref="F146">_xll.BDP($C146,K$1)</f>
        <v>#N/A Invalid Security</v>
      </c>
      <c r="H146" t="e">
        <f t="shared" si="46"/>
        <v>#VALUE!</v>
      </c>
      <c r="I146" t="e">
        <f t="shared" si="42"/>
        <v>#N/A</v>
      </c>
      <c r="K146" t="str">
        <f t="shared" si="43"/>
        <v>NOV 29</v>
      </c>
      <c r="L146">
        <f t="shared" si="44"/>
        <v>-5.2431999999999874</v>
      </c>
    </row>
    <row r="147" spans="2:12" x14ac:dyDescent="0.35">
      <c r="K147" t="str">
        <f t="shared" si="43"/>
        <v>DEC 29</v>
      </c>
      <c r="L147">
        <f t="shared" si="44"/>
        <v>-5.3850000000000051</v>
      </c>
    </row>
  </sheetData>
  <mergeCells count="6">
    <mergeCell ref="W62:X62"/>
    <mergeCell ref="AA62:AC62"/>
    <mergeCell ref="C106:H106"/>
    <mergeCell ref="C61:F61"/>
    <mergeCell ref="I61:L61"/>
    <mergeCell ref="N61:Q61"/>
  </mergeCells>
  <phoneticPr fontId="10" type="noConversion"/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  <customProperties>
    <customPr name="GvHasTableInfo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AN91"/>
  <sheetViews>
    <sheetView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V24" sqref="V24"/>
    </sheetView>
  </sheetViews>
  <sheetFormatPr defaultRowHeight="14.5" outlineLevelCol="1" x14ac:dyDescent="0.35"/>
  <cols>
    <col min="1" max="1" width="10.54296875" bestFit="1" customWidth="1"/>
    <col min="3" max="18" width="9.453125" customWidth="1" outlineLevel="1"/>
    <col min="19" max="20" width="15.54296875" customWidth="1" outlineLevel="1"/>
    <col min="21" max="28" width="15.54296875" customWidth="1"/>
    <col min="29" max="29" width="6.54296875" customWidth="1"/>
    <col min="30" max="30" width="15.54296875" customWidth="1"/>
    <col min="31" max="32" width="11.54296875" bestFit="1" customWidth="1"/>
    <col min="33" max="34" width="11.54296875" customWidth="1"/>
    <col min="39" max="39" width="13.453125" bestFit="1" customWidth="1"/>
    <col min="40" max="40" width="9.453125" bestFit="1" customWidth="1"/>
  </cols>
  <sheetData>
    <row r="1" spans="1:40" ht="15" thickBot="1" x14ac:dyDescent="0.4">
      <c r="AD1">
        <v>9.7100000000000009</v>
      </c>
      <c r="AE1">
        <v>18.72</v>
      </c>
      <c r="AF1">
        <v>70000</v>
      </c>
      <c r="AJ1">
        <v>730000</v>
      </c>
    </row>
    <row r="2" spans="1:40" ht="15" thickBot="1" x14ac:dyDescent="0.4">
      <c r="B2" s="127" t="s">
        <v>258</v>
      </c>
      <c r="C2" s="166" t="s">
        <v>226</v>
      </c>
      <c r="D2" s="166" t="s">
        <v>216</v>
      </c>
      <c r="E2" s="166" t="s">
        <v>228</v>
      </c>
      <c r="F2" s="166" t="s">
        <v>229</v>
      </c>
      <c r="G2" s="166" t="s">
        <v>345</v>
      </c>
      <c r="H2" s="166" t="s">
        <v>231</v>
      </c>
      <c r="I2" s="166" t="s">
        <v>346</v>
      </c>
      <c r="J2" s="166" t="s">
        <v>233</v>
      </c>
      <c r="K2" s="166" t="s">
        <v>347</v>
      </c>
      <c r="L2" s="166" t="s">
        <v>235</v>
      </c>
      <c r="M2" s="166" t="s">
        <v>348</v>
      </c>
      <c r="N2" s="166" t="s">
        <v>236</v>
      </c>
      <c r="O2" s="166" t="s">
        <v>237</v>
      </c>
      <c r="P2" s="100" t="s">
        <v>249</v>
      </c>
      <c r="Q2" s="100" t="s">
        <v>238</v>
      </c>
      <c r="R2" s="152" t="s">
        <v>239</v>
      </c>
      <c r="S2" s="152" t="s">
        <v>240</v>
      </c>
      <c r="T2" s="152" t="s">
        <v>241</v>
      </c>
      <c r="U2" s="160" t="s">
        <v>349</v>
      </c>
      <c r="V2" s="161" t="s">
        <v>350</v>
      </c>
      <c r="W2" s="100"/>
      <c r="X2" s="100"/>
      <c r="Y2" s="100"/>
      <c r="Z2" s="100"/>
      <c r="AA2" s="100"/>
      <c r="AB2" s="100"/>
      <c r="AC2" s="100"/>
      <c r="AE2">
        <v>19.39</v>
      </c>
      <c r="AF2">
        <v>270000</v>
      </c>
      <c r="AJ2">
        <v>2000000</v>
      </c>
    </row>
    <row r="3" spans="1:40" x14ac:dyDescent="0.35">
      <c r="B3" s="129" t="s">
        <v>101</v>
      </c>
      <c r="C3" s="155">
        <v>37.614999999999995</v>
      </c>
      <c r="D3" s="153">
        <v>54.001249999999999</v>
      </c>
      <c r="E3" s="153">
        <v>104.99124999999998</v>
      </c>
      <c r="F3" s="153">
        <v>97.256249999999994</v>
      </c>
      <c r="G3" s="153">
        <v>104.3475</v>
      </c>
      <c r="H3" s="153">
        <v>112.99625</v>
      </c>
      <c r="I3" s="153">
        <v>126.39750000000004</v>
      </c>
      <c r="J3" s="153">
        <v>114.33500000000001</v>
      </c>
      <c r="K3" s="153">
        <v>59.443750000000009</v>
      </c>
      <c r="L3" s="153">
        <v>147.78625</v>
      </c>
      <c r="M3" s="153">
        <v>136.38375000000002</v>
      </c>
      <c r="N3" s="153">
        <v>22.390885937499998</v>
      </c>
      <c r="O3" s="153">
        <v>95.351249999999993</v>
      </c>
      <c r="P3" s="153">
        <v>178.4375</v>
      </c>
      <c r="Q3" s="153">
        <v>112.29249999999999</v>
      </c>
      <c r="R3" s="129" t="s">
        <v>101</v>
      </c>
      <c r="S3" s="130"/>
      <c r="T3" s="104"/>
      <c r="U3" s="131"/>
      <c r="V3" s="132"/>
      <c r="W3" s="103"/>
      <c r="X3" s="103"/>
      <c r="Y3" s="103"/>
      <c r="Z3" s="103"/>
      <c r="AA3" s="103"/>
      <c r="AB3" s="103"/>
      <c r="AC3" s="103"/>
      <c r="AE3" s="589" t="s">
        <v>221</v>
      </c>
      <c r="AF3" s="589"/>
      <c r="AG3" s="589" t="s">
        <v>217</v>
      </c>
      <c r="AH3" s="589"/>
      <c r="AI3" s="589" t="s">
        <v>222</v>
      </c>
      <c r="AJ3" s="589"/>
      <c r="AM3" t="s">
        <v>224</v>
      </c>
    </row>
    <row r="4" spans="1:40" x14ac:dyDescent="0.35">
      <c r="A4" s="87">
        <f>EOMONTH(B4,0)</f>
        <v>44561</v>
      </c>
      <c r="B4" s="133">
        <v>44531</v>
      </c>
      <c r="C4" s="134">
        <v>35.6</v>
      </c>
      <c r="D4" s="104">
        <v>53.5</v>
      </c>
      <c r="E4" s="104">
        <v>97</v>
      </c>
      <c r="F4" s="104">
        <v>95</v>
      </c>
      <c r="G4" s="104">
        <v>103.5</v>
      </c>
      <c r="H4" s="104">
        <v>115.31</v>
      </c>
      <c r="I4" s="104">
        <v>117.25</v>
      </c>
      <c r="J4" s="104">
        <v>134</v>
      </c>
      <c r="K4" s="104">
        <v>58.53</v>
      </c>
      <c r="L4" s="104">
        <v>170</v>
      </c>
      <c r="M4" s="104">
        <v>130</v>
      </c>
      <c r="N4" s="104">
        <v>22</v>
      </c>
      <c r="O4" s="104">
        <v>90</v>
      </c>
      <c r="P4" s="104">
        <v>191</v>
      </c>
      <c r="Q4" s="104">
        <v>100</v>
      </c>
      <c r="R4" s="133">
        <v>44440</v>
      </c>
      <c r="S4" s="130">
        <v>40.56</v>
      </c>
      <c r="T4" s="130">
        <v>81.010000000000005</v>
      </c>
      <c r="U4" s="134">
        <v>4.2</v>
      </c>
      <c r="V4" s="135">
        <v>91</v>
      </c>
      <c r="W4" s="104"/>
      <c r="X4" s="104" t="str">
        <f>Freight!A3</f>
        <v>Month</v>
      </c>
      <c r="Y4" s="104" t="str">
        <f>Freight!B3</f>
        <v>TD3C</v>
      </c>
      <c r="Z4" s="104" t="str">
        <f>Freight!C3</f>
        <v>TD20</v>
      </c>
      <c r="AA4" s="104" t="str">
        <f>Freight!D3</f>
        <v>TD22</v>
      </c>
      <c r="AB4" s="104" t="str">
        <f>Freight!E3</f>
        <v>TD25</v>
      </c>
      <c r="AC4" s="104"/>
      <c r="AD4" s="87">
        <f t="shared" ref="AD4:AD21" si="0">A4</f>
        <v>44561</v>
      </c>
      <c r="AE4" s="69">
        <f>$AE$1*(V4/100 )*$AF$1</f>
        <v>1192464</v>
      </c>
      <c r="AF4" s="84">
        <f>AE4/$AJ$1</f>
        <v>1.6335123287671234</v>
      </c>
      <c r="AG4" s="84">
        <f>$AD$1*(V4/100 )*$AF$1</f>
        <v>618527.00000000012</v>
      </c>
      <c r="AH4" s="84">
        <f>AG4/$AJ$1</f>
        <v>0.84729726027397279</v>
      </c>
      <c r="AI4">
        <f>U4*1000/2000</f>
        <v>2.1</v>
      </c>
      <c r="AJ4">
        <f>[1]WTI!$AS$44</f>
        <v>0</v>
      </c>
      <c r="AK4">
        <f>AI4+$AJ$4</f>
        <v>2.1</v>
      </c>
      <c r="AM4" s="69">
        <f>$AE$2*(C4/100 )*$AF$2</f>
        <v>1863766.8000000003</v>
      </c>
      <c r="AN4" s="84">
        <f>AM4/$AJ$2</f>
        <v>0.93188340000000014</v>
      </c>
    </row>
    <row r="5" spans="1:40" x14ac:dyDescent="0.35">
      <c r="A5" s="87">
        <f t="shared" ref="A5:A11" si="1">EOMONTH(B5,0)</f>
        <v>44592</v>
      </c>
      <c r="B5" s="133">
        <v>44562</v>
      </c>
      <c r="C5" s="134">
        <v>42.5</v>
      </c>
      <c r="D5" s="104">
        <v>57</v>
      </c>
      <c r="E5" s="104">
        <v>104</v>
      </c>
      <c r="F5" s="104">
        <v>94</v>
      </c>
      <c r="G5" s="104">
        <v>115.75</v>
      </c>
      <c r="H5" s="104">
        <v>113.5</v>
      </c>
      <c r="I5" s="104">
        <v>130</v>
      </c>
      <c r="J5" s="104">
        <v>130</v>
      </c>
      <c r="K5" s="104">
        <v>73</v>
      </c>
      <c r="L5" s="104">
        <v>170</v>
      </c>
      <c r="M5" s="104">
        <v>145</v>
      </c>
      <c r="N5" s="104">
        <v>24.5</v>
      </c>
      <c r="O5" s="104">
        <v>97</v>
      </c>
      <c r="P5" s="104">
        <v>182</v>
      </c>
      <c r="Q5" s="104">
        <v>115</v>
      </c>
      <c r="R5" s="133">
        <v>44470</v>
      </c>
      <c r="S5" s="130">
        <v>47</v>
      </c>
      <c r="T5" s="130">
        <v>86</v>
      </c>
      <c r="U5" s="134">
        <v>4.8499999999999996</v>
      </c>
      <c r="V5" s="135">
        <v>82.5</v>
      </c>
      <c r="W5" s="104"/>
      <c r="X5" s="104"/>
      <c r="Y5" s="104"/>
      <c r="Z5" s="104"/>
      <c r="AA5" s="104"/>
      <c r="AB5" s="104"/>
      <c r="AC5" s="104"/>
      <c r="AD5" s="87">
        <f t="shared" si="0"/>
        <v>44592</v>
      </c>
      <c r="AE5" s="69">
        <f t="shared" ref="AE5:AE21" si="2">$AE$1*(V5/100 )*$AF$1</f>
        <v>1081080</v>
      </c>
      <c r="AF5" s="84">
        <f t="shared" ref="AF5:AF18" si="3">AE5/$AJ$1</f>
        <v>1.480931506849315</v>
      </c>
      <c r="AG5" s="84">
        <f t="shared" ref="AG5:AG21" si="4">$AD$1*(V5/100 )*$AF$1</f>
        <v>560752.5</v>
      </c>
      <c r="AH5" s="84">
        <f t="shared" ref="AH5:AH21" si="5">AG5/$AJ$1</f>
        <v>0.76815410958904107</v>
      </c>
      <c r="AI5">
        <f t="shared" ref="AI5:AI21" si="6">U5*1000/2000</f>
        <v>2.4249999999999998</v>
      </c>
      <c r="AK5">
        <f t="shared" ref="AK5:AK21" si="7">AI5+$AJ$4</f>
        <v>2.4249999999999998</v>
      </c>
      <c r="AM5" s="69">
        <f t="shared" ref="AM5:AM21" si="8">$AE$2*(C5/100 )*$AF$2</f>
        <v>2225002.5</v>
      </c>
      <c r="AN5" s="84">
        <f t="shared" ref="AN5:AN21" si="9">AM5/$AJ$2</f>
        <v>1.11250125</v>
      </c>
    </row>
    <row r="6" spans="1:40" x14ac:dyDescent="0.35">
      <c r="A6" s="87">
        <f t="shared" si="1"/>
        <v>44620</v>
      </c>
      <c r="B6" s="133">
        <v>44593</v>
      </c>
      <c r="C6" s="134">
        <v>46.5</v>
      </c>
      <c r="D6" s="104">
        <v>63.5</v>
      </c>
      <c r="E6" s="104">
        <v>108</v>
      </c>
      <c r="F6" s="104">
        <v>96.75</v>
      </c>
      <c r="G6" s="104">
        <v>129</v>
      </c>
      <c r="H6" s="104">
        <v>122.5</v>
      </c>
      <c r="I6" s="104">
        <v>148</v>
      </c>
      <c r="J6" s="104">
        <v>140</v>
      </c>
      <c r="K6" s="104">
        <v>90</v>
      </c>
      <c r="L6" s="104">
        <v>175</v>
      </c>
      <c r="M6" s="104">
        <v>150</v>
      </c>
      <c r="N6" s="104">
        <v>26.5</v>
      </c>
      <c r="O6" s="104">
        <v>104</v>
      </c>
      <c r="P6" s="104">
        <v>187</v>
      </c>
      <c r="Q6" s="104">
        <v>120</v>
      </c>
      <c r="R6" s="133">
        <v>44501</v>
      </c>
      <c r="S6" s="130">
        <v>52</v>
      </c>
      <c r="T6" s="130">
        <v>90</v>
      </c>
      <c r="U6" s="134">
        <v>5.3</v>
      </c>
      <c r="V6" s="135">
        <v>93</v>
      </c>
      <c r="W6" s="104"/>
      <c r="X6" s="104">
        <f>Freight!A5</f>
        <v>46326</v>
      </c>
      <c r="Y6" s="104">
        <f>Freight!B5</f>
        <v>31.921695</v>
      </c>
      <c r="Z6" s="104">
        <f>Freight!C5</f>
        <v>16.685594999999999</v>
      </c>
      <c r="AA6" s="104">
        <f>Freight!D5</f>
        <v>26.349086341704943</v>
      </c>
      <c r="AB6" s="104">
        <f>Freight!E5</f>
        <v>17.068650000000002</v>
      </c>
      <c r="AC6" s="104"/>
      <c r="AD6" s="87">
        <f t="shared" si="0"/>
        <v>44620</v>
      </c>
      <c r="AE6" s="69">
        <f t="shared" si="2"/>
        <v>1218672</v>
      </c>
      <c r="AF6" s="84">
        <f t="shared" si="3"/>
        <v>1.6694136986301369</v>
      </c>
      <c r="AG6" s="84">
        <f t="shared" si="4"/>
        <v>632121</v>
      </c>
      <c r="AH6" s="84">
        <f t="shared" si="5"/>
        <v>0.86591917808219177</v>
      </c>
      <c r="AI6">
        <f t="shared" si="6"/>
        <v>2.65</v>
      </c>
      <c r="AK6">
        <f t="shared" si="7"/>
        <v>2.65</v>
      </c>
      <c r="AM6" s="69">
        <f t="shared" si="8"/>
        <v>2434414.5000000005</v>
      </c>
      <c r="AN6" s="84">
        <f t="shared" si="9"/>
        <v>1.2172072500000002</v>
      </c>
    </row>
    <row r="7" spans="1:40" x14ac:dyDescent="0.35">
      <c r="A7" s="87">
        <f t="shared" si="1"/>
        <v>44651</v>
      </c>
      <c r="B7" s="133">
        <v>44621</v>
      </c>
      <c r="C7" s="134">
        <v>49</v>
      </c>
      <c r="D7" s="104">
        <v>68.5</v>
      </c>
      <c r="E7" s="104">
        <v>112</v>
      </c>
      <c r="F7" s="104">
        <v>101.75</v>
      </c>
      <c r="G7" s="104">
        <v>139</v>
      </c>
      <c r="H7" s="104">
        <v>131.5</v>
      </c>
      <c r="I7" s="104">
        <v>159.25</v>
      </c>
      <c r="J7" s="104">
        <v>145</v>
      </c>
      <c r="K7" s="104">
        <v>100</v>
      </c>
      <c r="L7" s="104">
        <v>180</v>
      </c>
      <c r="M7" s="104">
        <v>155</v>
      </c>
      <c r="N7" s="104">
        <v>28.5</v>
      </c>
      <c r="O7" s="104">
        <v>108</v>
      </c>
      <c r="P7" s="104">
        <v>193.5</v>
      </c>
      <c r="Q7" s="104">
        <v>130</v>
      </c>
      <c r="R7" s="133">
        <v>44531</v>
      </c>
      <c r="S7" s="130">
        <v>52</v>
      </c>
      <c r="T7" s="130">
        <v>90</v>
      </c>
      <c r="U7" s="134">
        <v>5.7</v>
      </c>
      <c r="V7" s="135">
        <v>99</v>
      </c>
      <c r="W7" s="104"/>
      <c r="X7" s="167">
        <f>Freight!A6</f>
        <v>46356</v>
      </c>
      <c r="Y7" s="104">
        <f>Freight!B6</f>
        <v>28.374840000000003</v>
      </c>
      <c r="Z7" s="104">
        <f>Freight!C6</f>
        <v>14.353199999999999</v>
      </c>
      <c r="AA7" s="104">
        <f>Freight!D6</f>
        <v>23.910061951461039</v>
      </c>
      <c r="AB7" s="104">
        <f>Freight!E6</f>
        <v>16.102499999999999</v>
      </c>
      <c r="AC7" s="104"/>
      <c r="AD7" s="87">
        <f t="shared" si="0"/>
        <v>44651</v>
      </c>
      <c r="AE7" s="69">
        <f t="shared" si="2"/>
        <v>1297295.9999999998</v>
      </c>
      <c r="AF7" s="84">
        <f t="shared" si="3"/>
        <v>1.7771178082191779</v>
      </c>
      <c r="AG7" s="84">
        <f t="shared" si="4"/>
        <v>672903.00000000012</v>
      </c>
      <c r="AH7" s="84">
        <f t="shared" si="5"/>
        <v>0.92178493150684948</v>
      </c>
      <c r="AI7">
        <f t="shared" si="6"/>
        <v>2.85</v>
      </c>
      <c r="AK7">
        <f t="shared" si="7"/>
        <v>2.85</v>
      </c>
      <c r="AM7" s="69">
        <f t="shared" si="8"/>
        <v>2565297.0000000005</v>
      </c>
      <c r="AN7" s="84">
        <f t="shared" si="9"/>
        <v>1.2826485000000003</v>
      </c>
    </row>
    <row r="8" spans="1:40" x14ac:dyDescent="0.35">
      <c r="A8" s="87">
        <f t="shared" si="1"/>
        <v>44681</v>
      </c>
      <c r="B8" s="133">
        <v>44652</v>
      </c>
      <c r="C8" s="134">
        <v>47.449259462424564</v>
      </c>
      <c r="D8" s="104">
        <v>66.926345609065152</v>
      </c>
      <c r="E8" s="104">
        <v>113.0952380952381</v>
      </c>
      <c r="F8" s="104">
        <v>101.03011093502379</v>
      </c>
      <c r="G8" s="104">
        <v>142.16084484159219</v>
      </c>
      <c r="H8" s="104">
        <v>119.74584555229715</v>
      </c>
      <c r="I8" s="104">
        <v>157.45007680491551</v>
      </c>
      <c r="J8" s="104">
        <v>135.8057630736393</v>
      </c>
      <c r="K8" s="104">
        <v>99.387527839643667</v>
      </c>
      <c r="L8" s="104">
        <v>160.33483580167419</v>
      </c>
      <c r="M8" s="104">
        <v>164.46644664466447</v>
      </c>
      <c r="N8" s="104">
        <v>27.65</v>
      </c>
      <c r="O8" s="104">
        <v>108.84353741496598</v>
      </c>
      <c r="P8" s="104">
        <v>181.13017154389505</v>
      </c>
      <c r="Q8" s="104">
        <v>129.55032119914347</v>
      </c>
      <c r="R8" s="133">
        <v>44562</v>
      </c>
      <c r="S8" s="130">
        <v>51</v>
      </c>
      <c r="T8" s="130">
        <v>87</v>
      </c>
      <c r="U8" s="134">
        <v>5.45</v>
      </c>
      <c r="V8" s="135">
        <v>96.537558685446015</v>
      </c>
      <c r="W8" s="104"/>
      <c r="X8" s="167">
        <f>Freight!A7</f>
        <v>46387</v>
      </c>
      <c r="Y8" s="104">
        <f>Freight!B7</f>
        <v>24.21410625</v>
      </c>
      <c r="Z8" s="104">
        <f>Freight!C7</f>
        <v>11.303144999999999</v>
      </c>
      <c r="AA8" s="104">
        <f>Freight!D7</f>
        <v>19.032013170973237</v>
      </c>
      <c r="AB8" s="104">
        <f>Freight!E7</f>
        <v>12.667300000000001</v>
      </c>
      <c r="AC8" s="104"/>
      <c r="AD8" s="87">
        <f t="shared" si="0"/>
        <v>44681</v>
      </c>
      <c r="AE8" s="69">
        <f t="shared" si="2"/>
        <v>1265028.1690140846</v>
      </c>
      <c r="AF8" s="84">
        <f t="shared" si="3"/>
        <v>1.7329153000192941</v>
      </c>
      <c r="AG8" s="84">
        <f t="shared" si="4"/>
        <v>656165.78638497659</v>
      </c>
      <c r="AH8" s="84">
        <f t="shared" si="5"/>
        <v>0.89885724162325564</v>
      </c>
      <c r="AI8">
        <f t="shared" si="6"/>
        <v>2.7250000000000001</v>
      </c>
      <c r="AK8">
        <f t="shared" si="7"/>
        <v>2.7250000000000001</v>
      </c>
      <c r="AM8" s="69">
        <f t="shared" si="8"/>
        <v>2484111.0806363137</v>
      </c>
      <c r="AN8" s="84">
        <f t="shared" si="9"/>
        <v>1.2420555403181568</v>
      </c>
    </row>
    <row r="9" spans="1:40" x14ac:dyDescent="0.35">
      <c r="A9" s="87">
        <f t="shared" si="1"/>
        <v>44712</v>
      </c>
      <c r="B9" s="133">
        <v>44682</v>
      </c>
      <c r="C9" s="134">
        <v>45.803620405924299</v>
      </c>
      <c r="D9" s="104">
        <v>62.677053824362609</v>
      </c>
      <c r="E9" s="104">
        <v>104.59183673469389</v>
      </c>
      <c r="F9" s="104">
        <v>97.068145800316969</v>
      </c>
      <c r="G9" s="104">
        <v>139.72380178716489</v>
      </c>
      <c r="H9" s="104">
        <v>118.7683284457478</v>
      </c>
      <c r="I9" s="104">
        <v>152.84178187403992</v>
      </c>
      <c r="J9" s="104">
        <v>132.60405549626469</v>
      </c>
      <c r="K9" s="104">
        <v>97.717149220489972</v>
      </c>
      <c r="L9" s="104">
        <v>156.47134578235674</v>
      </c>
      <c r="M9" s="104">
        <v>161.16611661166115</v>
      </c>
      <c r="N9" s="104">
        <v>27.05</v>
      </c>
      <c r="O9" s="104">
        <v>103.74149659863946</v>
      </c>
      <c r="P9" s="104">
        <v>178.10292633703327</v>
      </c>
      <c r="Q9" s="104">
        <v>126.33832976445396</v>
      </c>
      <c r="R9" s="133">
        <v>44593</v>
      </c>
      <c r="S9" s="130">
        <v>51</v>
      </c>
      <c r="T9" s="130">
        <v>85</v>
      </c>
      <c r="U9" s="134">
        <v>5.25</v>
      </c>
      <c r="V9" s="135">
        <v>95.070422535211279</v>
      </c>
      <c r="W9" s="104"/>
      <c r="X9" s="167">
        <f>Freight!A8</f>
        <v>46418</v>
      </c>
      <c r="Y9" s="104">
        <f>Freight!B8</f>
        <v>24.502500000000001</v>
      </c>
      <c r="Z9" s="104">
        <f>Freight!C8</f>
        <v>7.6275000000000004</v>
      </c>
      <c r="AA9" s="104">
        <f>Freight!D8</f>
        <v>16.592988780729332</v>
      </c>
      <c r="AB9" s="104">
        <f>Freight!E8</f>
        <v>8.2262494050452144</v>
      </c>
      <c r="AC9" s="104"/>
      <c r="AD9" s="87">
        <f t="shared" si="0"/>
        <v>44712</v>
      </c>
      <c r="AE9" s="69">
        <f t="shared" si="2"/>
        <v>1245802.8169014084</v>
      </c>
      <c r="AF9" s="84">
        <f t="shared" si="3"/>
        <v>1.706579201234806</v>
      </c>
      <c r="AG9" s="84">
        <f t="shared" si="4"/>
        <v>646193.661971831</v>
      </c>
      <c r="AH9" s="84">
        <f t="shared" si="5"/>
        <v>0.88519679722168632</v>
      </c>
      <c r="AI9">
        <f t="shared" si="6"/>
        <v>2.625</v>
      </c>
      <c r="AK9">
        <f t="shared" si="7"/>
        <v>2.625</v>
      </c>
      <c r="AM9" s="69">
        <f t="shared" si="8"/>
        <v>2397956.9391113552</v>
      </c>
      <c r="AN9" s="84">
        <f t="shared" si="9"/>
        <v>1.1989784695556776</v>
      </c>
    </row>
    <row r="10" spans="1:40" x14ac:dyDescent="0.35">
      <c r="A10" s="87">
        <f t="shared" si="1"/>
        <v>44651</v>
      </c>
      <c r="B10" s="133">
        <v>44621</v>
      </c>
      <c r="C10" s="134">
        <v>45.803620405924299</v>
      </c>
      <c r="D10" s="104">
        <v>61.614730878186961</v>
      </c>
      <c r="E10" s="104">
        <v>98.639455782312922</v>
      </c>
      <c r="F10" s="104">
        <v>94.294770206022193</v>
      </c>
      <c r="G10" s="104">
        <v>138.50528025995126</v>
      </c>
      <c r="H10" s="104">
        <v>118.52394916911045</v>
      </c>
      <c r="I10" s="104">
        <v>150.53763440860217</v>
      </c>
      <c r="J10" s="104">
        <v>131.80362860192105</v>
      </c>
      <c r="K10" s="104">
        <v>96.881959910913153</v>
      </c>
      <c r="L10" s="104">
        <v>155.50547327752739</v>
      </c>
      <c r="M10" s="104">
        <v>159.51595159515952</v>
      </c>
      <c r="N10" s="104">
        <v>26.9</v>
      </c>
      <c r="O10" s="104">
        <v>98.639455782312936</v>
      </c>
      <c r="P10" s="104">
        <v>176.58930373360241</v>
      </c>
      <c r="Q10" s="104">
        <v>125.53533190578159</v>
      </c>
      <c r="R10" s="133">
        <v>44621</v>
      </c>
      <c r="S10" s="130">
        <v>51</v>
      </c>
      <c r="T10" s="130">
        <v>83</v>
      </c>
      <c r="U10" s="134">
        <v>5.25</v>
      </c>
      <c r="V10" s="135">
        <v>93.603286384976528</v>
      </c>
      <c r="W10" s="104"/>
      <c r="X10" s="104">
        <f>Freight!A9</f>
        <v>46446</v>
      </c>
      <c r="Y10" s="104">
        <f>Freight!B9</f>
        <v>20.452500000000001</v>
      </c>
      <c r="Z10" s="104">
        <f>Freight!C9</f>
        <v>7.02</v>
      </c>
      <c r="AA10" s="104">
        <f>Freight!D9</f>
        <v>15.61737902463177</v>
      </c>
      <c r="AB10" s="104">
        <f>Freight!E9</f>
        <v>7.9196811042360791</v>
      </c>
      <c r="AC10" s="104"/>
      <c r="AD10" s="87">
        <f t="shared" si="0"/>
        <v>44651</v>
      </c>
      <c r="AE10" s="69">
        <f t="shared" si="2"/>
        <v>1226577.4647887324</v>
      </c>
      <c r="AF10" s="84">
        <f t="shared" si="3"/>
        <v>1.6802431024503184</v>
      </c>
      <c r="AG10" s="84">
        <f t="shared" si="4"/>
        <v>636221.53755868541</v>
      </c>
      <c r="AH10" s="84">
        <f t="shared" si="5"/>
        <v>0.87153635282011699</v>
      </c>
      <c r="AI10">
        <f t="shared" si="6"/>
        <v>2.625</v>
      </c>
      <c r="AK10">
        <f t="shared" si="7"/>
        <v>2.625</v>
      </c>
      <c r="AM10" s="69">
        <f t="shared" si="8"/>
        <v>2397956.9391113552</v>
      </c>
      <c r="AN10" s="84">
        <f t="shared" si="9"/>
        <v>1.1989784695556776</v>
      </c>
    </row>
    <row r="11" spans="1:40" x14ac:dyDescent="0.35">
      <c r="A11" s="87">
        <f t="shared" si="1"/>
        <v>44681</v>
      </c>
      <c r="B11" s="133">
        <v>44652</v>
      </c>
      <c r="C11" s="134">
        <v>45.52934722984093</v>
      </c>
      <c r="D11" s="104">
        <v>64.44759206798868</v>
      </c>
      <c r="E11" s="104">
        <v>96.938775510204081</v>
      </c>
      <c r="F11" s="104">
        <v>91.917591125198101</v>
      </c>
      <c r="G11" s="104">
        <v>137.69293257514215</v>
      </c>
      <c r="H11" s="104">
        <v>118.03519061583577</v>
      </c>
      <c r="I11" s="104">
        <v>145.92933947772659</v>
      </c>
      <c r="J11" s="104">
        <v>130.20277481323373</v>
      </c>
      <c r="K11" s="104">
        <v>96.603563474387514</v>
      </c>
      <c r="L11" s="104">
        <v>152.28589826142951</v>
      </c>
      <c r="M11" s="104">
        <v>151.81518151815183</v>
      </c>
      <c r="N11" s="104">
        <v>26.3</v>
      </c>
      <c r="O11" s="104">
        <v>96.371882086167801</v>
      </c>
      <c r="P11" s="104">
        <v>172.0484359233098</v>
      </c>
      <c r="Q11" s="104">
        <v>124.46466809421841</v>
      </c>
      <c r="R11" s="133">
        <v>44652</v>
      </c>
      <c r="S11" s="130">
        <v>50</v>
      </c>
      <c r="T11" s="130">
        <v>83</v>
      </c>
      <c r="U11" s="134">
        <v>5.4</v>
      </c>
      <c r="V11" s="135">
        <v>96.83098591549296</v>
      </c>
      <c r="W11" s="104"/>
      <c r="X11" s="104">
        <f>Freight!A10</f>
        <v>46477</v>
      </c>
      <c r="Y11" s="104">
        <f>Freight!B10</f>
        <v>18.225000000000001</v>
      </c>
      <c r="Z11" s="104">
        <f>Freight!C10</f>
        <v>6.4124999999999996</v>
      </c>
      <c r="AA11" s="104">
        <f>Freight!D10</f>
        <v>14.641769268534212</v>
      </c>
      <c r="AB11" s="104">
        <f>Freight!E10</f>
        <v>7.6131128034269402</v>
      </c>
      <c r="AC11" s="104"/>
      <c r="AD11" s="87">
        <f t="shared" si="0"/>
        <v>44681</v>
      </c>
      <c r="AE11" s="69">
        <f t="shared" si="2"/>
        <v>1268873.2394366197</v>
      </c>
      <c r="AF11" s="84">
        <f t="shared" si="3"/>
        <v>1.7381825197761913</v>
      </c>
      <c r="AG11" s="84">
        <f t="shared" si="4"/>
        <v>658160.21126760577</v>
      </c>
      <c r="AH11" s="84">
        <f t="shared" si="5"/>
        <v>0.9015893305035696</v>
      </c>
      <c r="AI11">
        <f t="shared" si="6"/>
        <v>2.7</v>
      </c>
      <c r="AK11">
        <f t="shared" si="7"/>
        <v>2.7</v>
      </c>
      <c r="AM11" s="69">
        <f t="shared" si="8"/>
        <v>2383597.915523862</v>
      </c>
      <c r="AN11" s="84">
        <f t="shared" si="9"/>
        <v>1.191798957761931</v>
      </c>
    </row>
    <row r="12" spans="1:40" x14ac:dyDescent="0.35">
      <c r="A12" s="86" t="str">
        <f>B12</f>
        <v>Q4-21</v>
      </c>
      <c r="B12" s="133" t="s">
        <v>351</v>
      </c>
      <c r="C12" s="134">
        <v>46</v>
      </c>
      <c r="D12" s="104">
        <v>63</v>
      </c>
      <c r="E12" s="104">
        <v>108</v>
      </c>
      <c r="F12" s="104">
        <v>97.5</v>
      </c>
      <c r="G12" s="104">
        <v>127.91666666666667</v>
      </c>
      <c r="H12" s="104">
        <v>122.5</v>
      </c>
      <c r="I12" s="104">
        <v>145.75</v>
      </c>
      <c r="J12" s="104">
        <v>138.33333333333334</v>
      </c>
      <c r="K12" s="104">
        <v>87.666666666666671</v>
      </c>
      <c r="L12" s="104">
        <v>175</v>
      </c>
      <c r="M12" s="104">
        <v>150</v>
      </c>
      <c r="N12" s="104">
        <v>26.5</v>
      </c>
      <c r="O12" s="104">
        <v>103</v>
      </c>
      <c r="P12" s="104">
        <v>187.5</v>
      </c>
      <c r="Q12" s="104">
        <v>121.66666666666667</v>
      </c>
      <c r="R12" s="136" t="s">
        <v>351</v>
      </c>
      <c r="S12" s="130">
        <v>50.333333333333336</v>
      </c>
      <c r="T12" s="130">
        <v>88.666666666666671</v>
      </c>
      <c r="U12" s="134">
        <v>5.2833333333333323</v>
      </c>
      <c r="V12" s="135">
        <v>91.5</v>
      </c>
      <c r="W12" s="104"/>
      <c r="X12" s="104">
        <f>Freight!A11</f>
        <v>46507</v>
      </c>
      <c r="Y12" s="104">
        <f>Freight!B11</f>
        <v>16.2</v>
      </c>
      <c r="Z12" s="104">
        <f>Freight!C11</f>
        <v>5.4</v>
      </c>
      <c r="AA12" s="104">
        <f>Freight!D11</f>
        <v>12.202744878290307</v>
      </c>
      <c r="AB12" s="104">
        <f>Freight!E11</f>
        <v>6.7445026178010457</v>
      </c>
      <c r="AC12" s="104"/>
      <c r="AD12" s="87" t="str">
        <f t="shared" si="0"/>
        <v>Q4-21</v>
      </c>
      <c r="AE12" s="69">
        <f t="shared" si="2"/>
        <v>1199015.9999999998</v>
      </c>
      <c r="AF12" s="84">
        <f t="shared" si="3"/>
        <v>1.6424876712328764</v>
      </c>
      <c r="AG12" s="84">
        <f t="shared" si="4"/>
        <v>621925.5</v>
      </c>
      <c r="AH12" s="84">
        <f t="shared" si="5"/>
        <v>0.85195273972602736</v>
      </c>
      <c r="AI12">
        <f t="shared" si="6"/>
        <v>2.6416666666666662</v>
      </c>
      <c r="AK12">
        <f t="shared" si="7"/>
        <v>2.6416666666666662</v>
      </c>
      <c r="AM12" s="69">
        <f t="shared" si="8"/>
        <v>2408238.0000000005</v>
      </c>
      <c r="AN12" s="84">
        <f t="shared" si="9"/>
        <v>1.2041190000000002</v>
      </c>
    </row>
    <row r="13" spans="1:40" x14ac:dyDescent="0.35">
      <c r="A13" s="86" t="str">
        <f t="shared" ref="A13:A20" si="10">B13</f>
        <v>Q1-22</v>
      </c>
      <c r="B13" s="133" t="s">
        <v>352</v>
      </c>
      <c r="C13" s="134">
        <v>46.352166758091052</v>
      </c>
      <c r="D13" s="104">
        <v>63.73937677053825</v>
      </c>
      <c r="E13" s="104">
        <v>105.4421768707483</v>
      </c>
      <c r="F13" s="104">
        <v>97.46434231378764</v>
      </c>
      <c r="G13" s="104">
        <v>140.12997562956946</v>
      </c>
      <c r="H13" s="104">
        <v>119.01270772238513</v>
      </c>
      <c r="I13" s="104">
        <v>153.60983102918587</v>
      </c>
      <c r="J13" s="104">
        <v>133.40448239060834</v>
      </c>
      <c r="K13" s="104">
        <v>97.995545657015597</v>
      </c>
      <c r="L13" s="104">
        <v>157.43721828718608</v>
      </c>
      <c r="M13" s="104">
        <v>161.71617161716171</v>
      </c>
      <c r="N13" s="104">
        <v>27.2</v>
      </c>
      <c r="O13" s="104">
        <v>103.74149659863946</v>
      </c>
      <c r="P13" s="104">
        <v>178.6074672048436</v>
      </c>
      <c r="Q13" s="104">
        <v>127.14132762312634</v>
      </c>
      <c r="R13" s="136" t="s">
        <v>352</v>
      </c>
      <c r="S13" s="130">
        <v>51</v>
      </c>
      <c r="T13" s="130">
        <v>85</v>
      </c>
      <c r="U13" s="134">
        <v>5.3166666666666664</v>
      </c>
      <c r="V13" s="135">
        <v>95.070422535211279</v>
      </c>
      <c r="W13" s="104"/>
      <c r="X13" s="104">
        <f>Freight!A12</f>
        <v>46538</v>
      </c>
      <c r="Y13" s="104">
        <f>Freight!B12</f>
        <v>13.5</v>
      </c>
      <c r="Z13" s="104">
        <f>Freight!C12</f>
        <v>4.8600000000000003</v>
      </c>
      <c r="AA13" s="104">
        <f>Freight!D12</f>
        <v>12.202744878290307</v>
      </c>
      <c r="AB13" s="104">
        <f>Freight!E12</f>
        <v>6.4379343169919085</v>
      </c>
      <c r="AC13" s="104"/>
      <c r="AD13" s="87" t="str">
        <f t="shared" si="0"/>
        <v>Q1-22</v>
      </c>
      <c r="AE13" s="69">
        <f t="shared" si="2"/>
        <v>1245802.8169014084</v>
      </c>
      <c r="AF13" s="84">
        <f t="shared" si="3"/>
        <v>1.706579201234806</v>
      </c>
      <c r="AG13" s="84">
        <f t="shared" si="4"/>
        <v>646193.661971831</v>
      </c>
      <c r="AH13" s="84">
        <f t="shared" si="5"/>
        <v>0.88519679722168632</v>
      </c>
      <c r="AI13">
        <f t="shared" si="6"/>
        <v>2.6583333333333332</v>
      </c>
      <c r="AK13">
        <f t="shared" si="7"/>
        <v>2.6583333333333332</v>
      </c>
      <c r="AM13" s="69">
        <f t="shared" si="8"/>
        <v>2426674.9862863407</v>
      </c>
      <c r="AN13" s="84">
        <f t="shared" si="9"/>
        <v>1.2133374931431704</v>
      </c>
    </row>
    <row r="14" spans="1:40" x14ac:dyDescent="0.35">
      <c r="A14" s="86" t="str">
        <f t="shared" si="10"/>
        <v>Q2-22</v>
      </c>
      <c r="B14" s="133" t="s">
        <v>353</v>
      </c>
      <c r="C14" s="134">
        <v>46.626439934174435</v>
      </c>
      <c r="D14" s="104">
        <v>65.864022662889525</v>
      </c>
      <c r="E14" s="104">
        <v>96.938775510204081</v>
      </c>
      <c r="F14" s="104">
        <v>91.917591125198101</v>
      </c>
      <c r="G14" s="104">
        <v>135.25588952071485</v>
      </c>
      <c r="H14" s="104">
        <v>118.03519061583577</v>
      </c>
      <c r="I14" s="104">
        <v>144.39324116743472</v>
      </c>
      <c r="J14" s="104">
        <v>129.13553895410888</v>
      </c>
      <c r="K14" s="104">
        <v>95.489977728285055</v>
      </c>
      <c r="L14" s="104">
        <v>151.64198325820993</v>
      </c>
      <c r="M14" s="104">
        <v>151.81518151815183</v>
      </c>
      <c r="N14" s="104">
        <v>26.3</v>
      </c>
      <c r="O14" s="104">
        <v>96.371882086167801</v>
      </c>
      <c r="P14" s="104">
        <v>172.0484359233098</v>
      </c>
      <c r="Q14" s="104">
        <v>124.46466809421841</v>
      </c>
      <c r="R14" s="136" t="s">
        <v>353</v>
      </c>
      <c r="S14" s="130">
        <v>50</v>
      </c>
      <c r="T14" s="130">
        <v>83</v>
      </c>
      <c r="U14" s="134">
        <v>5.5</v>
      </c>
      <c r="V14" s="135">
        <v>96.83098591549296</v>
      </c>
      <c r="W14" s="104"/>
      <c r="X14" s="104" t="str">
        <f>Freight!A13</f>
        <v>Q4-26</v>
      </c>
      <c r="Y14" s="104">
        <f>Freight!B13</f>
        <v>28.170213749999998</v>
      </c>
      <c r="Z14" s="104">
        <f>Freight!C13</f>
        <v>14.11398</v>
      </c>
      <c r="AA14" s="104">
        <f>Freight!D13</f>
        <v>23.097053821379738</v>
      </c>
      <c r="AB14" s="104">
        <f>Freight!E13</f>
        <v>15.279483333333333</v>
      </c>
      <c r="AC14" s="104"/>
      <c r="AD14" s="87" t="str">
        <f t="shared" si="0"/>
        <v>Q2-22</v>
      </c>
      <c r="AE14" s="69">
        <f t="shared" si="2"/>
        <v>1268873.2394366197</v>
      </c>
      <c r="AF14" s="84">
        <f t="shared" si="3"/>
        <v>1.7381825197761913</v>
      </c>
      <c r="AG14" s="84">
        <f t="shared" si="4"/>
        <v>658160.21126760577</v>
      </c>
      <c r="AH14" s="84">
        <f t="shared" si="5"/>
        <v>0.9015893305035696</v>
      </c>
      <c r="AI14">
        <f t="shared" si="6"/>
        <v>2.75</v>
      </c>
      <c r="AK14">
        <f t="shared" si="7"/>
        <v>2.75</v>
      </c>
      <c r="AM14" s="69">
        <f t="shared" si="8"/>
        <v>2441034.0098738344</v>
      </c>
      <c r="AN14" s="84">
        <f t="shared" si="9"/>
        <v>1.2205170049369172</v>
      </c>
    </row>
    <row r="15" spans="1:40" x14ac:dyDescent="0.35">
      <c r="A15" s="86" t="str">
        <f t="shared" si="10"/>
        <v>Q3-22</v>
      </c>
      <c r="B15" s="133" t="s">
        <v>354</v>
      </c>
      <c r="C15" s="134">
        <v>49.369171695008227</v>
      </c>
      <c r="D15" s="104">
        <v>66.572237960339947</v>
      </c>
      <c r="E15" s="104">
        <v>98.639455782312922</v>
      </c>
      <c r="F15" s="104">
        <v>95.087163232963562</v>
      </c>
      <c r="G15" s="104">
        <v>137.28675873273758</v>
      </c>
      <c r="H15" s="104">
        <v>125.12218963831866</v>
      </c>
      <c r="I15" s="104">
        <v>141.321044546851</v>
      </c>
      <c r="J15" s="104">
        <v>131.27001067235861</v>
      </c>
      <c r="K15" s="104">
        <v>96.046770601336291</v>
      </c>
      <c r="L15" s="104">
        <v>156.14938828074696</v>
      </c>
      <c r="M15" s="104">
        <v>159.51595159515952</v>
      </c>
      <c r="N15" s="104">
        <v>27</v>
      </c>
      <c r="O15" s="104">
        <v>94.10430839002268</v>
      </c>
      <c r="P15" s="104">
        <v>177.09384460141271</v>
      </c>
      <c r="Q15" s="104">
        <v>125.80299785867238</v>
      </c>
      <c r="R15" s="136" t="s">
        <v>354</v>
      </c>
      <c r="S15" s="130">
        <v>50</v>
      </c>
      <c r="T15" s="130">
        <v>87</v>
      </c>
      <c r="U15" s="134">
        <v>5.75</v>
      </c>
      <c r="V15" s="135">
        <v>98.004694835680752</v>
      </c>
      <c r="W15" s="104"/>
      <c r="X15" s="104" t="str">
        <f>Freight!A14</f>
        <v>Q1-27</v>
      </c>
      <c r="Y15" s="104">
        <f>Freight!B14</f>
        <v>21.06</v>
      </c>
      <c r="Z15" s="104">
        <f>Freight!C14</f>
        <v>7.02</v>
      </c>
      <c r="AA15" s="104">
        <f>Freight!D14</f>
        <v>15.61737902463177</v>
      </c>
      <c r="AB15" s="104">
        <f>Freight!E14</f>
        <v>7.9196811042360791</v>
      </c>
      <c r="AC15" s="104"/>
      <c r="AD15" s="87" t="str">
        <f t="shared" si="0"/>
        <v>Q3-22</v>
      </c>
      <c r="AE15" s="69">
        <f t="shared" si="2"/>
        <v>1284253.5211267604</v>
      </c>
      <c r="AF15" s="84">
        <f t="shared" si="3"/>
        <v>1.7592513988037815</v>
      </c>
      <c r="AG15" s="84">
        <f t="shared" si="4"/>
        <v>666137.91079812206</v>
      </c>
      <c r="AH15" s="84">
        <f t="shared" si="5"/>
        <v>0.91251768602482475</v>
      </c>
      <c r="AI15">
        <f t="shared" si="6"/>
        <v>2.875</v>
      </c>
      <c r="AK15">
        <f t="shared" si="7"/>
        <v>2.875</v>
      </c>
      <c r="AM15" s="69">
        <f t="shared" si="8"/>
        <v>2584624.2457487658</v>
      </c>
      <c r="AN15" s="84">
        <f t="shared" si="9"/>
        <v>1.2923121228743828</v>
      </c>
    </row>
    <row r="16" spans="1:40" x14ac:dyDescent="0.35">
      <c r="A16" s="86" t="str">
        <f t="shared" si="10"/>
        <v>Q4-22</v>
      </c>
      <c r="B16" s="133" t="s">
        <v>355</v>
      </c>
      <c r="C16" s="134">
        <v>60.614371914426769</v>
      </c>
      <c r="D16" s="104">
        <v>70.113314447592074</v>
      </c>
      <c r="E16" s="104">
        <v>115.64625850340136</v>
      </c>
      <c r="F16" s="104">
        <v>101.42630744849446</v>
      </c>
      <c r="G16" s="104">
        <v>149.47197400487406</v>
      </c>
      <c r="H16" s="104">
        <v>132.45356793743889</v>
      </c>
      <c r="I16" s="104">
        <v>152.07373271889401</v>
      </c>
      <c r="J16" s="104">
        <v>136.60618996798294</v>
      </c>
      <c r="K16" s="104">
        <v>104.67706013363028</v>
      </c>
      <c r="L16" s="104">
        <v>159.36896329684481</v>
      </c>
      <c r="M16" s="104">
        <v>165.01650165016497</v>
      </c>
      <c r="N16" s="104">
        <v>27.5</v>
      </c>
      <c r="O16" s="104">
        <v>107.70975056689342</v>
      </c>
      <c r="P16" s="104">
        <v>182.64379414732596</v>
      </c>
      <c r="Q16" s="104">
        <v>129.01498929336188</v>
      </c>
      <c r="R16" s="136" t="s">
        <v>355</v>
      </c>
      <c r="S16" s="130">
        <v>51</v>
      </c>
      <c r="T16" s="130">
        <v>90</v>
      </c>
      <c r="U16" s="134">
        <v>7</v>
      </c>
      <c r="V16" s="135">
        <v>102.11267605633802</v>
      </c>
      <c r="W16" s="104"/>
      <c r="X16" s="104"/>
      <c r="Y16" s="104"/>
      <c r="Z16" s="104"/>
      <c r="AA16" s="104"/>
      <c r="AB16" s="104"/>
      <c r="AC16" s="104"/>
      <c r="AD16" s="87" t="str">
        <f t="shared" si="0"/>
        <v>Q4-22</v>
      </c>
      <c r="AE16" s="69">
        <f t="shared" si="2"/>
        <v>1338084.5070422534</v>
      </c>
      <c r="AF16" s="84">
        <f t="shared" si="3"/>
        <v>1.832992475400347</v>
      </c>
      <c r="AG16" s="84">
        <f t="shared" si="4"/>
        <v>694059.85915492964</v>
      </c>
      <c r="AH16" s="84">
        <f t="shared" si="5"/>
        <v>0.95076693034921866</v>
      </c>
      <c r="AI16">
        <f t="shared" si="6"/>
        <v>3.5</v>
      </c>
      <c r="AK16">
        <f t="shared" si="7"/>
        <v>3.5</v>
      </c>
      <c r="AM16" s="69">
        <f t="shared" si="8"/>
        <v>3173344.2128359848</v>
      </c>
      <c r="AN16" s="84">
        <f t="shared" si="9"/>
        <v>1.5866721064179923</v>
      </c>
    </row>
    <row r="17" spans="1:40" x14ac:dyDescent="0.35">
      <c r="A17" s="86" t="str">
        <f t="shared" si="10"/>
        <v>Q1-23</v>
      </c>
      <c r="B17" s="133" t="s">
        <v>356</v>
      </c>
      <c r="C17" s="134">
        <v>59.791552386176633</v>
      </c>
      <c r="D17" s="104">
        <v>74.362606232294624</v>
      </c>
      <c r="E17" s="104">
        <v>119.89795918367349</v>
      </c>
      <c r="F17" s="104">
        <v>104.19968304278923</v>
      </c>
      <c r="G17" s="104">
        <v>144.19171405361493</v>
      </c>
      <c r="H17" s="104">
        <v>133.43108504398825</v>
      </c>
      <c r="I17" s="104">
        <v>155.14592933947773</v>
      </c>
      <c r="J17" s="104">
        <v>129.13553895410888</v>
      </c>
      <c r="K17" s="104">
        <v>99.109131403118027</v>
      </c>
      <c r="L17" s="104">
        <v>159.69092079845458</v>
      </c>
      <c r="M17" s="104">
        <v>165.56655665566558</v>
      </c>
      <c r="N17" s="104">
        <v>27.9</v>
      </c>
      <c r="O17" s="104">
        <v>110.54421768707482</v>
      </c>
      <c r="P17" s="104">
        <v>175.58022199798182</v>
      </c>
      <c r="Q17" s="104">
        <v>129.81798715203428</v>
      </c>
      <c r="R17" s="136" t="s">
        <v>356</v>
      </c>
      <c r="S17" s="130">
        <v>47</v>
      </c>
      <c r="T17" s="130">
        <v>86</v>
      </c>
      <c r="U17" s="134">
        <v>6.95</v>
      </c>
      <c r="V17" s="135">
        <v>110.91549295774647</v>
      </c>
      <c r="W17" s="104"/>
      <c r="X17" s="104"/>
      <c r="Y17" s="104"/>
      <c r="Z17" s="104"/>
      <c r="AA17" s="104"/>
      <c r="AB17" s="104"/>
      <c r="AC17" s="104"/>
      <c r="AD17" s="87" t="str">
        <f t="shared" si="0"/>
        <v>Q1-23</v>
      </c>
      <c r="AE17" s="69">
        <f t="shared" si="2"/>
        <v>1453436.6197183097</v>
      </c>
      <c r="AF17" s="84">
        <f t="shared" si="3"/>
        <v>1.9910090681072736</v>
      </c>
      <c r="AG17" s="84">
        <f t="shared" si="4"/>
        <v>753892.60563380283</v>
      </c>
      <c r="AH17" s="84">
        <f t="shared" si="5"/>
        <v>1.0327295967586341</v>
      </c>
      <c r="AI17">
        <f t="shared" si="6"/>
        <v>3.4750000000000001</v>
      </c>
      <c r="AK17">
        <f t="shared" si="7"/>
        <v>3.4750000000000001</v>
      </c>
      <c r="AM17" s="69">
        <f t="shared" si="8"/>
        <v>3130267.1420735056</v>
      </c>
      <c r="AN17" s="84">
        <f t="shared" si="9"/>
        <v>1.5651335710367529</v>
      </c>
    </row>
    <row r="18" spans="1:40" x14ac:dyDescent="0.35">
      <c r="A18" s="86" t="str">
        <f t="shared" si="10"/>
        <v>Q2-23</v>
      </c>
      <c r="B18" s="133" t="s">
        <v>357</v>
      </c>
      <c r="C18" s="134">
        <v>57.597366977509601</v>
      </c>
      <c r="D18" s="104">
        <v>72.59206798866856</v>
      </c>
      <c r="E18" s="104">
        <v>113.0952380952381</v>
      </c>
      <c r="F18" s="104">
        <v>101.03011093502379</v>
      </c>
      <c r="G18" s="104">
        <v>140.94232331437857</v>
      </c>
      <c r="H18" s="104">
        <v>131.47605083088953</v>
      </c>
      <c r="I18" s="104">
        <v>149.00153609831028</v>
      </c>
      <c r="J18" s="104">
        <v>127.00106723585914</v>
      </c>
      <c r="K18" s="104">
        <v>96.881959910913125</v>
      </c>
      <c r="L18" s="104">
        <v>157.11526078557631</v>
      </c>
      <c r="M18" s="104">
        <v>161.16611661166118</v>
      </c>
      <c r="N18" s="104">
        <v>27.5</v>
      </c>
      <c r="O18" s="104">
        <v>106.00907029478458</v>
      </c>
      <c r="P18" s="104">
        <v>171.54389505549949</v>
      </c>
      <c r="Q18" s="104">
        <v>127.67665952890792</v>
      </c>
      <c r="R18" s="136" t="s">
        <v>357</v>
      </c>
      <c r="S18" s="130">
        <v>47</v>
      </c>
      <c r="T18" s="130">
        <v>86</v>
      </c>
      <c r="U18" s="134">
        <v>6.55</v>
      </c>
      <c r="V18" s="135">
        <v>108.5680751173709</v>
      </c>
      <c r="W18" s="104"/>
      <c r="X18" s="104"/>
      <c r="Y18" s="104"/>
      <c r="Z18" s="104"/>
      <c r="AA18" s="104"/>
      <c r="AB18" s="104"/>
      <c r="AC18" s="104"/>
      <c r="AD18" s="87" t="str">
        <f t="shared" si="0"/>
        <v>Q2-23</v>
      </c>
      <c r="AE18" s="69">
        <f t="shared" si="2"/>
        <v>1422676.0563380283</v>
      </c>
      <c r="AF18" s="84">
        <f t="shared" si="3"/>
        <v>1.9488713100520936</v>
      </c>
      <c r="AG18" s="84">
        <f t="shared" si="4"/>
        <v>737937.20657277014</v>
      </c>
      <c r="AH18" s="84">
        <f t="shared" si="5"/>
        <v>1.0108728857161235</v>
      </c>
      <c r="AI18">
        <f t="shared" si="6"/>
        <v>3.2749999999999999</v>
      </c>
      <c r="AK18">
        <f t="shared" si="7"/>
        <v>3.2749999999999999</v>
      </c>
      <c r="AM18" s="69">
        <f t="shared" si="8"/>
        <v>3015394.9533735602</v>
      </c>
      <c r="AN18" s="84">
        <f t="shared" si="9"/>
        <v>1.5076974766867801</v>
      </c>
    </row>
    <row r="19" spans="1:40" x14ac:dyDescent="0.35">
      <c r="A19" s="86" t="str">
        <f t="shared" si="10"/>
        <v>Sep-Dec</v>
      </c>
      <c r="B19" s="133" t="s">
        <v>358</v>
      </c>
      <c r="C19" s="134">
        <v>43.4</v>
      </c>
      <c r="D19" s="104">
        <v>60.625</v>
      </c>
      <c r="E19" s="104">
        <v>105.25</v>
      </c>
      <c r="F19" s="104">
        <v>96.875</v>
      </c>
      <c r="G19" s="104">
        <v>121.8125</v>
      </c>
      <c r="H19" s="104">
        <v>120.7025</v>
      </c>
      <c r="I19" s="104">
        <v>138.625</v>
      </c>
      <c r="J19" s="104">
        <v>137.25</v>
      </c>
      <c r="K19" s="104">
        <v>80.382499999999993</v>
      </c>
      <c r="L19" s="104">
        <v>173.75</v>
      </c>
      <c r="M19" s="104">
        <v>145</v>
      </c>
      <c r="N19" s="104">
        <v>25.375</v>
      </c>
      <c r="O19" s="104">
        <v>99.75</v>
      </c>
      <c r="P19" s="104">
        <v>188.375</v>
      </c>
      <c r="Q19" s="104">
        <v>116.25</v>
      </c>
      <c r="R19" s="136" t="s">
        <v>358</v>
      </c>
      <c r="S19" s="130">
        <v>47.89</v>
      </c>
      <c r="T19" s="130">
        <v>86.752499999999998</v>
      </c>
      <c r="U19" s="134">
        <v>5.0125000000000002</v>
      </c>
      <c r="V19" s="135">
        <v>91.375</v>
      </c>
      <c r="W19" s="104"/>
      <c r="X19" s="104"/>
      <c r="Y19" s="104"/>
      <c r="Z19" s="104"/>
      <c r="AA19" s="104"/>
      <c r="AB19" s="104"/>
      <c r="AC19" s="104"/>
      <c r="AD19" s="87" t="str">
        <f t="shared" si="0"/>
        <v>Sep-Dec</v>
      </c>
      <c r="AE19" s="69">
        <f t="shared" si="2"/>
        <v>1197378</v>
      </c>
      <c r="AF19" s="84">
        <f>AE19/$AJ$1</f>
        <v>1.6402438356164384</v>
      </c>
      <c r="AG19" s="84">
        <f t="shared" si="4"/>
        <v>621075.87500000012</v>
      </c>
      <c r="AH19" s="84">
        <f t="shared" si="5"/>
        <v>0.85078886986301383</v>
      </c>
      <c r="AI19">
        <f t="shared" si="6"/>
        <v>2.5062500000000001</v>
      </c>
      <c r="AK19">
        <f t="shared" si="7"/>
        <v>2.5062500000000001</v>
      </c>
      <c r="AM19" s="69">
        <f t="shared" si="8"/>
        <v>2272120.2000000002</v>
      </c>
      <c r="AN19" s="84">
        <f t="shared" si="9"/>
        <v>1.1360601000000001</v>
      </c>
    </row>
    <row r="20" spans="1:40" x14ac:dyDescent="0.35">
      <c r="A20" s="86" t="str">
        <f t="shared" si="10"/>
        <v>Cal-22</v>
      </c>
      <c r="B20" s="136" t="s">
        <v>359</v>
      </c>
      <c r="C20" s="162">
        <v>50.740537575425122</v>
      </c>
      <c r="D20" s="163">
        <v>66.572237960339947</v>
      </c>
      <c r="E20" s="163">
        <v>104.16666666666667</v>
      </c>
      <c r="F20" s="163">
        <v>96.473851030110936</v>
      </c>
      <c r="G20" s="163">
        <v>140.53614947197397</v>
      </c>
      <c r="H20" s="163">
        <v>123.6559139784946</v>
      </c>
      <c r="I20" s="163">
        <v>147.84946236559139</v>
      </c>
      <c r="J20" s="163">
        <v>132.60405549626469</v>
      </c>
      <c r="K20" s="163">
        <v>98.552338530066805</v>
      </c>
      <c r="L20" s="163">
        <v>156.14938828074696</v>
      </c>
      <c r="M20" s="163">
        <v>159.51595159515952</v>
      </c>
      <c r="N20" s="163">
        <v>27</v>
      </c>
      <c r="O20" s="163">
        <v>100.48185941043084</v>
      </c>
      <c r="P20" s="104">
        <v>177.59838546922302</v>
      </c>
      <c r="Q20" s="104">
        <v>126.60599571734475</v>
      </c>
      <c r="R20" s="136" t="s">
        <v>359</v>
      </c>
      <c r="S20" s="130">
        <v>50.5</v>
      </c>
      <c r="T20" s="130">
        <v>86.25</v>
      </c>
      <c r="U20" s="134">
        <v>5.8916666666666666</v>
      </c>
      <c r="V20" s="135">
        <v>98.004694835680766</v>
      </c>
      <c r="W20" s="104"/>
      <c r="X20" s="104"/>
      <c r="Y20" s="104"/>
      <c r="Z20" s="104"/>
      <c r="AA20" s="104"/>
      <c r="AB20" s="104"/>
      <c r="AC20" s="104"/>
      <c r="AD20" s="87" t="str">
        <f t="shared" si="0"/>
        <v>Cal-22</v>
      </c>
      <c r="AE20" s="69">
        <f t="shared" si="2"/>
        <v>1284253.5211267606</v>
      </c>
      <c r="AF20" s="84">
        <f>AE20/$AJ$1</f>
        <v>1.7592513988037817</v>
      </c>
      <c r="AG20" s="84">
        <f t="shared" si="4"/>
        <v>666137.91079812218</v>
      </c>
      <c r="AH20" s="84">
        <f t="shared" si="5"/>
        <v>0.91251768602482486</v>
      </c>
      <c r="AI20">
        <f t="shared" si="6"/>
        <v>2.9458333333333333</v>
      </c>
      <c r="AK20">
        <f t="shared" si="7"/>
        <v>2.9458333333333333</v>
      </c>
      <c r="AM20" s="69">
        <f t="shared" si="8"/>
        <v>2656419.3636862314</v>
      </c>
      <c r="AN20" s="84">
        <f t="shared" si="9"/>
        <v>1.3282096818431157</v>
      </c>
    </row>
    <row r="21" spans="1:40" ht="15" thickBot="1" x14ac:dyDescent="0.4">
      <c r="A21" t="s">
        <v>360</v>
      </c>
      <c r="B21" s="137" t="s">
        <v>360</v>
      </c>
      <c r="C21" s="140">
        <v>57.597366977509601</v>
      </c>
      <c r="D21" s="138">
        <v>72.59206798866856</v>
      </c>
      <c r="E21" s="138">
        <v>113.0952380952381</v>
      </c>
      <c r="F21" s="138">
        <v>101.03011093502379</v>
      </c>
      <c r="G21" s="138">
        <v>140.94232331437857</v>
      </c>
      <c r="H21" s="138">
        <v>131.47605083088953</v>
      </c>
      <c r="I21" s="138">
        <v>149.00153609831028</v>
      </c>
      <c r="J21" s="138">
        <v>127.00106723585914</v>
      </c>
      <c r="K21" s="138">
        <v>96.881959910913125</v>
      </c>
      <c r="L21" s="138">
        <v>157.11526078557631</v>
      </c>
      <c r="M21" s="138">
        <v>161.16611661166118</v>
      </c>
      <c r="N21" s="138">
        <v>27.5</v>
      </c>
      <c r="O21" s="138">
        <v>106.00907029478458</v>
      </c>
      <c r="P21" s="138">
        <v>171.54389505549949</v>
      </c>
      <c r="Q21" s="138">
        <v>127.67665952890792</v>
      </c>
      <c r="R21" s="137" t="s">
        <v>360</v>
      </c>
      <c r="S21" s="139">
        <v>47</v>
      </c>
      <c r="T21" s="130">
        <v>86</v>
      </c>
      <c r="U21" s="140">
        <v>6.55</v>
      </c>
      <c r="V21" s="141">
        <v>108.5680751173709</v>
      </c>
      <c r="W21" s="104"/>
      <c r="X21" s="104"/>
      <c r="Y21" s="104"/>
      <c r="Z21" s="104"/>
      <c r="AA21" s="104"/>
      <c r="AB21" s="104"/>
      <c r="AC21" s="104"/>
      <c r="AD21" s="87" t="str">
        <f t="shared" si="0"/>
        <v>Cal-23</v>
      </c>
      <c r="AE21" s="69">
        <f t="shared" si="2"/>
        <v>1422676.0563380283</v>
      </c>
      <c r="AF21" s="84">
        <f>AE21/$AJ$1</f>
        <v>1.9488713100520936</v>
      </c>
      <c r="AG21" s="84">
        <f t="shared" si="4"/>
        <v>737937.20657277014</v>
      </c>
      <c r="AH21" s="84">
        <f t="shared" si="5"/>
        <v>1.0108728857161235</v>
      </c>
      <c r="AI21">
        <f t="shared" si="6"/>
        <v>3.2749999999999999</v>
      </c>
      <c r="AK21">
        <f t="shared" si="7"/>
        <v>3.2749999999999999</v>
      </c>
      <c r="AM21" s="69">
        <f t="shared" si="8"/>
        <v>3015394.9533735602</v>
      </c>
      <c r="AN21" s="84">
        <f t="shared" si="9"/>
        <v>1.5076974766867801</v>
      </c>
    </row>
    <row r="22" spans="1:40" ht="15" thickBot="1" x14ac:dyDescent="0.4">
      <c r="C22" s="142"/>
      <c r="N22" t="s">
        <v>258</v>
      </c>
      <c r="S22" s="143" t="s">
        <v>258</v>
      </c>
    </row>
    <row r="23" spans="1:40" ht="15" thickBot="1" x14ac:dyDescent="0.4">
      <c r="B23" s="127" t="s">
        <v>361</v>
      </c>
      <c r="C23" s="164">
        <v>18.23</v>
      </c>
      <c r="D23" s="144">
        <v>14.12</v>
      </c>
      <c r="E23" s="144">
        <v>5.88</v>
      </c>
      <c r="F23" s="144">
        <v>12.62</v>
      </c>
      <c r="G23" s="144">
        <v>12.31</v>
      </c>
      <c r="H23" s="144">
        <v>20.46</v>
      </c>
      <c r="I23" s="144">
        <v>6.51</v>
      </c>
      <c r="J23" s="144">
        <v>18.739999999999998</v>
      </c>
      <c r="K23" s="144">
        <v>17.96</v>
      </c>
      <c r="L23" s="144">
        <v>15.53</v>
      </c>
      <c r="M23" s="144">
        <v>9.09</v>
      </c>
      <c r="N23" s="144" t="s">
        <v>260</v>
      </c>
      <c r="O23" s="144">
        <v>8.82</v>
      </c>
      <c r="P23" s="154">
        <v>9.91</v>
      </c>
      <c r="Q23" s="154">
        <v>18.68</v>
      </c>
      <c r="R23" s="152" t="s">
        <v>361</v>
      </c>
      <c r="S23" s="154" t="s">
        <v>260</v>
      </c>
      <c r="T23" s="144" t="s">
        <v>260</v>
      </c>
      <c r="U23" s="144" t="s">
        <v>260</v>
      </c>
      <c r="V23" s="165">
        <v>17.04</v>
      </c>
      <c r="W23" s="105"/>
      <c r="X23" s="105"/>
      <c r="Y23" s="105"/>
      <c r="Z23" s="105"/>
      <c r="AA23" s="105"/>
      <c r="AB23" s="105"/>
      <c r="AC23" s="105"/>
    </row>
    <row r="24" spans="1:40" ht="15" thickBot="1" x14ac:dyDescent="0.4"/>
    <row r="25" spans="1:40" ht="15" thickBot="1" x14ac:dyDescent="0.4">
      <c r="B25" s="127" t="s">
        <v>261</v>
      </c>
      <c r="C25" s="151" t="s">
        <v>226</v>
      </c>
      <c r="D25" s="128" t="s">
        <v>216</v>
      </c>
      <c r="E25" s="128" t="s">
        <v>228</v>
      </c>
      <c r="F25" s="128" t="s">
        <v>229</v>
      </c>
      <c r="G25" s="128" t="s">
        <v>345</v>
      </c>
      <c r="H25" s="128" t="s">
        <v>231</v>
      </c>
      <c r="I25" s="128" t="s">
        <v>346</v>
      </c>
      <c r="J25" s="128" t="s">
        <v>233</v>
      </c>
      <c r="K25" s="128" t="s">
        <v>347</v>
      </c>
      <c r="L25" s="128" t="s">
        <v>235</v>
      </c>
      <c r="M25" s="128" t="s">
        <v>348</v>
      </c>
      <c r="N25" s="128" t="s">
        <v>362</v>
      </c>
      <c r="O25" s="128" t="s">
        <v>237</v>
      </c>
      <c r="P25" s="152" t="s">
        <v>249</v>
      </c>
      <c r="Q25" s="152" t="s">
        <v>238</v>
      </c>
      <c r="R25" s="152" t="s">
        <v>261</v>
      </c>
      <c r="S25" s="127" t="s">
        <v>240</v>
      </c>
      <c r="T25" s="127" t="s">
        <v>241</v>
      </c>
      <c r="U25" s="160" t="s">
        <v>349</v>
      </c>
      <c r="V25" s="161" t="s">
        <v>350</v>
      </c>
      <c r="W25" s="100"/>
      <c r="X25" s="100"/>
      <c r="Y25" s="100"/>
      <c r="Z25" s="100"/>
      <c r="AA25" s="100"/>
      <c r="AB25" s="100"/>
      <c r="AC25" s="100"/>
    </row>
    <row r="26" spans="1:40" ht="15" thickBot="1" x14ac:dyDescent="0.4">
      <c r="B26" s="133" t="s">
        <v>101</v>
      </c>
      <c r="C26" s="155">
        <v>6.8572144999999987</v>
      </c>
      <c r="D26" s="153">
        <v>7.6249764999999998</v>
      </c>
      <c r="E26" s="153">
        <v>6.1734854999999991</v>
      </c>
      <c r="F26" s="153">
        <v>12.27373875</v>
      </c>
      <c r="G26" s="153">
        <v>12.845177249999999</v>
      </c>
      <c r="H26" s="153">
        <v>23.119032749999999</v>
      </c>
      <c r="I26" s="153">
        <v>8.228477250000001</v>
      </c>
      <c r="J26" s="153">
        <v>21.426379000000001</v>
      </c>
      <c r="K26" s="153">
        <v>10.676097500000001</v>
      </c>
      <c r="L26" s="153">
        <v>22.951204624999995</v>
      </c>
      <c r="M26" s="153">
        <v>12.397282875000002</v>
      </c>
      <c r="N26" s="153">
        <v>22.390885937499998</v>
      </c>
      <c r="O26" s="153">
        <v>8.4099802500000003</v>
      </c>
      <c r="P26" s="153">
        <v>17.68315625</v>
      </c>
      <c r="Q26" s="153">
        <v>20.976239</v>
      </c>
      <c r="R26" s="158" t="s">
        <v>101</v>
      </c>
      <c r="S26" s="130"/>
      <c r="T26" s="104"/>
      <c r="U26" s="145"/>
      <c r="V26" s="146"/>
      <c r="W26" s="106"/>
      <c r="X26" s="106"/>
      <c r="Y26" s="106"/>
      <c r="Z26" s="106"/>
      <c r="AA26" s="106"/>
      <c r="AB26" s="106"/>
      <c r="AC26" s="106"/>
    </row>
    <row r="27" spans="1:40" x14ac:dyDescent="0.35">
      <c r="B27" s="133">
        <v>44440</v>
      </c>
      <c r="C27" s="134">
        <v>6.4898800000000012</v>
      </c>
      <c r="D27" s="104">
        <v>7.5541999999999998</v>
      </c>
      <c r="E27" s="104">
        <v>5.7035999999999998</v>
      </c>
      <c r="F27" s="104">
        <v>11.988999999999999</v>
      </c>
      <c r="G27" s="104">
        <v>12.74085</v>
      </c>
      <c r="H27" s="104">
        <v>23.592426</v>
      </c>
      <c r="I27" s="104">
        <v>7.6329750000000001</v>
      </c>
      <c r="J27" s="104">
        <v>25.111599999999999</v>
      </c>
      <c r="K27" s="104">
        <v>10.511988000000001</v>
      </c>
      <c r="L27" s="104">
        <v>26.401</v>
      </c>
      <c r="M27" s="104">
        <v>11.817</v>
      </c>
      <c r="N27" s="104">
        <v>22</v>
      </c>
      <c r="O27" s="104">
        <v>7.9380000000000006</v>
      </c>
      <c r="P27" s="104">
        <v>18.928100000000001</v>
      </c>
      <c r="Q27" s="104">
        <v>18.68</v>
      </c>
      <c r="R27" s="156">
        <v>44440</v>
      </c>
      <c r="S27" s="130">
        <v>40.56</v>
      </c>
      <c r="T27" s="130">
        <v>81.010000000000005</v>
      </c>
      <c r="U27" s="147">
        <v>15.555555555555557</v>
      </c>
      <c r="V27" s="148">
        <v>15.506399999999999</v>
      </c>
      <c r="W27" s="104"/>
      <c r="X27" s="104"/>
      <c r="Y27" s="104"/>
      <c r="Z27" s="104"/>
      <c r="AA27" s="104"/>
      <c r="AB27" s="104"/>
      <c r="AC27" s="104"/>
    </row>
    <row r="28" spans="1:40" x14ac:dyDescent="0.35">
      <c r="B28" s="133">
        <v>44470</v>
      </c>
      <c r="C28" s="134">
        <v>7.7477499999999999</v>
      </c>
      <c r="D28" s="104">
        <v>8.0483999999999991</v>
      </c>
      <c r="E28" s="104">
        <v>6.1151999999999997</v>
      </c>
      <c r="F28" s="104">
        <v>11.862799999999998</v>
      </c>
      <c r="G28" s="104">
        <v>14.248825</v>
      </c>
      <c r="H28" s="104">
        <v>23.222100000000001</v>
      </c>
      <c r="I28" s="104">
        <v>8.4629999999999992</v>
      </c>
      <c r="J28" s="104">
        <v>24.361999999999998</v>
      </c>
      <c r="K28" s="104">
        <v>13.110800000000001</v>
      </c>
      <c r="L28" s="104">
        <v>26.401</v>
      </c>
      <c r="M28" s="104">
        <v>13.180499999999999</v>
      </c>
      <c r="N28" s="104">
        <v>24.5</v>
      </c>
      <c r="O28" s="104">
        <v>8.5554000000000006</v>
      </c>
      <c r="P28" s="104">
        <v>18.036200000000001</v>
      </c>
      <c r="Q28" s="104">
        <v>21.481999999999999</v>
      </c>
      <c r="R28" s="156">
        <v>44470</v>
      </c>
      <c r="S28" s="130">
        <v>47</v>
      </c>
      <c r="T28" s="130">
        <v>86</v>
      </c>
      <c r="U28" s="147">
        <v>17.962962962962962</v>
      </c>
      <c r="V28" s="135">
        <v>14.057999999999998</v>
      </c>
      <c r="W28" s="104"/>
      <c r="X28" s="104"/>
      <c r="Y28" s="104"/>
      <c r="Z28" s="104"/>
      <c r="AA28" s="104"/>
      <c r="AB28" s="104"/>
      <c r="AC28" s="104"/>
    </row>
    <row r="29" spans="1:40" x14ac:dyDescent="0.35">
      <c r="B29" s="133">
        <v>44501</v>
      </c>
      <c r="C29" s="134">
        <v>8.4769500000000004</v>
      </c>
      <c r="D29" s="104">
        <v>8.9661999999999988</v>
      </c>
      <c r="E29" s="104">
        <v>6.3504000000000005</v>
      </c>
      <c r="F29" s="104">
        <v>12.209849999999999</v>
      </c>
      <c r="G29" s="104">
        <v>15.879900000000001</v>
      </c>
      <c r="H29" s="104">
        <v>25.063500000000001</v>
      </c>
      <c r="I29" s="104">
        <v>9.6348000000000003</v>
      </c>
      <c r="J29" s="104">
        <v>26.235999999999997</v>
      </c>
      <c r="K29" s="104">
        <v>16.164000000000001</v>
      </c>
      <c r="L29" s="104">
        <v>27.177499999999998</v>
      </c>
      <c r="M29" s="104">
        <v>13.635</v>
      </c>
      <c r="N29" s="104">
        <v>26.5</v>
      </c>
      <c r="O29" s="104">
        <v>9.1728000000000005</v>
      </c>
      <c r="P29" s="104">
        <v>18.531700000000001</v>
      </c>
      <c r="Q29" s="104">
        <v>22.416</v>
      </c>
      <c r="R29" s="156">
        <v>44501</v>
      </c>
      <c r="S29" s="130">
        <v>52</v>
      </c>
      <c r="T29" s="130">
        <v>90</v>
      </c>
      <c r="U29" s="147">
        <v>19.62962962962963</v>
      </c>
      <c r="V29" s="135">
        <v>15.847200000000001</v>
      </c>
      <c r="W29" s="104"/>
      <c r="X29" s="104"/>
      <c r="Y29" s="104"/>
      <c r="Z29" s="104"/>
      <c r="AA29" s="104"/>
      <c r="AB29" s="104"/>
      <c r="AC29" s="104"/>
    </row>
    <row r="30" spans="1:40" x14ac:dyDescent="0.35">
      <c r="B30" s="133">
        <v>44531</v>
      </c>
      <c r="C30" s="134">
        <v>8.9327000000000005</v>
      </c>
      <c r="D30" s="104">
        <v>9.6722000000000001</v>
      </c>
      <c r="E30" s="104">
        <v>6.5856000000000003</v>
      </c>
      <c r="F30" s="104">
        <v>12.84085</v>
      </c>
      <c r="G30" s="104">
        <v>17.110900000000001</v>
      </c>
      <c r="H30" s="104">
        <v>26.904900000000001</v>
      </c>
      <c r="I30" s="104">
        <v>10.367175</v>
      </c>
      <c r="J30" s="104">
        <v>27.172999999999998</v>
      </c>
      <c r="K30" s="104">
        <v>17.96</v>
      </c>
      <c r="L30" s="104">
        <v>27.954000000000001</v>
      </c>
      <c r="M30" s="104">
        <v>14.089500000000001</v>
      </c>
      <c r="N30" s="104">
        <v>28.5</v>
      </c>
      <c r="O30" s="104">
        <v>9.5256000000000007</v>
      </c>
      <c r="P30" s="104">
        <v>19.175850000000001</v>
      </c>
      <c r="Q30" s="104">
        <v>24.283999999999999</v>
      </c>
      <c r="R30" s="156">
        <v>44531</v>
      </c>
      <c r="S30" s="130">
        <v>52</v>
      </c>
      <c r="T30" s="130">
        <v>90</v>
      </c>
      <c r="U30" s="147">
        <v>21.111111111111111</v>
      </c>
      <c r="V30" s="135">
        <v>16.869599999999998</v>
      </c>
      <c r="W30" s="104"/>
      <c r="X30" s="104"/>
      <c r="Y30" s="104"/>
      <c r="Z30" s="104"/>
      <c r="AA30" s="104"/>
      <c r="AB30" s="104"/>
      <c r="AC30" s="104"/>
    </row>
    <row r="31" spans="1:40" x14ac:dyDescent="0.35">
      <c r="B31" s="133">
        <v>44562</v>
      </c>
      <c r="C31" s="134">
        <v>8.6499999999999986</v>
      </c>
      <c r="D31" s="104">
        <v>9.4499999999999993</v>
      </c>
      <c r="E31" s="104">
        <v>6.65</v>
      </c>
      <c r="F31" s="104">
        <v>12.75</v>
      </c>
      <c r="G31" s="104">
        <v>17.5</v>
      </c>
      <c r="H31" s="104">
        <v>24.5</v>
      </c>
      <c r="I31" s="104">
        <v>10.25</v>
      </c>
      <c r="J31" s="104">
        <v>25.45</v>
      </c>
      <c r="K31" s="104">
        <v>17.850000000000001</v>
      </c>
      <c r="L31" s="104">
        <v>24.9</v>
      </c>
      <c r="M31" s="104">
        <v>14.95</v>
      </c>
      <c r="N31" s="104">
        <v>27.65</v>
      </c>
      <c r="O31" s="104">
        <v>9.6</v>
      </c>
      <c r="P31" s="104">
        <v>17.95</v>
      </c>
      <c r="Q31" s="104">
        <v>24.2</v>
      </c>
      <c r="R31" s="156">
        <v>44562</v>
      </c>
      <c r="S31" s="130">
        <v>51</v>
      </c>
      <c r="T31" s="130">
        <v>87</v>
      </c>
      <c r="U31" s="147">
        <v>20.185185185185183</v>
      </c>
      <c r="V31" s="135">
        <v>16.45</v>
      </c>
      <c r="W31" s="104"/>
      <c r="X31" s="104"/>
      <c r="Y31" s="104"/>
      <c r="Z31" s="104"/>
      <c r="AA31" s="104"/>
      <c r="AB31" s="104"/>
      <c r="AC31" s="104"/>
    </row>
    <row r="32" spans="1:40" x14ac:dyDescent="0.35">
      <c r="B32" s="133">
        <v>44593</v>
      </c>
      <c r="C32" s="134">
        <v>8.35</v>
      </c>
      <c r="D32" s="104">
        <v>8.85</v>
      </c>
      <c r="E32" s="104">
        <v>6.15</v>
      </c>
      <c r="F32" s="104">
        <v>12.25</v>
      </c>
      <c r="G32" s="104">
        <v>17.2</v>
      </c>
      <c r="H32" s="104">
        <v>24.3</v>
      </c>
      <c r="I32" s="104">
        <v>9.9499999999999993</v>
      </c>
      <c r="J32" s="104">
        <v>24.85</v>
      </c>
      <c r="K32" s="104">
        <v>17.55</v>
      </c>
      <c r="L32" s="104">
        <v>24.3</v>
      </c>
      <c r="M32" s="104">
        <v>14.649999999999999</v>
      </c>
      <c r="N32" s="104">
        <v>27.05</v>
      </c>
      <c r="O32" s="104">
        <v>9.15</v>
      </c>
      <c r="P32" s="104">
        <v>17.649999999999999</v>
      </c>
      <c r="Q32" s="104">
        <v>23.6</v>
      </c>
      <c r="R32" s="156">
        <v>44593</v>
      </c>
      <c r="S32" s="130">
        <v>51</v>
      </c>
      <c r="T32" s="130">
        <v>85</v>
      </c>
      <c r="U32" s="147">
        <v>19.444444444444446</v>
      </c>
      <c r="V32" s="135">
        <v>16.2</v>
      </c>
      <c r="W32" s="104"/>
      <c r="X32" s="104"/>
      <c r="Y32" s="104"/>
      <c r="Z32" s="104"/>
      <c r="AA32" s="104"/>
      <c r="AB32" s="104"/>
      <c r="AC32" s="104"/>
    </row>
    <row r="33" spans="2:29" x14ac:dyDescent="0.35">
      <c r="B33" s="133">
        <v>44621</v>
      </c>
      <c r="C33" s="134">
        <v>8.35</v>
      </c>
      <c r="D33" s="104">
        <v>8.6999999999999993</v>
      </c>
      <c r="E33" s="104">
        <v>5.8</v>
      </c>
      <c r="F33" s="104">
        <v>11.9</v>
      </c>
      <c r="G33" s="104">
        <v>17.05</v>
      </c>
      <c r="H33" s="104">
        <v>24.25</v>
      </c>
      <c r="I33" s="104">
        <v>9.8000000000000007</v>
      </c>
      <c r="J33" s="104">
        <v>24.7</v>
      </c>
      <c r="K33" s="104">
        <v>17.400000000000002</v>
      </c>
      <c r="L33" s="104">
        <v>24.15</v>
      </c>
      <c r="M33" s="104">
        <v>14.5</v>
      </c>
      <c r="N33" s="104">
        <v>26.9</v>
      </c>
      <c r="O33" s="104">
        <v>8.7000000000000011</v>
      </c>
      <c r="P33" s="104">
        <v>17.5</v>
      </c>
      <c r="Q33" s="104">
        <v>23.45</v>
      </c>
      <c r="R33" s="156">
        <v>44621</v>
      </c>
      <c r="S33" s="130">
        <v>51</v>
      </c>
      <c r="T33" s="130">
        <v>83</v>
      </c>
      <c r="U33" s="147">
        <v>19.444444444444446</v>
      </c>
      <c r="V33" s="135">
        <v>15.95</v>
      </c>
      <c r="W33" s="104"/>
      <c r="X33" s="104"/>
      <c r="Y33" s="104"/>
      <c r="Z33" s="104"/>
      <c r="AA33" s="104"/>
      <c r="AB33" s="104"/>
      <c r="AC33" s="104"/>
    </row>
    <row r="34" spans="2:29" x14ac:dyDescent="0.35">
      <c r="B34" s="133">
        <v>44652</v>
      </c>
      <c r="C34" s="134">
        <v>8.3000000000000007</v>
      </c>
      <c r="D34" s="104">
        <v>9.1000000000000014</v>
      </c>
      <c r="E34" s="104">
        <v>5.7</v>
      </c>
      <c r="F34" s="104">
        <v>11.6</v>
      </c>
      <c r="G34" s="104">
        <v>16.95</v>
      </c>
      <c r="H34" s="104">
        <v>24.15</v>
      </c>
      <c r="I34" s="104">
        <v>9.5</v>
      </c>
      <c r="J34" s="104">
        <v>24.4</v>
      </c>
      <c r="K34" s="104">
        <v>17.349999999999998</v>
      </c>
      <c r="L34" s="104">
        <v>23.650000000000002</v>
      </c>
      <c r="M34" s="104">
        <v>13.8</v>
      </c>
      <c r="N34" s="104">
        <v>26.3</v>
      </c>
      <c r="O34" s="104">
        <v>8.5</v>
      </c>
      <c r="P34" s="104">
        <v>17.05</v>
      </c>
      <c r="Q34" s="104">
        <v>23.25</v>
      </c>
      <c r="R34" s="156">
        <v>44652</v>
      </c>
      <c r="S34" s="130">
        <v>50</v>
      </c>
      <c r="T34" s="130">
        <v>83</v>
      </c>
      <c r="U34" s="147">
        <v>20</v>
      </c>
      <c r="V34" s="135">
        <v>16.5</v>
      </c>
      <c r="W34" s="104"/>
      <c r="X34" s="104"/>
      <c r="Y34" s="104"/>
      <c r="Z34" s="104"/>
      <c r="AA34" s="104"/>
      <c r="AB34" s="104"/>
      <c r="AC34" s="104"/>
    </row>
    <row r="35" spans="2:29" x14ac:dyDescent="0.35">
      <c r="B35" s="133" t="s">
        <v>351</v>
      </c>
      <c r="C35" s="134">
        <v>8.3857999999999997</v>
      </c>
      <c r="D35" s="104">
        <v>8.8956</v>
      </c>
      <c r="E35" s="104">
        <v>6.3504000000000005</v>
      </c>
      <c r="F35" s="104">
        <v>12.304499999999999</v>
      </c>
      <c r="G35" s="104">
        <v>15.746541666666669</v>
      </c>
      <c r="H35" s="104">
        <v>25.063500000000001</v>
      </c>
      <c r="I35" s="104">
        <v>9.4883249999999997</v>
      </c>
      <c r="J35" s="104">
        <v>25.923666666666669</v>
      </c>
      <c r="K35" s="104">
        <v>15.744933333333334</v>
      </c>
      <c r="L35" s="104">
        <v>27.177499999999998</v>
      </c>
      <c r="M35" s="104">
        <v>13.635</v>
      </c>
      <c r="N35" s="104">
        <v>26.5</v>
      </c>
      <c r="O35" s="104">
        <v>9.0846</v>
      </c>
      <c r="P35" s="104">
        <v>18.581250000000001</v>
      </c>
      <c r="Q35" s="104">
        <v>22.727333333333334</v>
      </c>
      <c r="R35" s="156" t="s">
        <v>351</v>
      </c>
      <c r="S35" s="130">
        <v>50.333333333333336</v>
      </c>
      <c r="T35" s="130">
        <v>88.666666666666671</v>
      </c>
      <c r="U35" s="147">
        <v>19.567901234567898</v>
      </c>
      <c r="V35" s="135">
        <v>15.5916</v>
      </c>
      <c r="W35" s="104"/>
      <c r="X35" s="104"/>
      <c r="Y35" s="104"/>
      <c r="Z35" s="104"/>
      <c r="AA35" s="104"/>
      <c r="AB35" s="104"/>
      <c r="AC35" s="104"/>
    </row>
    <row r="36" spans="2:29" x14ac:dyDescent="0.35">
      <c r="B36" s="133" t="s">
        <v>352</v>
      </c>
      <c r="C36" s="134">
        <v>8.4499999999999993</v>
      </c>
      <c r="D36" s="104">
        <v>9</v>
      </c>
      <c r="E36" s="104">
        <v>6.2</v>
      </c>
      <c r="F36" s="104">
        <v>12.3</v>
      </c>
      <c r="G36" s="104">
        <v>17.25</v>
      </c>
      <c r="H36" s="104">
        <v>24.35</v>
      </c>
      <c r="I36" s="104">
        <v>10</v>
      </c>
      <c r="J36" s="104">
        <v>25</v>
      </c>
      <c r="K36" s="104">
        <v>17.600000000000001</v>
      </c>
      <c r="L36" s="104">
        <v>24.45</v>
      </c>
      <c r="M36" s="104">
        <v>14.7</v>
      </c>
      <c r="N36" s="104">
        <v>27.2</v>
      </c>
      <c r="O36" s="104">
        <v>9.15</v>
      </c>
      <c r="P36" s="104">
        <v>17.7</v>
      </c>
      <c r="Q36" s="104">
        <v>23.75</v>
      </c>
      <c r="R36" s="156" t="s">
        <v>352</v>
      </c>
      <c r="S36" s="130">
        <v>51</v>
      </c>
      <c r="T36" s="130">
        <v>85</v>
      </c>
      <c r="U36" s="147">
        <v>19.691358024691354</v>
      </c>
      <c r="V36" s="135">
        <v>16.2</v>
      </c>
      <c r="W36" s="104"/>
      <c r="X36" s="104"/>
      <c r="Y36" s="104"/>
      <c r="Z36" s="104"/>
      <c r="AA36" s="104"/>
      <c r="AB36" s="104"/>
      <c r="AC36" s="104"/>
    </row>
    <row r="37" spans="2:29" x14ac:dyDescent="0.35">
      <c r="B37" s="133" t="s">
        <v>353</v>
      </c>
      <c r="C37" s="134">
        <v>8.5</v>
      </c>
      <c r="D37" s="104">
        <v>9.3000000000000007</v>
      </c>
      <c r="E37" s="104">
        <v>5.7</v>
      </c>
      <c r="F37" s="104">
        <v>11.6</v>
      </c>
      <c r="G37" s="104">
        <v>16.649999999999999</v>
      </c>
      <c r="H37" s="104">
        <v>24.15</v>
      </c>
      <c r="I37" s="104">
        <v>9.4</v>
      </c>
      <c r="J37" s="104">
        <v>24.2</v>
      </c>
      <c r="K37" s="104">
        <v>17.149999999999999</v>
      </c>
      <c r="L37" s="104">
        <v>23.55</v>
      </c>
      <c r="M37" s="104">
        <v>13.8</v>
      </c>
      <c r="N37" s="104">
        <v>26.3</v>
      </c>
      <c r="O37" s="104">
        <v>8.5</v>
      </c>
      <c r="P37" s="104">
        <v>17.05</v>
      </c>
      <c r="Q37" s="104">
        <v>23.25</v>
      </c>
      <c r="R37" s="156" t="s">
        <v>353</v>
      </c>
      <c r="S37" s="130">
        <v>50</v>
      </c>
      <c r="T37" s="130">
        <v>83</v>
      </c>
      <c r="U37" s="147">
        <v>20.370370370370374</v>
      </c>
      <c r="V37" s="135">
        <v>16.5</v>
      </c>
      <c r="W37" s="104"/>
      <c r="X37" s="104"/>
      <c r="Y37" s="104"/>
      <c r="Z37" s="104"/>
      <c r="AA37" s="104"/>
      <c r="AB37" s="104"/>
      <c r="AC37" s="104"/>
    </row>
    <row r="38" spans="2:29" x14ac:dyDescent="0.35">
      <c r="B38" s="133" t="s">
        <v>354</v>
      </c>
      <c r="C38" s="134">
        <v>9</v>
      </c>
      <c r="D38" s="104">
        <v>9.4</v>
      </c>
      <c r="E38" s="104">
        <v>5.8</v>
      </c>
      <c r="F38" s="104">
        <v>12</v>
      </c>
      <c r="G38" s="104">
        <v>16.899999999999999</v>
      </c>
      <c r="H38" s="104">
        <v>25.6</v>
      </c>
      <c r="I38" s="104">
        <v>9.1999999999999993</v>
      </c>
      <c r="J38" s="104">
        <v>24.6</v>
      </c>
      <c r="K38" s="104">
        <v>17.25</v>
      </c>
      <c r="L38" s="104">
        <v>24.25</v>
      </c>
      <c r="M38" s="104">
        <v>14.5</v>
      </c>
      <c r="N38" s="104">
        <v>27</v>
      </c>
      <c r="O38" s="104">
        <v>8.3000000000000007</v>
      </c>
      <c r="P38" s="104">
        <v>17.55</v>
      </c>
      <c r="Q38" s="104">
        <v>23.5</v>
      </c>
      <c r="R38" s="156" t="s">
        <v>354</v>
      </c>
      <c r="S38" s="135">
        <v>50</v>
      </c>
      <c r="T38" s="130">
        <v>87</v>
      </c>
      <c r="U38" s="147">
        <v>21.296296296296294</v>
      </c>
      <c r="V38" s="135">
        <v>16.7</v>
      </c>
      <c r="W38" s="104"/>
      <c r="X38" s="104"/>
      <c r="Y38" s="104"/>
      <c r="Z38" s="104"/>
      <c r="AA38" s="104"/>
      <c r="AB38" s="104"/>
      <c r="AC38" s="104"/>
    </row>
    <row r="39" spans="2:29" x14ac:dyDescent="0.35">
      <c r="B39" s="133" t="s">
        <v>355</v>
      </c>
      <c r="C39" s="134">
        <v>11.05</v>
      </c>
      <c r="D39" s="104">
        <v>9.9</v>
      </c>
      <c r="E39" s="104">
        <v>6.8</v>
      </c>
      <c r="F39" s="104">
        <v>12.8</v>
      </c>
      <c r="G39" s="104">
        <v>18.399999999999999</v>
      </c>
      <c r="H39" s="104">
        <v>27.1</v>
      </c>
      <c r="I39" s="104">
        <v>9.9</v>
      </c>
      <c r="J39" s="104">
        <v>25.6</v>
      </c>
      <c r="K39" s="104">
        <v>18.8</v>
      </c>
      <c r="L39" s="104">
        <v>24.75</v>
      </c>
      <c r="M39" s="104">
        <v>14.999999999999996</v>
      </c>
      <c r="N39" s="104">
        <v>27.5</v>
      </c>
      <c r="O39" s="104">
        <v>9.5</v>
      </c>
      <c r="P39" s="104">
        <v>18.100000000000001</v>
      </c>
      <c r="Q39" s="104">
        <v>24.1</v>
      </c>
      <c r="R39" s="156" t="s">
        <v>355</v>
      </c>
      <c r="S39" s="135">
        <v>51</v>
      </c>
      <c r="T39" s="130">
        <v>90</v>
      </c>
      <c r="U39" s="147">
        <v>25.925925925925924</v>
      </c>
      <c r="V39" s="135">
        <v>17.399999999999999</v>
      </c>
      <c r="W39" s="104"/>
      <c r="X39" s="104"/>
      <c r="Y39" s="104"/>
      <c r="Z39" s="104"/>
      <c r="AA39" s="104"/>
      <c r="AB39" s="104"/>
      <c r="AC39" s="104"/>
    </row>
    <row r="40" spans="2:29" x14ac:dyDescent="0.35">
      <c r="B40" s="133" t="s">
        <v>356</v>
      </c>
      <c r="C40" s="134">
        <v>10.9</v>
      </c>
      <c r="D40" s="104">
        <v>10.5</v>
      </c>
      <c r="E40" s="104">
        <v>7.0500000000000007</v>
      </c>
      <c r="F40" s="104">
        <v>13.15</v>
      </c>
      <c r="G40" s="104">
        <v>17.75</v>
      </c>
      <c r="H40" s="104">
        <v>27.299999999999997</v>
      </c>
      <c r="I40" s="104">
        <v>10.1</v>
      </c>
      <c r="J40" s="104">
        <v>24.2</v>
      </c>
      <c r="K40" s="104">
        <v>17.799999999999997</v>
      </c>
      <c r="L40" s="104">
        <v>24.799999999999997</v>
      </c>
      <c r="M40" s="104">
        <v>15.05</v>
      </c>
      <c r="N40" s="104">
        <v>27.9</v>
      </c>
      <c r="O40" s="104">
        <v>9.75</v>
      </c>
      <c r="P40" s="104">
        <v>17.399999999999999</v>
      </c>
      <c r="Q40" s="104">
        <v>24.25</v>
      </c>
      <c r="R40" s="156" t="s">
        <v>363</v>
      </c>
      <c r="S40" s="135">
        <v>47</v>
      </c>
      <c r="T40" s="130">
        <v>86</v>
      </c>
      <c r="U40" s="147">
        <v>25.74074074074074</v>
      </c>
      <c r="V40" s="135">
        <v>18.899999999999999</v>
      </c>
      <c r="W40" s="104"/>
      <c r="X40" s="104"/>
      <c r="Y40" s="104"/>
      <c r="Z40" s="104"/>
      <c r="AA40" s="104"/>
      <c r="AB40" s="104"/>
      <c r="AC40" s="104"/>
    </row>
    <row r="41" spans="2:29" x14ac:dyDescent="0.35">
      <c r="B41" s="133" t="s">
        <v>357</v>
      </c>
      <c r="C41" s="134">
        <v>10.5</v>
      </c>
      <c r="D41" s="104">
        <v>10.25</v>
      </c>
      <c r="E41" s="104">
        <v>6.65</v>
      </c>
      <c r="F41" s="104">
        <v>12.75</v>
      </c>
      <c r="G41" s="104">
        <v>17.350000000000001</v>
      </c>
      <c r="H41" s="104">
        <v>26.9</v>
      </c>
      <c r="I41" s="104">
        <v>9.6999999999999993</v>
      </c>
      <c r="J41" s="104">
        <v>23.8</v>
      </c>
      <c r="K41" s="104">
        <v>17.399999999999999</v>
      </c>
      <c r="L41" s="104">
        <v>24.4</v>
      </c>
      <c r="M41" s="104">
        <v>14.65</v>
      </c>
      <c r="N41" s="104">
        <v>27.5</v>
      </c>
      <c r="O41" s="104">
        <v>9.35</v>
      </c>
      <c r="P41" s="104">
        <v>17</v>
      </c>
      <c r="Q41" s="104">
        <v>23.85</v>
      </c>
      <c r="R41" s="156" t="s">
        <v>355</v>
      </c>
      <c r="S41" s="135">
        <v>47</v>
      </c>
      <c r="T41" s="130">
        <v>86</v>
      </c>
      <c r="U41" s="147">
        <v>24.25925925925926</v>
      </c>
      <c r="V41" s="135">
        <v>18.5</v>
      </c>
      <c r="W41" s="104"/>
      <c r="X41" s="104"/>
      <c r="Y41" s="104"/>
      <c r="Z41" s="104"/>
      <c r="AA41" s="104"/>
      <c r="AB41" s="104"/>
      <c r="AC41" s="104"/>
    </row>
    <row r="42" spans="2:29" x14ac:dyDescent="0.35">
      <c r="B42" s="133" t="s">
        <v>358</v>
      </c>
      <c r="C42" s="134">
        <v>7.9118200000000005</v>
      </c>
      <c r="D42" s="104">
        <v>8.5602499999999981</v>
      </c>
      <c r="E42" s="104">
        <v>6.1886999999999999</v>
      </c>
      <c r="F42" s="104">
        <v>12.225624999999999</v>
      </c>
      <c r="G42" s="104">
        <v>14.99511875</v>
      </c>
      <c r="H42" s="104">
        <v>24.695731500000001</v>
      </c>
      <c r="I42" s="104">
        <v>9.0244874999999993</v>
      </c>
      <c r="J42" s="104">
        <v>25.720649999999999</v>
      </c>
      <c r="K42" s="104">
        <v>14.436696999999999</v>
      </c>
      <c r="L42" s="104">
        <v>26.983374999999999</v>
      </c>
      <c r="M42" s="104">
        <v>13.180499999999999</v>
      </c>
      <c r="N42" s="104">
        <v>25.375</v>
      </c>
      <c r="O42" s="104">
        <v>8.7979500000000002</v>
      </c>
      <c r="P42" s="104">
        <v>18.667962500000002</v>
      </c>
      <c r="Q42" s="104">
        <v>21.715500000000002</v>
      </c>
      <c r="R42" s="159" t="s">
        <v>358</v>
      </c>
      <c r="S42" s="135">
        <v>47.89</v>
      </c>
      <c r="T42" s="130">
        <v>86.752499999999998</v>
      </c>
      <c r="U42" s="147">
        <v>18.564814814814817</v>
      </c>
      <c r="V42" s="135">
        <v>15.570299999999998</v>
      </c>
      <c r="W42" s="104"/>
      <c r="X42" s="104"/>
      <c r="Y42" s="104"/>
      <c r="Z42" s="104"/>
      <c r="AA42" s="104"/>
      <c r="AB42" s="104"/>
      <c r="AC42" s="104"/>
    </row>
    <row r="43" spans="2:29" x14ac:dyDescent="0.35">
      <c r="B43" s="133" t="s">
        <v>359</v>
      </c>
      <c r="C43" s="162">
        <v>9.25</v>
      </c>
      <c r="D43" s="163">
        <v>9.4</v>
      </c>
      <c r="E43" s="163">
        <v>6.125</v>
      </c>
      <c r="F43" s="163">
        <v>12.175000000000001</v>
      </c>
      <c r="G43" s="163">
        <v>17.299999999999997</v>
      </c>
      <c r="H43" s="163">
        <v>25.299999999999997</v>
      </c>
      <c r="I43" s="163">
        <v>9.625</v>
      </c>
      <c r="J43" s="163">
        <v>24.85</v>
      </c>
      <c r="K43" s="163">
        <v>17.7</v>
      </c>
      <c r="L43" s="163">
        <v>24.25</v>
      </c>
      <c r="M43" s="163">
        <v>14.5</v>
      </c>
      <c r="N43" s="163">
        <v>27</v>
      </c>
      <c r="O43" s="163">
        <v>8.8625000000000007</v>
      </c>
      <c r="P43" s="163">
        <v>17.600000000000001</v>
      </c>
      <c r="Q43" s="104">
        <v>23.65</v>
      </c>
      <c r="R43" s="159" t="s">
        <v>359</v>
      </c>
      <c r="S43" s="135">
        <v>50.5</v>
      </c>
      <c r="T43" s="130">
        <v>86.25</v>
      </c>
      <c r="U43" s="147">
        <v>21.820987654320987</v>
      </c>
      <c r="V43" s="135">
        <v>16.700000000000003</v>
      </c>
      <c r="W43" s="104"/>
      <c r="X43" s="104"/>
      <c r="Y43" s="104"/>
      <c r="Z43" s="104"/>
      <c r="AA43" s="104"/>
      <c r="AB43" s="104"/>
      <c r="AC43" s="104"/>
    </row>
    <row r="44" spans="2:29" ht="15" thickBot="1" x14ac:dyDescent="0.4">
      <c r="B44" s="149" t="s">
        <v>360</v>
      </c>
      <c r="C44" s="140">
        <v>10.5</v>
      </c>
      <c r="D44" s="138">
        <v>10.25</v>
      </c>
      <c r="E44" s="138">
        <v>6.65</v>
      </c>
      <c r="F44" s="138">
        <v>12.75</v>
      </c>
      <c r="G44" s="138">
        <v>17.350000000000001</v>
      </c>
      <c r="H44" s="138">
        <v>26.9</v>
      </c>
      <c r="I44" s="138">
        <v>9.6999999999999993</v>
      </c>
      <c r="J44" s="138">
        <v>23.8</v>
      </c>
      <c r="K44" s="138">
        <v>17.399999999999999</v>
      </c>
      <c r="L44" s="138">
        <v>24.4</v>
      </c>
      <c r="M44" s="138">
        <v>14.65</v>
      </c>
      <c r="N44" s="138">
        <v>27.5</v>
      </c>
      <c r="O44" s="138">
        <v>9.35</v>
      </c>
      <c r="P44" s="138">
        <v>17</v>
      </c>
      <c r="Q44" s="104">
        <v>23.85</v>
      </c>
      <c r="R44" s="157" t="s">
        <v>360</v>
      </c>
      <c r="S44" s="141">
        <v>47</v>
      </c>
      <c r="T44" s="130">
        <v>86</v>
      </c>
      <c r="U44" s="150">
        <v>24.25925925925926</v>
      </c>
      <c r="V44" s="141">
        <v>18.5</v>
      </c>
      <c r="W44" s="104"/>
      <c r="X44" s="104"/>
      <c r="Y44" s="104"/>
      <c r="Z44" s="104"/>
      <c r="AA44" s="104"/>
      <c r="AB44" s="104"/>
      <c r="AC44" s="104"/>
    </row>
    <row r="50" spans="2:5" x14ac:dyDescent="0.35">
      <c r="C50" s="100" t="s">
        <v>364</v>
      </c>
      <c r="D50" s="100" t="s">
        <v>365</v>
      </c>
    </row>
    <row r="51" spans="2:5" x14ac:dyDescent="0.35">
      <c r="B51" s="96" t="s">
        <v>366</v>
      </c>
      <c r="C51" s="97">
        <v>19.649999999999999</v>
      </c>
      <c r="D51" s="97">
        <v>0.05</v>
      </c>
    </row>
    <row r="52" spans="2:5" x14ac:dyDescent="0.35">
      <c r="B52" s="96" t="s">
        <v>367</v>
      </c>
      <c r="C52" s="97">
        <v>36</v>
      </c>
      <c r="D52" s="97">
        <v>0</v>
      </c>
    </row>
    <row r="53" spans="2:5" x14ac:dyDescent="0.35">
      <c r="B53" s="96" t="s">
        <v>226</v>
      </c>
      <c r="C53" s="97">
        <v>35.21</v>
      </c>
      <c r="D53" s="97">
        <v>-0.08</v>
      </c>
      <c r="E53" s="98"/>
    </row>
    <row r="54" spans="2:5" x14ac:dyDescent="0.35">
      <c r="B54" s="96" t="s">
        <v>368</v>
      </c>
      <c r="C54" s="97">
        <v>0</v>
      </c>
      <c r="D54" s="97">
        <v>0</v>
      </c>
    </row>
    <row r="55" spans="2:5" x14ac:dyDescent="0.35">
      <c r="B55" s="96" t="s">
        <v>369</v>
      </c>
      <c r="C55" s="97">
        <v>0</v>
      </c>
      <c r="D55" s="97">
        <v>0</v>
      </c>
    </row>
    <row r="56" spans="2:5" x14ac:dyDescent="0.35">
      <c r="B56" s="96" t="s">
        <v>370</v>
      </c>
      <c r="C56" s="97">
        <v>61.5</v>
      </c>
      <c r="D56" s="97">
        <v>-0.11</v>
      </c>
    </row>
    <row r="57" spans="2:5" x14ac:dyDescent="0.35">
      <c r="B57" s="96" t="s">
        <v>228</v>
      </c>
      <c r="C57" s="97">
        <v>88.13</v>
      </c>
      <c r="D57" s="97">
        <v>-0.31</v>
      </c>
    </row>
    <row r="58" spans="2:5" x14ac:dyDescent="0.35">
      <c r="B58" s="96" t="s">
        <v>229</v>
      </c>
      <c r="C58" s="97">
        <v>81.44</v>
      </c>
      <c r="D58" s="97">
        <v>-0.28000000000000003</v>
      </c>
    </row>
    <row r="59" spans="2:5" x14ac:dyDescent="0.35">
      <c r="B59" s="96" t="s">
        <v>198</v>
      </c>
      <c r="C59" s="97">
        <v>93.75</v>
      </c>
      <c r="D59" s="97">
        <v>0.62</v>
      </c>
    </row>
    <row r="60" spans="2:5" x14ac:dyDescent="0.35">
      <c r="B60" s="96" t="s">
        <v>371</v>
      </c>
      <c r="C60" s="97">
        <v>100</v>
      </c>
      <c r="D60" s="97">
        <v>2</v>
      </c>
    </row>
    <row r="61" spans="2:5" x14ac:dyDescent="0.35">
      <c r="B61" s="96" t="s">
        <v>372</v>
      </c>
      <c r="C61" s="97">
        <v>74.81</v>
      </c>
      <c r="D61" s="97">
        <v>-0.25</v>
      </c>
    </row>
    <row r="62" spans="2:5" x14ac:dyDescent="0.35">
      <c r="B62" s="96" t="s">
        <v>373</v>
      </c>
      <c r="C62" s="97">
        <v>41.77</v>
      </c>
      <c r="D62" s="97">
        <v>1.0900000000000001</v>
      </c>
    </row>
    <row r="63" spans="2:5" x14ac:dyDescent="0.35">
      <c r="B63" s="96" t="s">
        <v>374</v>
      </c>
      <c r="C63" s="97">
        <v>66.88</v>
      </c>
      <c r="D63" s="97">
        <v>-1.25</v>
      </c>
    </row>
    <row r="64" spans="2:5" x14ac:dyDescent="0.35">
      <c r="B64" s="96" t="s">
        <v>375</v>
      </c>
      <c r="C64" s="97">
        <v>150.5</v>
      </c>
      <c r="D64" s="97">
        <v>-1</v>
      </c>
    </row>
    <row r="65" spans="2:4" x14ac:dyDescent="0.35">
      <c r="B65" s="96" t="s">
        <v>237</v>
      </c>
      <c r="C65" s="97">
        <v>90.63</v>
      </c>
      <c r="D65" s="97">
        <v>0</v>
      </c>
    </row>
    <row r="66" spans="2:4" x14ac:dyDescent="0.35">
      <c r="B66" s="96" t="s">
        <v>216</v>
      </c>
      <c r="C66" s="97">
        <v>55.31</v>
      </c>
      <c r="D66" s="97">
        <v>0</v>
      </c>
    </row>
    <row r="67" spans="2:4" x14ac:dyDescent="0.35">
      <c r="B67" s="96" t="s">
        <v>376</v>
      </c>
      <c r="C67" s="97">
        <v>199</v>
      </c>
      <c r="D67" s="97">
        <v>1</v>
      </c>
    </row>
    <row r="68" spans="2:4" x14ac:dyDescent="0.35">
      <c r="B68" s="96" t="s">
        <v>199</v>
      </c>
      <c r="C68" s="97">
        <v>4581250</v>
      </c>
      <c r="D68" s="97">
        <v>31250</v>
      </c>
    </row>
    <row r="69" spans="2:4" x14ac:dyDescent="0.35">
      <c r="B69" s="96" t="s">
        <v>377</v>
      </c>
      <c r="C69" s="97">
        <v>19.14</v>
      </c>
      <c r="D69" s="97">
        <v>-0.28999999999999998</v>
      </c>
    </row>
    <row r="70" spans="2:4" x14ac:dyDescent="0.35">
      <c r="B70" s="96" t="s">
        <v>378</v>
      </c>
      <c r="C70" s="99">
        <v>403571</v>
      </c>
      <c r="D70" s="99">
        <v>-715</v>
      </c>
    </row>
    <row r="71" spans="2:4" x14ac:dyDescent="0.35">
      <c r="B71" s="96" t="s">
        <v>197</v>
      </c>
      <c r="C71" s="97">
        <v>79.58</v>
      </c>
      <c r="D71" s="97">
        <v>0</v>
      </c>
    </row>
    <row r="72" spans="2:4" x14ac:dyDescent="0.35">
      <c r="B72" s="96"/>
      <c r="C72" s="97"/>
      <c r="D72" s="97"/>
    </row>
    <row r="73" spans="2:4" x14ac:dyDescent="0.35">
      <c r="B73" s="96"/>
      <c r="C73" s="97"/>
      <c r="D73" s="97"/>
    </row>
    <row r="74" spans="2:4" x14ac:dyDescent="0.35">
      <c r="B74" s="96" t="s">
        <v>379</v>
      </c>
      <c r="C74" s="97">
        <v>70.83</v>
      </c>
      <c r="D74" s="97">
        <v>0</v>
      </c>
    </row>
    <row r="75" spans="2:4" x14ac:dyDescent="0.35">
      <c r="B75" s="96" t="s">
        <v>380</v>
      </c>
      <c r="C75" s="97">
        <v>110.28</v>
      </c>
      <c r="D75" s="97">
        <v>-0.28000000000000003</v>
      </c>
    </row>
    <row r="76" spans="2:4" x14ac:dyDescent="0.35">
      <c r="B76" s="96" t="s">
        <v>381</v>
      </c>
      <c r="C76" s="97">
        <v>102.14</v>
      </c>
      <c r="D76" s="97">
        <v>-2.15</v>
      </c>
    </row>
    <row r="77" spans="2:4" x14ac:dyDescent="0.35">
      <c r="B77" s="96" t="s">
        <v>346</v>
      </c>
      <c r="C77" s="97">
        <v>130.63</v>
      </c>
      <c r="D77" s="97">
        <v>0.63</v>
      </c>
    </row>
    <row r="78" spans="2:4" x14ac:dyDescent="0.35">
      <c r="B78" s="96" t="s">
        <v>348</v>
      </c>
      <c r="C78" s="97">
        <v>120</v>
      </c>
      <c r="D78" s="97">
        <v>0</v>
      </c>
    </row>
    <row r="79" spans="2:4" x14ac:dyDescent="0.35">
      <c r="B79" s="96" t="s">
        <v>382</v>
      </c>
      <c r="C79" s="97">
        <v>22.99</v>
      </c>
      <c r="D79" s="97">
        <v>-0.44</v>
      </c>
    </row>
    <row r="80" spans="2:4" x14ac:dyDescent="0.35">
      <c r="B80" s="96" t="s">
        <v>347</v>
      </c>
      <c r="C80" s="97">
        <v>73.209999999999994</v>
      </c>
      <c r="D80" s="97">
        <v>-0.72</v>
      </c>
    </row>
    <row r="81" spans="2:4" x14ac:dyDescent="0.35">
      <c r="B81" s="96" t="s">
        <v>383</v>
      </c>
      <c r="C81" s="97">
        <v>0</v>
      </c>
      <c r="D81" s="97">
        <v>0</v>
      </c>
    </row>
    <row r="82" spans="2:4" x14ac:dyDescent="0.35">
      <c r="B82" s="96" t="s">
        <v>235</v>
      </c>
      <c r="C82" s="97">
        <v>149.13999999999999</v>
      </c>
      <c r="D82" s="97">
        <v>0</v>
      </c>
    </row>
    <row r="83" spans="2:4" x14ac:dyDescent="0.35">
      <c r="B83" s="96" t="s">
        <v>384</v>
      </c>
      <c r="C83" s="97">
        <v>27.334</v>
      </c>
      <c r="D83" s="97">
        <v>-0.46899999999999997</v>
      </c>
    </row>
    <row r="84" spans="2:4" x14ac:dyDescent="0.35">
      <c r="B84" s="96" t="s">
        <v>244</v>
      </c>
      <c r="C84" s="97">
        <v>9.3840000000000003</v>
      </c>
      <c r="D84" s="97">
        <v>-7.1999999999999995E-2</v>
      </c>
    </row>
    <row r="85" spans="2:4" x14ac:dyDescent="0.35">
      <c r="B85" s="96" t="s">
        <v>233</v>
      </c>
      <c r="C85" s="97">
        <v>107.75</v>
      </c>
      <c r="D85" s="97">
        <v>0.44</v>
      </c>
    </row>
    <row r="86" spans="2:4" x14ac:dyDescent="0.35">
      <c r="B86" s="96" t="s">
        <v>362</v>
      </c>
      <c r="C86" s="99">
        <v>1580000</v>
      </c>
      <c r="D86" s="99">
        <v>-40000</v>
      </c>
    </row>
    <row r="87" spans="2:4" x14ac:dyDescent="0.35">
      <c r="B87" s="96" t="s">
        <v>385</v>
      </c>
      <c r="C87" s="97">
        <v>86</v>
      </c>
      <c r="D87" s="97">
        <v>1</v>
      </c>
    </row>
    <row r="88" spans="2:4" x14ac:dyDescent="0.35">
      <c r="B88" s="96" t="s">
        <v>249</v>
      </c>
      <c r="C88" s="97">
        <v>149</v>
      </c>
      <c r="D88" s="97">
        <v>5</v>
      </c>
    </row>
    <row r="89" spans="2:4" x14ac:dyDescent="0.35">
      <c r="B89" s="96" t="s">
        <v>238</v>
      </c>
      <c r="C89" s="97">
        <v>111.17</v>
      </c>
      <c r="D89" s="97">
        <v>0.34</v>
      </c>
    </row>
    <row r="91" spans="2:4" x14ac:dyDescent="0.35">
      <c r="B91" s="96" t="s">
        <v>386</v>
      </c>
      <c r="C91" s="97">
        <v>54.070999999999998</v>
      </c>
      <c r="D91" s="97">
        <v>0.5</v>
      </c>
    </row>
  </sheetData>
  <mergeCells count="3">
    <mergeCell ref="AE3:AF3"/>
    <mergeCell ref="AG3:AH3"/>
    <mergeCell ref="AI3:AJ3"/>
  </mergeCell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X2270"/>
  <sheetViews>
    <sheetView workbookViewId="0">
      <selection activeCell="K63" sqref="K63"/>
    </sheetView>
  </sheetViews>
  <sheetFormatPr defaultColWidth="9.453125" defaultRowHeight="14.5" x14ac:dyDescent="0.35"/>
  <cols>
    <col min="1" max="3" width="10.54296875" bestFit="1" customWidth="1"/>
    <col min="5" max="5" width="1.453125" customWidth="1"/>
    <col min="10" max="10" width="10" bestFit="1" customWidth="1"/>
    <col min="11" max="11" width="10.453125" bestFit="1" customWidth="1"/>
    <col min="12" max="12" width="10.453125" customWidth="1"/>
    <col min="13" max="13" width="1.453125" customWidth="1"/>
    <col min="18" max="18" width="10" bestFit="1" customWidth="1"/>
    <col min="19" max="19" width="10.453125" bestFit="1" customWidth="1"/>
    <col min="20" max="23" width="10.453125" customWidth="1"/>
    <col min="24" max="24" width="1.453125" customWidth="1"/>
    <col min="25" max="25" width="10.54296875" style="74" bestFit="1" customWidth="1"/>
    <col min="26" max="26" width="12.54296875" style="74" bestFit="1" customWidth="1"/>
    <col min="27" max="27" width="15.54296875" style="75" bestFit="1" customWidth="1"/>
    <col min="28" max="28" width="14.7265625" style="75" bestFit="1" customWidth="1"/>
    <col min="29" max="29" width="18.453125" style="75" bestFit="1" customWidth="1"/>
    <col min="30" max="30" width="18.453125" style="75" customWidth="1"/>
    <col min="31" max="34" width="18.453125" style="75" bestFit="1" customWidth="1"/>
  </cols>
  <sheetData>
    <row r="1" spans="1:50" x14ac:dyDescent="0.35">
      <c r="A1" s="72" t="s">
        <v>308</v>
      </c>
      <c r="B1" s="72">
        <v>1</v>
      </c>
      <c r="C1" s="72" t="s">
        <v>153</v>
      </c>
      <c r="D1" s="72" t="s">
        <v>308</v>
      </c>
      <c r="F1" s="637" t="s">
        <v>387</v>
      </c>
      <c r="G1" s="637"/>
      <c r="H1" s="637"/>
      <c r="I1" s="637"/>
      <c r="J1" s="637"/>
      <c r="K1" s="637"/>
      <c r="L1" s="637"/>
      <c r="N1" s="638" t="s">
        <v>388</v>
      </c>
      <c r="O1" s="638"/>
      <c r="P1" s="638"/>
      <c r="Q1" s="638"/>
      <c r="R1" s="638"/>
      <c r="S1" s="638"/>
      <c r="T1" s="638"/>
      <c r="U1" s="73"/>
      <c r="V1" s="73"/>
      <c r="W1" s="73"/>
      <c r="Y1" s="74" t="s">
        <v>389</v>
      </c>
      <c r="Z1" s="74" t="s">
        <v>390</v>
      </c>
      <c r="AA1" s="75" t="s">
        <v>391</v>
      </c>
      <c r="AB1" s="74" t="s">
        <v>392</v>
      </c>
      <c r="AC1" s="75" t="s">
        <v>393</v>
      </c>
      <c r="AD1" s="75" t="s">
        <v>394</v>
      </c>
      <c r="AE1" s="75" t="s">
        <v>395</v>
      </c>
      <c r="AF1" s="75" t="s">
        <v>395</v>
      </c>
      <c r="AG1" s="75" t="s">
        <v>396</v>
      </c>
      <c r="AH1" s="75" t="s">
        <v>396</v>
      </c>
      <c r="AX1" t="s">
        <v>397</v>
      </c>
    </row>
    <row r="2" spans="1:50" x14ac:dyDescent="0.35">
      <c r="A2" s="72" t="s">
        <v>310</v>
      </c>
      <c r="B2" s="72">
        <v>2</v>
      </c>
      <c r="C2" s="72" t="s">
        <v>130</v>
      </c>
      <c r="D2" s="72" t="s">
        <v>310</v>
      </c>
      <c r="F2" s="76" t="s">
        <v>398</v>
      </c>
      <c r="G2" s="76" t="s">
        <v>330</v>
      </c>
      <c r="H2" s="76">
        <v>8</v>
      </c>
      <c r="I2" s="76" t="str">
        <f t="shared" ref="I2:I65" si="0">CONCATENATE(F2,G2,H2)</f>
        <v>CLZ8</v>
      </c>
      <c r="J2" s="77">
        <v>43393</v>
      </c>
      <c r="K2" s="77">
        <v>43423</v>
      </c>
      <c r="L2" s="77" t="str">
        <f>I2</f>
        <v>CLZ8</v>
      </c>
      <c r="N2" s="78" t="s">
        <v>399</v>
      </c>
      <c r="O2" s="78" t="s">
        <v>330</v>
      </c>
      <c r="P2" s="78">
        <v>8</v>
      </c>
      <c r="Q2" s="78" t="str">
        <f>CONCATENATE(N2,O2,P2)</f>
        <v>LCOZ8</v>
      </c>
      <c r="R2" s="79">
        <v>43374</v>
      </c>
      <c r="S2" s="79">
        <v>43403</v>
      </c>
      <c r="T2" s="79" t="str">
        <f>Q2</f>
        <v>LCOZ8</v>
      </c>
      <c r="U2" s="79" t="str">
        <f>CONCATENATE(N3,O3,P3)</f>
        <v>LCOF9</v>
      </c>
      <c r="V2" s="79" t="str">
        <f>CONCATENATE(N4,O4,P4)</f>
        <v>LCOG9</v>
      </c>
      <c r="W2" s="79" t="str">
        <f>CONCATENATE(N5,O5,P5)</f>
        <v>LCOH9</v>
      </c>
      <c r="Y2" s="74">
        <f t="shared" ref="Y2:Y29" si="1">Y3-1</f>
        <v>43405</v>
      </c>
      <c r="Z2" s="74">
        <f t="shared" ref="Z2:Z65" ca="1" si="2">VLOOKUP(AA2,$I$2:$K$39,3,FALSE)</f>
        <v>43423</v>
      </c>
      <c r="AA2" s="80" t="str">
        <f t="shared" ref="AA2:AA65" ca="1" si="3">LOOKUP(2,1/($J$2:$J$700&lt;=$Y2)/($K$2:$K$700&gt;=$Y2),$L$2:$L$700)</f>
        <v>CLZ8</v>
      </c>
      <c r="AB2" s="74">
        <f>VLOOKUP(AC2,$Q$2:$S$39,3,FALSE)</f>
        <v>43434</v>
      </c>
      <c r="AC2" s="80" t="str">
        <f t="shared" ref="AC2:AC65" si="4">LOOKUP(2,1/($R$2:$R$700&lt;=$Y2)/($S$2:$S$700&gt;=$Y2),$T$2:$T$700)</f>
        <v>LCOF9</v>
      </c>
      <c r="AD2" s="80" t="str">
        <f>CONCATENATE("CL",RIGHT(AC2,2))</f>
        <v>CLF9</v>
      </c>
      <c r="AE2" s="80" t="str">
        <f>LOOKUP(2,1/($R$2:$R$700&lt;=$Y2)/($S$2:$S$700&gt;=$Y2),$U$2:$U$700)</f>
        <v>LCOG9</v>
      </c>
      <c r="AF2" s="80" t="str">
        <f>CONCATENATE("CL",RIGHT(AE2,2))</f>
        <v>CLG9</v>
      </c>
      <c r="AG2" s="80" t="str">
        <f>LOOKUP(2,1/($R$2:$R$700&lt;=$Y2)/($S$2:$S$700&gt;=$Y2),$V$2:$V$700)</f>
        <v>LCOH9</v>
      </c>
      <c r="AH2" s="80" t="str">
        <f>LOOKUP(2,1/($R$2:$R$700&lt;=$Y2)/($S$2:$S$700&gt;=$Y2),$W$2:$W$700)</f>
        <v>LCOJ9</v>
      </c>
    </row>
    <row r="3" spans="1:50" x14ac:dyDescent="0.35">
      <c r="A3" s="72" t="s">
        <v>312</v>
      </c>
      <c r="B3" s="72">
        <v>3</v>
      </c>
      <c r="C3" s="72" t="s">
        <v>400</v>
      </c>
      <c r="D3" s="72" t="s">
        <v>312</v>
      </c>
      <c r="F3" s="76" t="s">
        <v>398</v>
      </c>
      <c r="G3" s="76" t="s">
        <v>308</v>
      </c>
      <c r="H3" s="76">
        <v>9</v>
      </c>
      <c r="I3" s="76" t="str">
        <f t="shared" si="0"/>
        <v>CLF9</v>
      </c>
      <c r="J3" s="77">
        <v>43424</v>
      </c>
      <c r="K3" s="77">
        <v>43453</v>
      </c>
      <c r="L3" s="77" t="str">
        <f t="shared" ref="L3:L66" si="5">I3</f>
        <v>CLF9</v>
      </c>
      <c r="N3" s="78" t="s">
        <v>399</v>
      </c>
      <c r="O3" s="78" t="s">
        <v>308</v>
      </c>
      <c r="P3" s="78">
        <v>9</v>
      </c>
      <c r="Q3" s="78" t="str">
        <f t="shared" ref="Q3:Q66" si="6">CONCATENATE(N3,O3,P3)</f>
        <v>LCOF9</v>
      </c>
      <c r="R3" s="79">
        <v>43404</v>
      </c>
      <c r="S3" s="79">
        <v>43434</v>
      </c>
      <c r="T3" s="79" t="str">
        <f t="shared" ref="T3:T66" si="7">Q3</f>
        <v>LCOF9</v>
      </c>
      <c r="U3" s="79" t="str">
        <f t="shared" ref="U3:U66" si="8">CONCATENATE(N4,O4,P4)</f>
        <v>LCOG9</v>
      </c>
      <c r="V3" s="79" t="str">
        <f t="shared" ref="V3:V66" si="9">CONCATENATE(N5,O5,P5)</f>
        <v>LCOH9</v>
      </c>
      <c r="W3" s="79" t="str">
        <f t="shared" ref="W3:W66" si="10">CONCATENATE(N6,O6,P6)</f>
        <v>LCOJ9</v>
      </c>
      <c r="Y3" s="74">
        <f t="shared" si="1"/>
        <v>43406</v>
      </c>
      <c r="Z3" s="74">
        <f t="shared" ca="1" si="2"/>
        <v>43423</v>
      </c>
      <c r="AA3" s="80" t="str">
        <f t="shared" ca="1" si="3"/>
        <v>CLZ8</v>
      </c>
      <c r="AB3" s="74">
        <f t="shared" ref="AB3:AB66" si="11">VLOOKUP(AC3,$Q$2:$S$39,3,FALSE)</f>
        <v>43434</v>
      </c>
      <c r="AC3" s="80" t="str">
        <f t="shared" si="4"/>
        <v>LCOF9</v>
      </c>
      <c r="AD3" s="80" t="str">
        <f t="shared" ref="AD3:AD66" si="12">CONCATENATE("CL",RIGHT(AC3,2))</f>
        <v>CLF9</v>
      </c>
      <c r="AE3" s="80" t="str">
        <f t="shared" ref="AE3:AE66" si="13">LOOKUP(2,1/($R$2:$R$700&lt;=$Y3)/($S$2:$S$700&gt;=$Y3),$U$2:$U$700)</f>
        <v>LCOG9</v>
      </c>
      <c r="AF3" s="80" t="str">
        <f t="shared" ref="AF3:AF66" si="14">CONCATENATE("CL",RIGHT(AE3,2))</f>
        <v>CLG9</v>
      </c>
      <c r="AG3" s="80" t="str">
        <f t="shared" ref="AG3:AG66" si="15">LOOKUP(2,1/($R$2:$R$700&lt;=$Y3)/($S$2:$S$700&gt;=$Y3),$V$2:$V$700)</f>
        <v>LCOH9</v>
      </c>
      <c r="AH3" s="80" t="str">
        <f t="shared" ref="AH3:AH66" si="16">LOOKUP(2,1/($R$2:$R$700&lt;=$Y3)/($S$2:$S$700&gt;=$Y3),$W$2:$W$700)</f>
        <v>LCOJ9</v>
      </c>
    </row>
    <row r="4" spans="1:50" x14ac:dyDescent="0.35">
      <c r="A4" s="72" t="s">
        <v>314</v>
      </c>
      <c r="B4" s="72">
        <v>4</v>
      </c>
      <c r="C4" s="72" t="s">
        <v>401</v>
      </c>
      <c r="D4" s="72" t="s">
        <v>314</v>
      </c>
      <c r="F4" s="76" t="s">
        <v>398</v>
      </c>
      <c r="G4" s="76" t="s">
        <v>310</v>
      </c>
      <c r="H4" s="76">
        <v>9</v>
      </c>
      <c r="I4" s="76" t="str">
        <f t="shared" si="0"/>
        <v>CLG9</v>
      </c>
      <c r="J4" s="77">
        <v>43454</v>
      </c>
      <c r="K4" s="77">
        <v>43487</v>
      </c>
      <c r="L4" s="77" t="str">
        <f t="shared" si="5"/>
        <v>CLG9</v>
      </c>
      <c r="N4" s="78" t="s">
        <v>399</v>
      </c>
      <c r="O4" s="78" t="s">
        <v>310</v>
      </c>
      <c r="P4" s="78">
        <v>9</v>
      </c>
      <c r="Q4" s="78" t="str">
        <f t="shared" si="6"/>
        <v>LCOG9</v>
      </c>
      <c r="R4" s="79">
        <v>43435</v>
      </c>
      <c r="S4" s="79">
        <v>43462</v>
      </c>
      <c r="T4" s="79" t="str">
        <f t="shared" si="7"/>
        <v>LCOG9</v>
      </c>
      <c r="U4" s="79" t="str">
        <f t="shared" si="8"/>
        <v>LCOH9</v>
      </c>
      <c r="V4" s="79" t="str">
        <f t="shared" si="9"/>
        <v>LCOJ9</v>
      </c>
      <c r="W4" s="79" t="str">
        <f t="shared" si="10"/>
        <v>LCOK9</v>
      </c>
      <c r="Y4" s="74">
        <f t="shared" si="1"/>
        <v>43407</v>
      </c>
      <c r="Z4" s="74">
        <f t="shared" ca="1" si="2"/>
        <v>43423</v>
      </c>
      <c r="AA4" s="80" t="str">
        <f t="shared" ca="1" si="3"/>
        <v>CLZ8</v>
      </c>
      <c r="AB4" s="74">
        <f t="shared" si="11"/>
        <v>43434</v>
      </c>
      <c r="AC4" s="80" t="str">
        <f t="shared" si="4"/>
        <v>LCOF9</v>
      </c>
      <c r="AD4" s="80" t="str">
        <f t="shared" si="12"/>
        <v>CLF9</v>
      </c>
      <c r="AE4" s="80" t="str">
        <f t="shared" si="13"/>
        <v>LCOG9</v>
      </c>
      <c r="AF4" s="80" t="str">
        <f t="shared" si="14"/>
        <v>CLG9</v>
      </c>
      <c r="AG4" s="80" t="str">
        <f t="shared" si="15"/>
        <v>LCOH9</v>
      </c>
      <c r="AH4" s="80" t="str">
        <f t="shared" si="16"/>
        <v>LCOJ9</v>
      </c>
    </row>
    <row r="5" spans="1:50" x14ac:dyDescent="0.35">
      <c r="A5" s="72" t="s">
        <v>316</v>
      </c>
      <c r="B5" s="72">
        <v>5</v>
      </c>
      <c r="C5" s="72" t="s">
        <v>158</v>
      </c>
      <c r="D5" s="72" t="s">
        <v>316</v>
      </c>
      <c r="F5" s="76" t="s">
        <v>398</v>
      </c>
      <c r="G5" s="76" t="s">
        <v>312</v>
      </c>
      <c r="H5" s="76">
        <v>9</v>
      </c>
      <c r="I5" s="76" t="str">
        <f t="shared" si="0"/>
        <v>CLH9</v>
      </c>
      <c r="J5" s="77">
        <v>43488</v>
      </c>
      <c r="K5" s="77">
        <v>43516</v>
      </c>
      <c r="L5" s="77" t="str">
        <f t="shared" si="5"/>
        <v>CLH9</v>
      </c>
      <c r="N5" s="78" t="s">
        <v>399</v>
      </c>
      <c r="O5" s="78" t="s">
        <v>312</v>
      </c>
      <c r="P5" s="78">
        <v>9</v>
      </c>
      <c r="Q5" s="78" t="str">
        <f t="shared" si="6"/>
        <v>LCOH9</v>
      </c>
      <c r="R5" s="79">
        <v>43463</v>
      </c>
      <c r="S5" s="79">
        <v>43496</v>
      </c>
      <c r="T5" s="79" t="str">
        <f t="shared" si="7"/>
        <v>LCOH9</v>
      </c>
      <c r="U5" s="79" t="str">
        <f t="shared" si="8"/>
        <v>LCOJ9</v>
      </c>
      <c r="V5" s="79" t="str">
        <f t="shared" si="9"/>
        <v>LCOK9</v>
      </c>
      <c r="W5" s="79" t="str">
        <f t="shared" si="10"/>
        <v>LCOM9</v>
      </c>
      <c r="Y5" s="74">
        <f t="shared" si="1"/>
        <v>43408</v>
      </c>
      <c r="Z5" s="74">
        <f t="shared" ca="1" si="2"/>
        <v>43423</v>
      </c>
      <c r="AA5" s="80" t="str">
        <f t="shared" ca="1" si="3"/>
        <v>CLZ8</v>
      </c>
      <c r="AB5" s="74">
        <f t="shared" si="11"/>
        <v>43434</v>
      </c>
      <c r="AC5" s="80" t="str">
        <f t="shared" si="4"/>
        <v>LCOF9</v>
      </c>
      <c r="AD5" s="80" t="str">
        <f t="shared" si="12"/>
        <v>CLF9</v>
      </c>
      <c r="AE5" s="80" t="str">
        <f t="shared" si="13"/>
        <v>LCOG9</v>
      </c>
      <c r="AF5" s="80" t="str">
        <f t="shared" si="14"/>
        <v>CLG9</v>
      </c>
      <c r="AG5" s="80" t="str">
        <f t="shared" si="15"/>
        <v>LCOH9</v>
      </c>
      <c r="AH5" s="80" t="str">
        <f t="shared" si="16"/>
        <v>LCOJ9</v>
      </c>
    </row>
    <row r="6" spans="1:50" x14ac:dyDescent="0.35">
      <c r="A6" s="72" t="s">
        <v>318</v>
      </c>
      <c r="B6" s="72">
        <v>6</v>
      </c>
      <c r="C6" s="72" t="s">
        <v>402</v>
      </c>
      <c r="D6" s="72" t="s">
        <v>318</v>
      </c>
      <c r="F6" s="76" t="s">
        <v>398</v>
      </c>
      <c r="G6" s="76" t="s">
        <v>314</v>
      </c>
      <c r="H6" s="76">
        <v>9</v>
      </c>
      <c r="I6" s="76" t="str">
        <f t="shared" si="0"/>
        <v>CLJ9</v>
      </c>
      <c r="J6" s="77">
        <v>43517</v>
      </c>
      <c r="K6" s="77">
        <v>43544</v>
      </c>
      <c r="L6" s="77" t="str">
        <f t="shared" si="5"/>
        <v>CLJ9</v>
      </c>
      <c r="N6" s="78" t="s">
        <v>399</v>
      </c>
      <c r="O6" s="78" t="s">
        <v>314</v>
      </c>
      <c r="P6" s="78">
        <v>9</v>
      </c>
      <c r="Q6" s="78" t="str">
        <f t="shared" si="6"/>
        <v>LCOJ9</v>
      </c>
      <c r="R6" s="79">
        <v>43497</v>
      </c>
      <c r="S6" s="79">
        <v>43524</v>
      </c>
      <c r="T6" s="79" t="str">
        <f t="shared" si="7"/>
        <v>LCOJ9</v>
      </c>
      <c r="U6" s="79" t="str">
        <f t="shared" si="8"/>
        <v>LCOK9</v>
      </c>
      <c r="V6" s="79" t="str">
        <f t="shared" si="9"/>
        <v>LCOM9</v>
      </c>
      <c r="W6" s="79" t="str">
        <f t="shared" si="10"/>
        <v>LCON9</v>
      </c>
      <c r="Y6" s="74">
        <f t="shared" si="1"/>
        <v>43409</v>
      </c>
      <c r="Z6" s="74">
        <f t="shared" ca="1" si="2"/>
        <v>43423</v>
      </c>
      <c r="AA6" s="80" t="str">
        <f t="shared" ca="1" si="3"/>
        <v>CLZ8</v>
      </c>
      <c r="AB6" s="74">
        <f t="shared" si="11"/>
        <v>43434</v>
      </c>
      <c r="AC6" s="80" t="str">
        <f t="shared" si="4"/>
        <v>LCOF9</v>
      </c>
      <c r="AD6" s="80" t="str">
        <f t="shared" si="12"/>
        <v>CLF9</v>
      </c>
      <c r="AE6" s="80" t="str">
        <f t="shared" si="13"/>
        <v>LCOG9</v>
      </c>
      <c r="AF6" s="80" t="str">
        <f t="shared" si="14"/>
        <v>CLG9</v>
      </c>
      <c r="AG6" s="80" t="str">
        <f t="shared" si="15"/>
        <v>LCOH9</v>
      </c>
      <c r="AH6" s="80" t="str">
        <f t="shared" si="16"/>
        <v>LCOJ9</v>
      </c>
    </row>
    <row r="7" spans="1:50" x14ac:dyDescent="0.35">
      <c r="A7" s="72" t="s">
        <v>320</v>
      </c>
      <c r="B7" s="72">
        <v>7</v>
      </c>
      <c r="C7" s="72" t="s">
        <v>403</v>
      </c>
      <c r="D7" s="72" t="s">
        <v>320</v>
      </c>
      <c r="F7" s="76" t="s">
        <v>398</v>
      </c>
      <c r="G7" s="76" t="s">
        <v>316</v>
      </c>
      <c r="H7" s="76">
        <v>9</v>
      </c>
      <c r="I7" s="76" t="str">
        <f t="shared" si="0"/>
        <v>CLK9</v>
      </c>
      <c r="J7" s="77">
        <v>43545</v>
      </c>
      <c r="K7" s="77">
        <v>43577</v>
      </c>
      <c r="L7" s="77" t="str">
        <f t="shared" si="5"/>
        <v>CLK9</v>
      </c>
      <c r="N7" s="78" t="s">
        <v>399</v>
      </c>
      <c r="O7" s="78" t="s">
        <v>316</v>
      </c>
      <c r="P7" s="78">
        <v>9</v>
      </c>
      <c r="Q7" s="78" t="str">
        <f t="shared" si="6"/>
        <v>LCOK9</v>
      </c>
      <c r="R7" s="79">
        <v>43525</v>
      </c>
      <c r="S7" s="79">
        <v>43553</v>
      </c>
      <c r="T7" s="79" t="str">
        <f t="shared" si="7"/>
        <v>LCOK9</v>
      </c>
      <c r="U7" s="79" t="str">
        <f t="shared" si="8"/>
        <v>LCOM9</v>
      </c>
      <c r="V7" s="79" t="str">
        <f t="shared" si="9"/>
        <v>LCON9</v>
      </c>
      <c r="W7" s="79" t="str">
        <f t="shared" si="10"/>
        <v>LCOQ9</v>
      </c>
      <c r="Y7" s="74">
        <f t="shared" si="1"/>
        <v>43410</v>
      </c>
      <c r="Z7" s="74">
        <f t="shared" ca="1" si="2"/>
        <v>43423</v>
      </c>
      <c r="AA7" s="80" t="str">
        <f t="shared" ca="1" si="3"/>
        <v>CLZ8</v>
      </c>
      <c r="AB7" s="74">
        <f t="shared" si="11"/>
        <v>43434</v>
      </c>
      <c r="AC7" s="80" t="str">
        <f t="shared" si="4"/>
        <v>LCOF9</v>
      </c>
      <c r="AD7" s="80" t="str">
        <f t="shared" si="12"/>
        <v>CLF9</v>
      </c>
      <c r="AE7" s="80" t="str">
        <f t="shared" si="13"/>
        <v>LCOG9</v>
      </c>
      <c r="AF7" s="80" t="str">
        <f t="shared" si="14"/>
        <v>CLG9</v>
      </c>
      <c r="AG7" s="80" t="str">
        <f t="shared" si="15"/>
        <v>LCOH9</v>
      </c>
      <c r="AH7" s="80" t="str">
        <f t="shared" si="16"/>
        <v>LCOJ9</v>
      </c>
    </row>
    <row r="8" spans="1:50" x14ac:dyDescent="0.35">
      <c r="A8" s="72" t="s">
        <v>322</v>
      </c>
      <c r="B8" s="72">
        <v>8</v>
      </c>
      <c r="C8" s="72" t="s">
        <v>265</v>
      </c>
      <c r="D8" s="72" t="s">
        <v>322</v>
      </c>
      <c r="F8" s="76" t="s">
        <v>398</v>
      </c>
      <c r="G8" s="76" t="s">
        <v>318</v>
      </c>
      <c r="H8" s="76">
        <v>9</v>
      </c>
      <c r="I8" s="76" t="str">
        <f t="shared" si="0"/>
        <v>CLM9</v>
      </c>
      <c r="J8" s="77">
        <v>43578</v>
      </c>
      <c r="K8" s="77">
        <v>43606</v>
      </c>
      <c r="L8" s="77" t="str">
        <f t="shared" si="5"/>
        <v>CLM9</v>
      </c>
      <c r="N8" s="78" t="s">
        <v>399</v>
      </c>
      <c r="O8" s="78" t="s">
        <v>318</v>
      </c>
      <c r="P8" s="78">
        <v>9</v>
      </c>
      <c r="Q8" s="78" t="str">
        <f t="shared" si="6"/>
        <v>LCOM9</v>
      </c>
      <c r="R8" s="79">
        <v>43554</v>
      </c>
      <c r="S8" s="79">
        <v>43585</v>
      </c>
      <c r="T8" s="79" t="str">
        <f t="shared" si="7"/>
        <v>LCOM9</v>
      </c>
      <c r="U8" s="79" t="str">
        <f t="shared" si="8"/>
        <v>LCON9</v>
      </c>
      <c r="V8" s="79" t="str">
        <f t="shared" si="9"/>
        <v>LCOQ9</v>
      </c>
      <c r="W8" s="79" t="str">
        <f t="shared" si="10"/>
        <v>LCOU9</v>
      </c>
      <c r="Y8" s="74">
        <f t="shared" si="1"/>
        <v>43411</v>
      </c>
      <c r="Z8" s="74">
        <f t="shared" ca="1" si="2"/>
        <v>43423</v>
      </c>
      <c r="AA8" s="80" t="str">
        <f t="shared" ca="1" si="3"/>
        <v>CLZ8</v>
      </c>
      <c r="AB8" s="74">
        <f t="shared" si="11"/>
        <v>43434</v>
      </c>
      <c r="AC8" s="80" t="str">
        <f t="shared" si="4"/>
        <v>LCOF9</v>
      </c>
      <c r="AD8" s="80" t="str">
        <f t="shared" si="12"/>
        <v>CLF9</v>
      </c>
      <c r="AE8" s="80" t="str">
        <f t="shared" si="13"/>
        <v>LCOG9</v>
      </c>
      <c r="AF8" s="80" t="str">
        <f t="shared" si="14"/>
        <v>CLG9</v>
      </c>
      <c r="AG8" s="80" t="str">
        <f t="shared" si="15"/>
        <v>LCOH9</v>
      </c>
      <c r="AH8" s="80" t="str">
        <f t="shared" si="16"/>
        <v>LCOJ9</v>
      </c>
    </row>
    <row r="9" spans="1:50" x14ac:dyDescent="0.35">
      <c r="A9" s="72" t="s">
        <v>324</v>
      </c>
      <c r="B9" s="72">
        <v>9</v>
      </c>
      <c r="C9" s="72" t="s">
        <v>266</v>
      </c>
      <c r="D9" s="72" t="s">
        <v>324</v>
      </c>
      <c r="F9" s="76" t="s">
        <v>398</v>
      </c>
      <c r="G9" s="76" t="s">
        <v>320</v>
      </c>
      <c r="H9" s="76">
        <v>9</v>
      </c>
      <c r="I9" s="76" t="str">
        <f t="shared" si="0"/>
        <v>CLN9</v>
      </c>
      <c r="J9" s="77">
        <v>43607</v>
      </c>
      <c r="K9" s="77">
        <v>43636</v>
      </c>
      <c r="L9" s="77" t="str">
        <f t="shared" si="5"/>
        <v>CLN9</v>
      </c>
      <c r="N9" s="78" t="s">
        <v>399</v>
      </c>
      <c r="O9" s="78" t="s">
        <v>320</v>
      </c>
      <c r="P9" s="78">
        <v>9</v>
      </c>
      <c r="Q9" s="78" t="str">
        <f t="shared" si="6"/>
        <v>LCON9</v>
      </c>
      <c r="R9" s="79">
        <v>43586</v>
      </c>
      <c r="S9" s="79">
        <v>43616</v>
      </c>
      <c r="T9" s="79" t="str">
        <f t="shared" si="7"/>
        <v>LCON9</v>
      </c>
      <c r="U9" s="79" t="str">
        <f t="shared" si="8"/>
        <v>LCOQ9</v>
      </c>
      <c r="V9" s="79" t="str">
        <f t="shared" si="9"/>
        <v>LCOU9</v>
      </c>
      <c r="W9" s="79" t="str">
        <f t="shared" si="10"/>
        <v>LCOV9</v>
      </c>
      <c r="Y9" s="74">
        <f t="shared" si="1"/>
        <v>43412</v>
      </c>
      <c r="Z9" s="74">
        <f t="shared" ca="1" si="2"/>
        <v>43423</v>
      </c>
      <c r="AA9" s="80" t="str">
        <f t="shared" ca="1" si="3"/>
        <v>CLZ8</v>
      </c>
      <c r="AB9" s="74">
        <f t="shared" si="11"/>
        <v>43434</v>
      </c>
      <c r="AC9" s="80" t="str">
        <f t="shared" si="4"/>
        <v>LCOF9</v>
      </c>
      <c r="AD9" s="80" t="str">
        <f t="shared" si="12"/>
        <v>CLF9</v>
      </c>
      <c r="AE9" s="80" t="str">
        <f t="shared" si="13"/>
        <v>LCOG9</v>
      </c>
      <c r="AF9" s="80" t="str">
        <f t="shared" si="14"/>
        <v>CLG9</v>
      </c>
      <c r="AG9" s="80" t="str">
        <f t="shared" si="15"/>
        <v>LCOH9</v>
      </c>
      <c r="AH9" s="80" t="str">
        <f t="shared" si="16"/>
        <v>LCOJ9</v>
      </c>
    </row>
    <row r="10" spans="1:50" x14ac:dyDescent="0.35">
      <c r="A10" s="72" t="s">
        <v>326</v>
      </c>
      <c r="B10" s="72">
        <v>10</v>
      </c>
      <c r="C10" s="72" t="s">
        <v>267</v>
      </c>
      <c r="D10" s="72" t="s">
        <v>326</v>
      </c>
      <c r="F10" s="76" t="s">
        <v>398</v>
      </c>
      <c r="G10" s="76" t="s">
        <v>322</v>
      </c>
      <c r="H10" s="76">
        <v>9</v>
      </c>
      <c r="I10" s="76" t="str">
        <f t="shared" si="0"/>
        <v>CLQ9</v>
      </c>
      <c r="J10" s="77">
        <v>43637</v>
      </c>
      <c r="K10" s="77">
        <v>43668</v>
      </c>
      <c r="L10" s="77" t="str">
        <f t="shared" si="5"/>
        <v>CLQ9</v>
      </c>
      <c r="N10" s="78" t="s">
        <v>399</v>
      </c>
      <c r="O10" s="78" t="s">
        <v>322</v>
      </c>
      <c r="P10" s="78">
        <v>9</v>
      </c>
      <c r="Q10" s="78" t="str">
        <f t="shared" si="6"/>
        <v>LCOQ9</v>
      </c>
      <c r="R10" s="79">
        <v>43617</v>
      </c>
      <c r="S10" s="79">
        <v>43644</v>
      </c>
      <c r="T10" s="79" t="str">
        <f t="shared" si="7"/>
        <v>LCOQ9</v>
      </c>
      <c r="U10" s="79" t="str">
        <f t="shared" si="8"/>
        <v>LCOU9</v>
      </c>
      <c r="V10" s="79" t="str">
        <f t="shared" si="9"/>
        <v>LCOV9</v>
      </c>
      <c r="W10" s="79" t="str">
        <f t="shared" si="10"/>
        <v>LCOX9</v>
      </c>
      <c r="Y10" s="74">
        <f t="shared" si="1"/>
        <v>43413</v>
      </c>
      <c r="Z10" s="74">
        <f t="shared" ca="1" si="2"/>
        <v>43423</v>
      </c>
      <c r="AA10" s="80" t="str">
        <f t="shared" ca="1" si="3"/>
        <v>CLZ8</v>
      </c>
      <c r="AB10" s="74">
        <f t="shared" si="11"/>
        <v>43434</v>
      </c>
      <c r="AC10" s="80" t="str">
        <f t="shared" si="4"/>
        <v>LCOF9</v>
      </c>
      <c r="AD10" s="80" t="str">
        <f t="shared" si="12"/>
        <v>CLF9</v>
      </c>
      <c r="AE10" s="80" t="str">
        <f t="shared" si="13"/>
        <v>LCOG9</v>
      </c>
      <c r="AF10" s="80" t="str">
        <f t="shared" si="14"/>
        <v>CLG9</v>
      </c>
      <c r="AG10" s="80" t="str">
        <f t="shared" si="15"/>
        <v>LCOH9</v>
      </c>
      <c r="AH10" s="80" t="str">
        <f t="shared" si="16"/>
        <v>LCOJ9</v>
      </c>
    </row>
    <row r="11" spans="1:50" x14ac:dyDescent="0.35">
      <c r="A11" s="72" t="s">
        <v>328</v>
      </c>
      <c r="B11" s="72">
        <v>11</v>
      </c>
      <c r="C11" s="72" t="s">
        <v>404</v>
      </c>
      <c r="D11" s="72" t="s">
        <v>328</v>
      </c>
      <c r="F11" s="76" t="s">
        <v>398</v>
      </c>
      <c r="G11" s="76" t="s">
        <v>324</v>
      </c>
      <c r="H11" s="76">
        <v>9</v>
      </c>
      <c r="I11" s="76" t="str">
        <f t="shared" si="0"/>
        <v>CLU9</v>
      </c>
      <c r="J11" s="77">
        <v>43669</v>
      </c>
      <c r="K11" s="77">
        <v>43697</v>
      </c>
      <c r="L11" s="77" t="str">
        <f t="shared" si="5"/>
        <v>CLU9</v>
      </c>
      <c r="N11" s="78" t="s">
        <v>399</v>
      </c>
      <c r="O11" s="78" t="s">
        <v>324</v>
      </c>
      <c r="P11" s="78">
        <v>9</v>
      </c>
      <c r="Q11" s="78" t="str">
        <f t="shared" si="6"/>
        <v>LCOU9</v>
      </c>
      <c r="R11" s="79">
        <v>43645</v>
      </c>
      <c r="S11" s="79">
        <v>43677</v>
      </c>
      <c r="T11" s="79" t="str">
        <f t="shared" si="7"/>
        <v>LCOU9</v>
      </c>
      <c r="U11" s="79" t="str">
        <f t="shared" si="8"/>
        <v>LCOV9</v>
      </c>
      <c r="V11" s="79" t="str">
        <f t="shared" si="9"/>
        <v>LCOX9</v>
      </c>
      <c r="W11" s="79" t="str">
        <f t="shared" si="10"/>
        <v>LCOZ9</v>
      </c>
      <c r="Y11" s="74">
        <f t="shared" si="1"/>
        <v>43414</v>
      </c>
      <c r="Z11" s="74">
        <f t="shared" ca="1" si="2"/>
        <v>43423</v>
      </c>
      <c r="AA11" s="80" t="str">
        <f t="shared" ca="1" si="3"/>
        <v>CLZ8</v>
      </c>
      <c r="AB11" s="74">
        <f t="shared" si="11"/>
        <v>43434</v>
      </c>
      <c r="AC11" s="80" t="str">
        <f t="shared" si="4"/>
        <v>LCOF9</v>
      </c>
      <c r="AD11" s="80" t="str">
        <f t="shared" si="12"/>
        <v>CLF9</v>
      </c>
      <c r="AE11" s="80" t="str">
        <f t="shared" si="13"/>
        <v>LCOG9</v>
      </c>
      <c r="AF11" s="80" t="str">
        <f t="shared" si="14"/>
        <v>CLG9</v>
      </c>
      <c r="AG11" s="80" t="str">
        <f t="shared" si="15"/>
        <v>LCOH9</v>
      </c>
      <c r="AH11" s="80" t="str">
        <f t="shared" si="16"/>
        <v>LCOJ9</v>
      </c>
    </row>
    <row r="12" spans="1:50" x14ac:dyDescent="0.35">
      <c r="A12" s="81" t="s">
        <v>330</v>
      </c>
      <c r="B12" s="81">
        <v>12</v>
      </c>
      <c r="C12" s="81" t="s">
        <v>151</v>
      </c>
      <c r="D12" s="81" t="s">
        <v>330</v>
      </c>
      <c r="F12" s="76" t="s">
        <v>398</v>
      </c>
      <c r="G12" s="76" t="s">
        <v>326</v>
      </c>
      <c r="H12" s="76">
        <v>9</v>
      </c>
      <c r="I12" s="76" t="str">
        <f t="shared" si="0"/>
        <v>CLV9</v>
      </c>
      <c r="J12" s="77">
        <v>43698</v>
      </c>
      <c r="K12" s="77">
        <v>43728</v>
      </c>
      <c r="L12" s="77" t="str">
        <f t="shared" si="5"/>
        <v>CLV9</v>
      </c>
      <c r="N12" s="78" t="s">
        <v>399</v>
      </c>
      <c r="O12" s="78" t="s">
        <v>326</v>
      </c>
      <c r="P12" s="78">
        <v>9</v>
      </c>
      <c r="Q12" s="78" t="str">
        <f t="shared" si="6"/>
        <v>LCOV9</v>
      </c>
      <c r="R12" s="79">
        <v>43678</v>
      </c>
      <c r="S12" s="79">
        <v>43707</v>
      </c>
      <c r="T12" s="79" t="str">
        <f t="shared" si="7"/>
        <v>LCOV9</v>
      </c>
      <c r="U12" s="79" t="str">
        <f t="shared" si="8"/>
        <v>LCOX9</v>
      </c>
      <c r="V12" s="79" t="str">
        <f t="shared" si="9"/>
        <v>LCOZ9</v>
      </c>
      <c r="W12" s="79" t="str">
        <f t="shared" si="10"/>
        <v>LCOF0</v>
      </c>
      <c r="Y12" s="74">
        <f t="shared" si="1"/>
        <v>43415</v>
      </c>
      <c r="Z12" s="74">
        <f t="shared" ca="1" si="2"/>
        <v>43423</v>
      </c>
      <c r="AA12" s="80" t="str">
        <f t="shared" ca="1" si="3"/>
        <v>CLZ8</v>
      </c>
      <c r="AB12" s="74">
        <f t="shared" si="11"/>
        <v>43434</v>
      </c>
      <c r="AC12" s="80" t="str">
        <f t="shared" si="4"/>
        <v>LCOF9</v>
      </c>
      <c r="AD12" s="80" t="str">
        <f t="shared" si="12"/>
        <v>CLF9</v>
      </c>
      <c r="AE12" s="80" t="str">
        <f t="shared" si="13"/>
        <v>LCOG9</v>
      </c>
      <c r="AF12" s="80" t="str">
        <f t="shared" si="14"/>
        <v>CLG9</v>
      </c>
      <c r="AG12" s="80" t="str">
        <f t="shared" si="15"/>
        <v>LCOH9</v>
      </c>
      <c r="AH12" s="80" t="str">
        <f t="shared" si="16"/>
        <v>LCOJ9</v>
      </c>
    </row>
    <row r="13" spans="1:50" x14ac:dyDescent="0.35">
      <c r="F13" s="76" t="s">
        <v>398</v>
      </c>
      <c r="G13" s="76" t="s">
        <v>328</v>
      </c>
      <c r="H13" s="76">
        <v>9</v>
      </c>
      <c r="I13" s="76" t="str">
        <f t="shared" si="0"/>
        <v>CLX9</v>
      </c>
      <c r="J13" s="77">
        <v>43729</v>
      </c>
      <c r="K13" s="77">
        <v>43760</v>
      </c>
      <c r="L13" s="77" t="str">
        <f t="shared" si="5"/>
        <v>CLX9</v>
      </c>
      <c r="N13" s="78" t="s">
        <v>399</v>
      </c>
      <c r="O13" s="78" t="s">
        <v>328</v>
      </c>
      <c r="P13" s="78">
        <v>9</v>
      </c>
      <c r="Q13" s="78" t="str">
        <f t="shared" si="6"/>
        <v>LCOX9</v>
      </c>
      <c r="R13" s="79">
        <v>43708</v>
      </c>
      <c r="S13" s="79">
        <v>43738</v>
      </c>
      <c r="T13" s="79" t="str">
        <f t="shared" si="7"/>
        <v>LCOX9</v>
      </c>
      <c r="U13" s="79" t="str">
        <f t="shared" si="8"/>
        <v>LCOZ9</v>
      </c>
      <c r="V13" s="79" t="str">
        <f t="shared" si="9"/>
        <v>LCOF0</v>
      </c>
      <c r="W13" s="79" t="str">
        <f t="shared" si="10"/>
        <v>LCOG0</v>
      </c>
      <c r="Y13" s="74">
        <f t="shared" si="1"/>
        <v>43416</v>
      </c>
      <c r="Z13" s="74">
        <f t="shared" ca="1" si="2"/>
        <v>43423</v>
      </c>
      <c r="AA13" s="80" t="str">
        <f t="shared" ca="1" si="3"/>
        <v>CLZ8</v>
      </c>
      <c r="AB13" s="74">
        <f t="shared" si="11"/>
        <v>43434</v>
      </c>
      <c r="AC13" s="80" t="str">
        <f t="shared" si="4"/>
        <v>LCOF9</v>
      </c>
      <c r="AD13" s="80" t="str">
        <f t="shared" si="12"/>
        <v>CLF9</v>
      </c>
      <c r="AE13" s="80" t="str">
        <f t="shared" si="13"/>
        <v>LCOG9</v>
      </c>
      <c r="AF13" s="80" t="str">
        <f t="shared" si="14"/>
        <v>CLG9</v>
      </c>
      <c r="AG13" s="80" t="str">
        <f t="shared" si="15"/>
        <v>LCOH9</v>
      </c>
      <c r="AH13" s="80" t="str">
        <f t="shared" si="16"/>
        <v>LCOJ9</v>
      </c>
    </row>
    <row r="14" spans="1:50" x14ac:dyDescent="0.35">
      <c r="A14" s="82" t="s">
        <v>405</v>
      </c>
      <c r="B14" s="82"/>
      <c r="F14" s="76" t="s">
        <v>398</v>
      </c>
      <c r="G14" s="76" t="s">
        <v>330</v>
      </c>
      <c r="H14" s="76">
        <v>9</v>
      </c>
      <c r="I14" s="76" t="str">
        <f t="shared" si="0"/>
        <v>CLZ9</v>
      </c>
      <c r="J14" s="77">
        <v>43761</v>
      </c>
      <c r="K14" s="77">
        <v>43789</v>
      </c>
      <c r="L14" s="77" t="str">
        <f t="shared" si="5"/>
        <v>CLZ9</v>
      </c>
      <c r="N14" s="78" t="s">
        <v>399</v>
      </c>
      <c r="O14" s="78" t="s">
        <v>330</v>
      </c>
      <c r="P14" s="78">
        <v>9</v>
      </c>
      <c r="Q14" s="78" t="str">
        <f t="shared" si="6"/>
        <v>LCOZ9</v>
      </c>
      <c r="R14" s="79">
        <v>43739</v>
      </c>
      <c r="S14" s="79">
        <v>43769</v>
      </c>
      <c r="T14" s="79" t="str">
        <f t="shared" si="7"/>
        <v>LCOZ9</v>
      </c>
      <c r="U14" s="79" t="str">
        <f t="shared" si="8"/>
        <v>LCOF0</v>
      </c>
      <c r="V14" s="79" t="str">
        <f t="shared" si="9"/>
        <v>LCOG0</v>
      </c>
      <c r="W14" s="79" t="str">
        <f t="shared" si="10"/>
        <v>LCOH0</v>
      </c>
      <c r="Y14" s="74">
        <f t="shared" si="1"/>
        <v>43417</v>
      </c>
      <c r="Z14" s="74">
        <f t="shared" ca="1" si="2"/>
        <v>43423</v>
      </c>
      <c r="AA14" s="80" t="str">
        <f t="shared" ca="1" si="3"/>
        <v>CLZ8</v>
      </c>
      <c r="AB14" s="74">
        <f t="shared" si="11"/>
        <v>43434</v>
      </c>
      <c r="AC14" s="80" t="str">
        <f t="shared" si="4"/>
        <v>LCOF9</v>
      </c>
      <c r="AD14" s="80" t="str">
        <f t="shared" si="12"/>
        <v>CLF9</v>
      </c>
      <c r="AE14" s="80" t="str">
        <f t="shared" si="13"/>
        <v>LCOG9</v>
      </c>
      <c r="AF14" s="80" t="str">
        <f t="shared" si="14"/>
        <v>CLG9</v>
      </c>
      <c r="AG14" s="80" t="str">
        <f t="shared" si="15"/>
        <v>LCOH9</v>
      </c>
      <c r="AH14" s="80" t="str">
        <f t="shared" si="16"/>
        <v>LCOJ9</v>
      </c>
    </row>
    <row r="15" spans="1:50" x14ac:dyDescent="0.35">
      <c r="A15" s="82" t="s">
        <v>3</v>
      </c>
      <c r="B15" s="82" t="s">
        <v>2</v>
      </c>
      <c r="C15" t="s">
        <v>406</v>
      </c>
      <c r="F15" s="76" t="s">
        <v>398</v>
      </c>
      <c r="G15" s="76" t="s">
        <v>308</v>
      </c>
      <c r="H15" s="76">
        <v>0</v>
      </c>
      <c r="I15" s="76" t="str">
        <f t="shared" si="0"/>
        <v>CLF0</v>
      </c>
      <c r="J15" s="77">
        <v>43790</v>
      </c>
      <c r="K15" s="77">
        <v>43818</v>
      </c>
      <c r="L15" s="77" t="str">
        <f t="shared" si="5"/>
        <v>CLF0</v>
      </c>
      <c r="N15" s="78" t="s">
        <v>399</v>
      </c>
      <c r="O15" s="78" t="s">
        <v>308</v>
      </c>
      <c r="P15" s="78">
        <v>0</v>
      </c>
      <c r="Q15" s="78" t="str">
        <f t="shared" si="6"/>
        <v>LCOF0</v>
      </c>
      <c r="R15" s="79">
        <v>43770</v>
      </c>
      <c r="S15" s="79">
        <v>43798</v>
      </c>
      <c r="T15" s="79" t="str">
        <f t="shared" si="7"/>
        <v>LCOF0</v>
      </c>
      <c r="U15" s="79" t="str">
        <f t="shared" si="8"/>
        <v>LCOG0</v>
      </c>
      <c r="V15" s="79" t="str">
        <f t="shared" si="9"/>
        <v>LCOH0</v>
      </c>
      <c r="W15" s="79" t="str">
        <f t="shared" si="10"/>
        <v>LCOJ0</v>
      </c>
      <c r="Y15" s="74">
        <f t="shared" si="1"/>
        <v>43418</v>
      </c>
      <c r="Z15" s="74">
        <f t="shared" ca="1" si="2"/>
        <v>43423</v>
      </c>
      <c r="AA15" s="80" t="str">
        <f t="shared" ca="1" si="3"/>
        <v>CLZ8</v>
      </c>
      <c r="AB15" s="74">
        <f t="shared" si="11"/>
        <v>43434</v>
      </c>
      <c r="AC15" s="80" t="str">
        <f t="shared" si="4"/>
        <v>LCOF9</v>
      </c>
      <c r="AD15" s="80" t="str">
        <f t="shared" si="12"/>
        <v>CLF9</v>
      </c>
      <c r="AE15" s="80" t="str">
        <f t="shared" si="13"/>
        <v>LCOG9</v>
      </c>
      <c r="AF15" s="80" t="str">
        <f t="shared" si="14"/>
        <v>CLG9</v>
      </c>
      <c r="AG15" s="80" t="str">
        <f t="shared" si="15"/>
        <v>LCOH9</v>
      </c>
      <c r="AH15" s="80" t="str">
        <f t="shared" si="16"/>
        <v>LCOJ9</v>
      </c>
    </row>
    <row r="16" spans="1:50" ht="15" thickBot="1" x14ac:dyDescent="0.4">
      <c r="A16" s="83">
        <v>43459</v>
      </c>
      <c r="B16" s="83">
        <v>43459</v>
      </c>
      <c r="C16" s="94">
        <v>44197</v>
      </c>
      <c r="F16" s="76" t="s">
        <v>398</v>
      </c>
      <c r="G16" s="76" t="s">
        <v>310</v>
      </c>
      <c r="H16" s="76">
        <v>0</v>
      </c>
      <c r="I16" s="76" t="str">
        <f t="shared" si="0"/>
        <v>CLG0</v>
      </c>
      <c r="J16" s="77">
        <v>43819</v>
      </c>
      <c r="K16" s="77">
        <v>43851</v>
      </c>
      <c r="L16" s="77" t="str">
        <f t="shared" si="5"/>
        <v>CLG0</v>
      </c>
      <c r="N16" s="78" t="s">
        <v>399</v>
      </c>
      <c r="O16" s="78" t="s">
        <v>310</v>
      </c>
      <c r="P16" s="78">
        <v>0</v>
      </c>
      <c r="Q16" s="78" t="str">
        <f t="shared" si="6"/>
        <v>LCOG0</v>
      </c>
      <c r="R16" s="79">
        <v>43799</v>
      </c>
      <c r="S16" s="79">
        <v>43829</v>
      </c>
      <c r="T16" s="79" t="str">
        <f t="shared" si="7"/>
        <v>LCOG0</v>
      </c>
      <c r="U16" s="79" t="str">
        <f t="shared" si="8"/>
        <v>LCOH0</v>
      </c>
      <c r="V16" s="79" t="str">
        <f t="shared" si="9"/>
        <v>LCOJ0</v>
      </c>
      <c r="W16" s="79" t="str">
        <f t="shared" si="10"/>
        <v>LCOK0</v>
      </c>
      <c r="Y16" s="74">
        <f t="shared" si="1"/>
        <v>43419</v>
      </c>
      <c r="Z16" s="74">
        <f t="shared" ca="1" si="2"/>
        <v>43423</v>
      </c>
      <c r="AA16" s="80" t="str">
        <f t="shared" ca="1" si="3"/>
        <v>CLZ8</v>
      </c>
      <c r="AB16" s="74">
        <f t="shared" si="11"/>
        <v>43434</v>
      </c>
      <c r="AC16" s="80" t="str">
        <f t="shared" si="4"/>
        <v>LCOF9</v>
      </c>
      <c r="AD16" s="80" t="str">
        <f t="shared" si="12"/>
        <v>CLF9</v>
      </c>
      <c r="AE16" s="80" t="str">
        <f t="shared" si="13"/>
        <v>LCOG9</v>
      </c>
      <c r="AF16" s="80" t="str">
        <f t="shared" si="14"/>
        <v>CLG9</v>
      </c>
      <c r="AG16" s="80" t="str">
        <f t="shared" si="15"/>
        <v>LCOH9</v>
      </c>
      <c r="AH16" s="80" t="str">
        <f t="shared" si="16"/>
        <v>LCOJ9</v>
      </c>
    </row>
    <row r="17" spans="1:34" ht="15" thickBot="1" x14ac:dyDescent="0.4">
      <c r="A17" s="83">
        <v>43466</v>
      </c>
      <c r="B17" s="83">
        <v>43466</v>
      </c>
      <c r="C17" s="94">
        <v>44214</v>
      </c>
      <c r="F17" s="76" t="s">
        <v>398</v>
      </c>
      <c r="G17" s="76" t="s">
        <v>312</v>
      </c>
      <c r="H17" s="76">
        <v>0</v>
      </c>
      <c r="I17" s="76" t="str">
        <f t="shared" si="0"/>
        <v>CLH0</v>
      </c>
      <c r="J17" s="77">
        <v>43852</v>
      </c>
      <c r="K17" s="77">
        <v>43881</v>
      </c>
      <c r="L17" s="77" t="str">
        <f t="shared" si="5"/>
        <v>CLH0</v>
      </c>
      <c r="N17" s="78" t="s">
        <v>399</v>
      </c>
      <c r="O17" s="78" t="s">
        <v>312</v>
      </c>
      <c r="P17" s="78">
        <v>0</v>
      </c>
      <c r="Q17" s="78" t="str">
        <f t="shared" si="6"/>
        <v>LCOH0</v>
      </c>
      <c r="R17" s="79">
        <v>43830</v>
      </c>
      <c r="S17" s="79">
        <v>43861</v>
      </c>
      <c r="T17" s="79" t="str">
        <f t="shared" si="7"/>
        <v>LCOH0</v>
      </c>
      <c r="U17" s="79" t="str">
        <f t="shared" si="8"/>
        <v>LCOJ0</v>
      </c>
      <c r="V17" s="79" t="str">
        <f t="shared" si="9"/>
        <v>LCOK0</v>
      </c>
      <c r="W17" s="79" t="str">
        <f t="shared" si="10"/>
        <v>LCOM0</v>
      </c>
      <c r="Y17" s="74">
        <f t="shared" si="1"/>
        <v>43420</v>
      </c>
      <c r="Z17" s="74">
        <f t="shared" ca="1" si="2"/>
        <v>43423</v>
      </c>
      <c r="AA17" s="80" t="str">
        <f t="shared" ca="1" si="3"/>
        <v>CLZ8</v>
      </c>
      <c r="AB17" s="74">
        <f t="shared" si="11"/>
        <v>43434</v>
      </c>
      <c r="AC17" s="80" t="str">
        <f t="shared" si="4"/>
        <v>LCOF9</v>
      </c>
      <c r="AD17" s="80" t="str">
        <f t="shared" si="12"/>
        <v>CLF9</v>
      </c>
      <c r="AE17" s="80" t="str">
        <f t="shared" si="13"/>
        <v>LCOG9</v>
      </c>
      <c r="AF17" s="80" t="str">
        <f t="shared" si="14"/>
        <v>CLG9</v>
      </c>
      <c r="AG17" s="80" t="str">
        <f t="shared" si="15"/>
        <v>LCOH9</v>
      </c>
      <c r="AH17" s="80" t="str">
        <f t="shared" si="16"/>
        <v>LCOJ9</v>
      </c>
    </row>
    <row r="18" spans="1:34" ht="15" thickBot="1" x14ac:dyDescent="0.4">
      <c r="A18" s="83"/>
      <c r="B18" s="83">
        <v>43486</v>
      </c>
      <c r="C18" s="94">
        <v>44242</v>
      </c>
      <c r="F18" s="76" t="s">
        <v>398</v>
      </c>
      <c r="G18" s="76" t="s">
        <v>314</v>
      </c>
      <c r="H18" s="76">
        <v>0</v>
      </c>
      <c r="I18" s="76" t="str">
        <f t="shared" si="0"/>
        <v>CLJ0</v>
      </c>
      <c r="J18" s="77">
        <v>43882</v>
      </c>
      <c r="K18" s="77">
        <v>43910</v>
      </c>
      <c r="L18" s="77" t="str">
        <f t="shared" si="5"/>
        <v>CLJ0</v>
      </c>
      <c r="N18" s="78" t="s">
        <v>399</v>
      </c>
      <c r="O18" s="78" t="s">
        <v>314</v>
      </c>
      <c r="P18" s="78">
        <v>0</v>
      </c>
      <c r="Q18" s="78" t="str">
        <f t="shared" si="6"/>
        <v>LCOJ0</v>
      </c>
      <c r="R18" s="79">
        <v>43862</v>
      </c>
      <c r="S18" s="79">
        <v>43889</v>
      </c>
      <c r="T18" s="79" t="str">
        <f t="shared" si="7"/>
        <v>LCOJ0</v>
      </c>
      <c r="U18" s="79" t="str">
        <f t="shared" si="8"/>
        <v>LCOK0</v>
      </c>
      <c r="V18" s="79" t="str">
        <f t="shared" si="9"/>
        <v>LCOM0</v>
      </c>
      <c r="W18" s="79" t="str">
        <f t="shared" si="10"/>
        <v>LCON0</v>
      </c>
      <c r="Y18" s="74">
        <f t="shared" si="1"/>
        <v>43421</v>
      </c>
      <c r="Z18" s="74">
        <f t="shared" ca="1" si="2"/>
        <v>43423</v>
      </c>
      <c r="AA18" s="80" t="str">
        <f t="shared" ca="1" si="3"/>
        <v>CLZ8</v>
      </c>
      <c r="AB18" s="74">
        <f t="shared" si="11"/>
        <v>43434</v>
      </c>
      <c r="AC18" s="80" t="str">
        <f t="shared" si="4"/>
        <v>LCOF9</v>
      </c>
      <c r="AD18" s="80" t="str">
        <f t="shared" si="12"/>
        <v>CLF9</v>
      </c>
      <c r="AE18" s="80" t="str">
        <f t="shared" si="13"/>
        <v>LCOG9</v>
      </c>
      <c r="AF18" s="80" t="str">
        <f t="shared" si="14"/>
        <v>CLG9</v>
      </c>
      <c r="AG18" s="80" t="str">
        <f t="shared" si="15"/>
        <v>LCOH9</v>
      </c>
      <c r="AH18" s="80" t="str">
        <f t="shared" si="16"/>
        <v>LCOJ9</v>
      </c>
    </row>
    <row r="19" spans="1:34" ht="15" thickBot="1" x14ac:dyDescent="0.4">
      <c r="A19" s="83"/>
      <c r="B19" s="83">
        <v>43514</v>
      </c>
      <c r="C19" s="94">
        <v>44288</v>
      </c>
      <c r="F19" s="76" t="s">
        <v>398</v>
      </c>
      <c r="G19" s="76" t="s">
        <v>316</v>
      </c>
      <c r="H19" s="76">
        <v>0</v>
      </c>
      <c r="I19" s="76" t="str">
        <f t="shared" si="0"/>
        <v>CLK0</v>
      </c>
      <c r="J19" s="77">
        <v>43911</v>
      </c>
      <c r="K19" s="77">
        <v>43942</v>
      </c>
      <c r="L19" s="77" t="str">
        <f t="shared" si="5"/>
        <v>CLK0</v>
      </c>
      <c r="N19" s="78" t="s">
        <v>399</v>
      </c>
      <c r="O19" s="78" t="s">
        <v>316</v>
      </c>
      <c r="P19" s="78">
        <v>0</v>
      </c>
      <c r="Q19" s="78" t="str">
        <f t="shared" si="6"/>
        <v>LCOK0</v>
      </c>
      <c r="R19" s="79">
        <v>43890</v>
      </c>
      <c r="S19" s="79">
        <v>43921</v>
      </c>
      <c r="T19" s="79" t="str">
        <f t="shared" si="7"/>
        <v>LCOK0</v>
      </c>
      <c r="U19" s="79" t="str">
        <f t="shared" si="8"/>
        <v>LCOM0</v>
      </c>
      <c r="V19" s="79" t="str">
        <f t="shared" si="9"/>
        <v>LCON0</v>
      </c>
      <c r="W19" s="79" t="str">
        <f t="shared" si="10"/>
        <v>LCOQ0</v>
      </c>
      <c r="Y19" s="74">
        <f t="shared" si="1"/>
        <v>43422</v>
      </c>
      <c r="Z19" s="74">
        <f t="shared" ca="1" si="2"/>
        <v>43423</v>
      </c>
      <c r="AA19" s="80" t="str">
        <f t="shared" ca="1" si="3"/>
        <v>CLZ8</v>
      </c>
      <c r="AB19" s="74">
        <f t="shared" si="11"/>
        <v>43434</v>
      </c>
      <c r="AC19" s="80" t="str">
        <f t="shared" si="4"/>
        <v>LCOF9</v>
      </c>
      <c r="AD19" s="80" t="str">
        <f t="shared" si="12"/>
        <v>CLF9</v>
      </c>
      <c r="AE19" s="80" t="str">
        <f t="shared" si="13"/>
        <v>LCOG9</v>
      </c>
      <c r="AF19" s="80" t="str">
        <f t="shared" si="14"/>
        <v>CLG9</v>
      </c>
      <c r="AG19" s="80" t="str">
        <f t="shared" si="15"/>
        <v>LCOH9</v>
      </c>
      <c r="AH19" s="80" t="str">
        <f t="shared" si="16"/>
        <v>LCOJ9</v>
      </c>
    </row>
    <row r="20" spans="1:34" ht="15" thickBot="1" x14ac:dyDescent="0.4">
      <c r="A20" s="83">
        <v>43574</v>
      </c>
      <c r="B20" s="83">
        <v>43574</v>
      </c>
      <c r="C20" s="94">
        <v>44347</v>
      </c>
      <c r="F20" s="76" t="s">
        <v>398</v>
      </c>
      <c r="G20" s="76" t="s">
        <v>318</v>
      </c>
      <c r="H20" s="76">
        <v>0</v>
      </c>
      <c r="I20" s="76" t="str">
        <f t="shared" si="0"/>
        <v>CLM0</v>
      </c>
      <c r="J20" s="77">
        <v>43943</v>
      </c>
      <c r="K20" s="77">
        <v>43970</v>
      </c>
      <c r="L20" s="77" t="str">
        <f t="shared" si="5"/>
        <v>CLM0</v>
      </c>
      <c r="N20" s="78" t="s">
        <v>399</v>
      </c>
      <c r="O20" s="78" t="s">
        <v>318</v>
      </c>
      <c r="P20" s="78">
        <v>0</v>
      </c>
      <c r="Q20" s="78" t="str">
        <f t="shared" si="6"/>
        <v>LCOM0</v>
      </c>
      <c r="R20" s="79">
        <v>43922</v>
      </c>
      <c r="S20" s="79">
        <v>43951</v>
      </c>
      <c r="T20" s="79" t="str">
        <f t="shared" si="7"/>
        <v>LCOM0</v>
      </c>
      <c r="U20" s="79" t="str">
        <f t="shared" si="8"/>
        <v>LCON0</v>
      </c>
      <c r="V20" s="79" t="str">
        <f t="shared" si="9"/>
        <v>LCOQ0</v>
      </c>
      <c r="W20" s="79" t="str">
        <f t="shared" si="10"/>
        <v>LCOU0</v>
      </c>
      <c r="Y20" s="74">
        <f t="shared" si="1"/>
        <v>43423</v>
      </c>
      <c r="Z20" s="74">
        <f t="shared" ca="1" si="2"/>
        <v>43423</v>
      </c>
      <c r="AA20" s="80" t="str">
        <f t="shared" ca="1" si="3"/>
        <v>CLZ8</v>
      </c>
      <c r="AB20" s="74">
        <f t="shared" si="11"/>
        <v>43434</v>
      </c>
      <c r="AC20" s="80" t="str">
        <f t="shared" si="4"/>
        <v>LCOF9</v>
      </c>
      <c r="AD20" s="80" t="str">
        <f t="shared" si="12"/>
        <v>CLF9</v>
      </c>
      <c r="AE20" s="80" t="str">
        <f t="shared" si="13"/>
        <v>LCOG9</v>
      </c>
      <c r="AF20" s="80" t="str">
        <f t="shared" si="14"/>
        <v>CLG9</v>
      </c>
      <c r="AG20" s="80" t="str">
        <f t="shared" si="15"/>
        <v>LCOH9</v>
      </c>
      <c r="AH20" s="80" t="str">
        <f t="shared" si="16"/>
        <v>LCOJ9</v>
      </c>
    </row>
    <row r="21" spans="1:34" ht="15" thickBot="1" x14ac:dyDescent="0.4">
      <c r="A21" s="83"/>
      <c r="B21" s="83">
        <v>43612</v>
      </c>
      <c r="C21" s="94">
        <v>44382</v>
      </c>
      <c r="F21" s="76" t="s">
        <v>398</v>
      </c>
      <c r="G21" s="76" t="s">
        <v>320</v>
      </c>
      <c r="H21" s="76">
        <v>0</v>
      </c>
      <c r="I21" s="76" t="str">
        <f t="shared" si="0"/>
        <v>CLN0</v>
      </c>
      <c r="J21" s="77">
        <v>43971</v>
      </c>
      <c r="K21" s="77">
        <v>44004</v>
      </c>
      <c r="L21" s="77" t="str">
        <f t="shared" si="5"/>
        <v>CLN0</v>
      </c>
      <c r="N21" s="78" t="s">
        <v>399</v>
      </c>
      <c r="O21" s="78" t="s">
        <v>320</v>
      </c>
      <c r="P21" s="78">
        <v>0</v>
      </c>
      <c r="Q21" s="78" t="str">
        <f t="shared" si="6"/>
        <v>LCON0</v>
      </c>
      <c r="R21" s="79">
        <v>43952</v>
      </c>
      <c r="S21" s="79">
        <v>43980</v>
      </c>
      <c r="T21" s="79" t="str">
        <f t="shared" si="7"/>
        <v>LCON0</v>
      </c>
      <c r="U21" s="79" t="str">
        <f t="shared" si="8"/>
        <v>LCOQ0</v>
      </c>
      <c r="V21" s="79" t="str">
        <f t="shared" si="9"/>
        <v>LCOU0</v>
      </c>
      <c r="W21" s="79" t="str">
        <f t="shared" si="10"/>
        <v>LCOV0</v>
      </c>
      <c r="Y21" s="74">
        <f t="shared" si="1"/>
        <v>43424</v>
      </c>
      <c r="Z21" s="74">
        <f t="shared" ca="1" si="2"/>
        <v>43453</v>
      </c>
      <c r="AA21" s="80" t="str">
        <f t="shared" ca="1" si="3"/>
        <v>CLF9</v>
      </c>
      <c r="AB21" s="74">
        <f t="shared" si="11"/>
        <v>43434</v>
      </c>
      <c r="AC21" s="80" t="str">
        <f t="shared" si="4"/>
        <v>LCOF9</v>
      </c>
      <c r="AD21" s="80" t="str">
        <f t="shared" si="12"/>
        <v>CLF9</v>
      </c>
      <c r="AE21" s="80" t="str">
        <f t="shared" si="13"/>
        <v>LCOG9</v>
      </c>
      <c r="AF21" s="80" t="str">
        <f t="shared" si="14"/>
        <v>CLG9</v>
      </c>
      <c r="AG21" s="80" t="str">
        <f t="shared" si="15"/>
        <v>LCOH9</v>
      </c>
      <c r="AH21" s="80" t="str">
        <f t="shared" si="16"/>
        <v>LCOJ9</v>
      </c>
    </row>
    <row r="22" spans="1:34" ht="15" thickBot="1" x14ac:dyDescent="0.4">
      <c r="A22" s="83"/>
      <c r="B22" s="83">
        <v>43650</v>
      </c>
      <c r="C22" s="94">
        <v>44445</v>
      </c>
      <c r="F22" s="76" t="s">
        <v>398</v>
      </c>
      <c r="G22" s="76" t="s">
        <v>322</v>
      </c>
      <c r="H22" s="76">
        <v>0</v>
      </c>
      <c r="I22" s="76" t="str">
        <f t="shared" si="0"/>
        <v>CLQ0</v>
      </c>
      <c r="J22" s="77">
        <v>44005</v>
      </c>
      <c r="K22" s="77">
        <v>44033</v>
      </c>
      <c r="L22" s="77" t="str">
        <f t="shared" si="5"/>
        <v>CLQ0</v>
      </c>
      <c r="N22" s="78" t="s">
        <v>399</v>
      </c>
      <c r="O22" s="78" t="s">
        <v>322</v>
      </c>
      <c r="P22" s="78">
        <v>0</v>
      </c>
      <c r="Q22" s="78" t="str">
        <f t="shared" si="6"/>
        <v>LCOQ0</v>
      </c>
      <c r="R22" s="79">
        <v>43981</v>
      </c>
      <c r="S22" s="79">
        <v>44012</v>
      </c>
      <c r="T22" s="79" t="str">
        <f t="shared" si="7"/>
        <v>LCOQ0</v>
      </c>
      <c r="U22" s="79" t="str">
        <f t="shared" si="8"/>
        <v>LCOU0</v>
      </c>
      <c r="V22" s="79" t="str">
        <f t="shared" si="9"/>
        <v>LCOV0</v>
      </c>
      <c r="W22" s="79" t="str">
        <f t="shared" si="10"/>
        <v>LCOX0</v>
      </c>
      <c r="Y22" s="74">
        <f t="shared" si="1"/>
        <v>43425</v>
      </c>
      <c r="Z22" s="74">
        <f t="shared" ca="1" si="2"/>
        <v>43453</v>
      </c>
      <c r="AA22" s="80" t="str">
        <f t="shared" ca="1" si="3"/>
        <v>CLF9</v>
      </c>
      <c r="AB22" s="74">
        <f t="shared" si="11"/>
        <v>43434</v>
      </c>
      <c r="AC22" s="80" t="str">
        <f t="shared" si="4"/>
        <v>LCOF9</v>
      </c>
      <c r="AD22" s="80" t="str">
        <f t="shared" si="12"/>
        <v>CLF9</v>
      </c>
      <c r="AE22" s="80" t="str">
        <f t="shared" si="13"/>
        <v>LCOG9</v>
      </c>
      <c r="AF22" s="80" t="str">
        <f t="shared" si="14"/>
        <v>CLG9</v>
      </c>
      <c r="AG22" s="80" t="str">
        <f t="shared" si="15"/>
        <v>LCOH9</v>
      </c>
      <c r="AH22" s="80" t="str">
        <f t="shared" si="16"/>
        <v>LCOJ9</v>
      </c>
    </row>
    <row r="23" spans="1:34" ht="15" thickBot="1" x14ac:dyDescent="0.4">
      <c r="A23" s="83"/>
      <c r="B23" s="83">
        <v>43710</v>
      </c>
      <c r="C23" s="94">
        <v>44525</v>
      </c>
      <c r="F23" s="76" t="s">
        <v>398</v>
      </c>
      <c r="G23" s="76" t="s">
        <v>324</v>
      </c>
      <c r="H23" s="76">
        <v>0</v>
      </c>
      <c r="I23" s="76" t="str">
        <f t="shared" si="0"/>
        <v>CLU0</v>
      </c>
      <c r="J23" s="77">
        <v>44034</v>
      </c>
      <c r="K23" s="77">
        <v>44063</v>
      </c>
      <c r="L23" s="77" t="str">
        <f t="shared" si="5"/>
        <v>CLU0</v>
      </c>
      <c r="N23" s="78" t="s">
        <v>399</v>
      </c>
      <c r="O23" s="78" t="s">
        <v>324</v>
      </c>
      <c r="P23" s="78">
        <v>0</v>
      </c>
      <c r="Q23" s="78" t="str">
        <f t="shared" si="6"/>
        <v>LCOU0</v>
      </c>
      <c r="R23" s="79">
        <v>44013</v>
      </c>
      <c r="S23" s="79">
        <v>44043</v>
      </c>
      <c r="T23" s="79" t="str">
        <f t="shared" si="7"/>
        <v>LCOU0</v>
      </c>
      <c r="U23" s="79" t="str">
        <f t="shared" si="8"/>
        <v>LCOV0</v>
      </c>
      <c r="V23" s="79" t="str">
        <f t="shared" si="9"/>
        <v>LCOX0</v>
      </c>
      <c r="W23" s="79" t="str">
        <f t="shared" si="10"/>
        <v>LCOZ0</v>
      </c>
      <c r="Y23" s="74">
        <f t="shared" si="1"/>
        <v>43426</v>
      </c>
      <c r="Z23" s="74">
        <f t="shared" ca="1" si="2"/>
        <v>43453</v>
      </c>
      <c r="AA23" s="80" t="str">
        <f t="shared" ca="1" si="3"/>
        <v>CLF9</v>
      </c>
      <c r="AB23" s="74">
        <f t="shared" si="11"/>
        <v>43434</v>
      </c>
      <c r="AC23" s="80" t="str">
        <f t="shared" si="4"/>
        <v>LCOF9</v>
      </c>
      <c r="AD23" s="80" t="str">
        <f t="shared" si="12"/>
        <v>CLF9</v>
      </c>
      <c r="AE23" s="80" t="str">
        <f t="shared" si="13"/>
        <v>LCOG9</v>
      </c>
      <c r="AF23" s="80" t="str">
        <f t="shared" si="14"/>
        <v>CLG9</v>
      </c>
      <c r="AG23" s="80" t="str">
        <f t="shared" si="15"/>
        <v>LCOH9</v>
      </c>
      <c r="AH23" s="80" t="str">
        <f t="shared" si="16"/>
        <v>LCOJ9</v>
      </c>
    </row>
    <row r="24" spans="1:34" ht="15" thickBot="1" x14ac:dyDescent="0.4">
      <c r="A24" s="83"/>
      <c r="B24" s="83">
        <v>43797</v>
      </c>
      <c r="C24" s="94">
        <v>44526</v>
      </c>
      <c r="F24" s="76" t="s">
        <v>398</v>
      </c>
      <c r="G24" s="76" t="s">
        <v>326</v>
      </c>
      <c r="H24" s="76">
        <v>0</v>
      </c>
      <c r="I24" s="76" t="str">
        <f t="shared" si="0"/>
        <v>CLV0</v>
      </c>
      <c r="J24" s="77">
        <v>44064</v>
      </c>
      <c r="K24" s="77">
        <v>44096</v>
      </c>
      <c r="L24" s="77" t="str">
        <f t="shared" si="5"/>
        <v>CLV0</v>
      </c>
      <c r="N24" s="78" t="s">
        <v>399</v>
      </c>
      <c r="O24" s="78" t="s">
        <v>326</v>
      </c>
      <c r="P24" s="78">
        <v>0</v>
      </c>
      <c r="Q24" s="78" t="str">
        <f t="shared" si="6"/>
        <v>LCOV0</v>
      </c>
      <c r="R24" s="79">
        <v>44044</v>
      </c>
      <c r="S24" s="79">
        <v>44071</v>
      </c>
      <c r="T24" s="79" t="str">
        <f t="shared" si="7"/>
        <v>LCOV0</v>
      </c>
      <c r="U24" s="79" t="str">
        <f t="shared" si="8"/>
        <v>LCOX0</v>
      </c>
      <c r="V24" s="79" t="str">
        <f t="shared" si="9"/>
        <v>LCOZ0</v>
      </c>
      <c r="W24" s="79" t="str">
        <f t="shared" si="10"/>
        <v>LCOF1</v>
      </c>
      <c r="Y24" s="74">
        <f t="shared" si="1"/>
        <v>43427</v>
      </c>
      <c r="Z24" s="74">
        <f t="shared" ca="1" si="2"/>
        <v>43453</v>
      </c>
      <c r="AA24" s="80" t="str">
        <f t="shared" ca="1" si="3"/>
        <v>CLF9</v>
      </c>
      <c r="AB24" s="74">
        <f t="shared" si="11"/>
        <v>43434</v>
      </c>
      <c r="AC24" s="80" t="str">
        <f t="shared" si="4"/>
        <v>LCOF9</v>
      </c>
      <c r="AD24" s="80" t="str">
        <f t="shared" si="12"/>
        <v>CLF9</v>
      </c>
      <c r="AE24" s="80" t="str">
        <f t="shared" si="13"/>
        <v>LCOG9</v>
      </c>
      <c r="AF24" s="80" t="str">
        <f t="shared" si="14"/>
        <v>CLG9</v>
      </c>
      <c r="AG24" s="80" t="str">
        <f t="shared" si="15"/>
        <v>LCOH9</v>
      </c>
      <c r="AH24" s="80" t="str">
        <f t="shared" si="16"/>
        <v>LCOJ9</v>
      </c>
    </row>
    <row r="25" spans="1:34" ht="15" thickBot="1" x14ac:dyDescent="0.4">
      <c r="A25" s="83">
        <v>43824</v>
      </c>
      <c r="B25" s="83">
        <v>43824</v>
      </c>
      <c r="C25" s="94">
        <v>44554</v>
      </c>
      <c r="F25" s="76" t="s">
        <v>398</v>
      </c>
      <c r="G25" s="76" t="s">
        <v>328</v>
      </c>
      <c r="H25" s="76">
        <v>0</v>
      </c>
      <c r="I25" s="76" t="str">
        <f t="shared" si="0"/>
        <v>CLX0</v>
      </c>
      <c r="J25" s="77">
        <v>44097</v>
      </c>
      <c r="K25" s="77">
        <v>44124</v>
      </c>
      <c r="L25" s="77" t="str">
        <f t="shared" si="5"/>
        <v>CLX0</v>
      </c>
      <c r="N25" s="78" t="s">
        <v>399</v>
      </c>
      <c r="O25" s="78" t="s">
        <v>328</v>
      </c>
      <c r="P25" s="78">
        <v>0</v>
      </c>
      <c r="Q25" s="78" t="str">
        <f t="shared" si="6"/>
        <v>LCOX0</v>
      </c>
      <c r="R25" s="79">
        <v>44072</v>
      </c>
      <c r="S25" s="79">
        <v>44104</v>
      </c>
      <c r="T25" s="79" t="str">
        <f t="shared" si="7"/>
        <v>LCOX0</v>
      </c>
      <c r="U25" s="79" t="str">
        <f t="shared" si="8"/>
        <v>LCOZ0</v>
      </c>
      <c r="V25" s="79" t="str">
        <f t="shared" si="9"/>
        <v>LCOF1</v>
      </c>
      <c r="W25" s="79" t="str">
        <f t="shared" si="10"/>
        <v>LCOG1</v>
      </c>
      <c r="Y25" s="74">
        <f t="shared" si="1"/>
        <v>43428</v>
      </c>
      <c r="Z25" s="74">
        <f t="shared" ca="1" si="2"/>
        <v>43453</v>
      </c>
      <c r="AA25" s="80" t="str">
        <f t="shared" ca="1" si="3"/>
        <v>CLF9</v>
      </c>
      <c r="AB25" s="74">
        <f t="shared" si="11"/>
        <v>43434</v>
      </c>
      <c r="AC25" s="80" t="str">
        <f t="shared" si="4"/>
        <v>LCOF9</v>
      </c>
      <c r="AD25" s="80" t="str">
        <f t="shared" si="12"/>
        <v>CLF9</v>
      </c>
      <c r="AE25" s="80" t="str">
        <f t="shared" si="13"/>
        <v>LCOG9</v>
      </c>
      <c r="AF25" s="80" t="str">
        <f t="shared" si="14"/>
        <v>CLG9</v>
      </c>
      <c r="AG25" s="80" t="str">
        <f t="shared" si="15"/>
        <v>LCOH9</v>
      </c>
      <c r="AH25" s="80" t="str">
        <f t="shared" si="16"/>
        <v>LCOJ9</v>
      </c>
    </row>
    <row r="26" spans="1:34" ht="15" thickBot="1" x14ac:dyDescent="0.4">
      <c r="A26" s="83"/>
      <c r="B26" s="83"/>
      <c r="C26" s="94">
        <v>44561</v>
      </c>
      <c r="F26" s="76" t="s">
        <v>398</v>
      </c>
      <c r="G26" s="76" t="s">
        <v>330</v>
      </c>
      <c r="H26" s="76">
        <v>0</v>
      </c>
      <c r="I26" s="76" t="str">
        <f t="shared" si="0"/>
        <v>CLZ0</v>
      </c>
      <c r="J26" s="77">
        <v>44125</v>
      </c>
      <c r="K26" s="77">
        <v>44155</v>
      </c>
      <c r="L26" s="77" t="str">
        <f t="shared" si="5"/>
        <v>CLZ0</v>
      </c>
      <c r="N26" s="78" t="s">
        <v>399</v>
      </c>
      <c r="O26" s="78" t="s">
        <v>330</v>
      </c>
      <c r="P26" s="78">
        <v>0</v>
      </c>
      <c r="Q26" s="78" t="str">
        <f t="shared" si="6"/>
        <v>LCOZ0</v>
      </c>
      <c r="R26" s="79">
        <v>44105</v>
      </c>
      <c r="S26" s="79">
        <v>44134</v>
      </c>
      <c r="T26" s="79" t="str">
        <f t="shared" si="7"/>
        <v>LCOZ0</v>
      </c>
      <c r="U26" s="79" t="str">
        <f t="shared" si="8"/>
        <v>LCOF1</v>
      </c>
      <c r="V26" s="79" t="str">
        <f t="shared" si="9"/>
        <v>LCOG1</v>
      </c>
      <c r="W26" s="79" t="str">
        <f t="shared" si="10"/>
        <v>LCOH1</v>
      </c>
      <c r="Y26" s="74">
        <f t="shared" si="1"/>
        <v>43429</v>
      </c>
      <c r="Z26" s="74">
        <f t="shared" ca="1" si="2"/>
        <v>43453</v>
      </c>
      <c r="AA26" s="80" t="str">
        <f t="shared" ca="1" si="3"/>
        <v>CLF9</v>
      </c>
      <c r="AB26" s="74">
        <f t="shared" si="11"/>
        <v>43434</v>
      </c>
      <c r="AC26" s="80" t="str">
        <f t="shared" si="4"/>
        <v>LCOF9</v>
      </c>
      <c r="AD26" s="80" t="str">
        <f t="shared" si="12"/>
        <v>CLF9</v>
      </c>
      <c r="AE26" s="80" t="str">
        <f t="shared" si="13"/>
        <v>LCOG9</v>
      </c>
      <c r="AF26" s="80" t="str">
        <f t="shared" si="14"/>
        <v>CLG9</v>
      </c>
      <c r="AG26" s="80" t="str">
        <f t="shared" si="15"/>
        <v>LCOH9</v>
      </c>
      <c r="AH26" s="80" t="str">
        <f t="shared" si="16"/>
        <v>LCOJ9</v>
      </c>
    </row>
    <row r="27" spans="1:34" x14ac:dyDescent="0.35">
      <c r="A27" s="83"/>
      <c r="B27" s="83"/>
      <c r="F27" s="76" t="s">
        <v>398</v>
      </c>
      <c r="G27" s="76" t="s">
        <v>308</v>
      </c>
      <c r="H27" s="76">
        <v>1</v>
      </c>
      <c r="I27" s="76" t="str">
        <f t="shared" si="0"/>
        <v>CLF1</v>
      </c>
      <c r="J27" s="77">
        <v>44156</v>
      </c>
      <c r="K27" s="77">
        <v>44186</v>
      </c>
      <c r="L27" s="77" t="str">
        <f t="shared" si="5"/>
        <v>CLF1</v>
      </c>
      <c r="N27" s="78" t="s">
        <v>399</v>
      </c>
      <c r="O27" s="78" t="s">
        <v>308</v>
      </c>
      <c r="P27" s="78">
        <v>1</v>
      </c>
      <c r="Q27" s="78" t="str">
        <f t="shared" si="6"/>
        <v>LCOF1</v>
      </c>
      <c r="R27" s="79">
        <v>44135</v>
      </c>
      <c r="S27" s="79">
        <v>44165</v>
      </c>
      <c r="T27" s="79" t="str">
        <f t="shared" si="7"/>
        <v>LCOF1</v>
      </c>
      <c r="U27" s="79" t="str">
        <f t="shared" si="8"/>
        <v>LCOG1</v>
      </c>
      <c r="V27" s="79" t="str">
        <f t="shared" si="9"/>
        <v>LCOH1</v>
      </c>
      <c r="W27" s="79" t="str">
        <f t="shared" si="10"/>
        <v>LCOJ1</v>
      </c>
      <c r="Y27" s="74">
        <f t="shared" si="1"/>
        <v>43430</v>
      </c>
      <c r="Z27" s="74">
        <f t="shared" ca="1" si="2"/>
        <v>43453</v>
      </c>
      <c r="AA27" s="80" t="str">
        <f t="shared" ca="1" si="3"/>
        <v>CLF9</v>
      </c>
      <c r="AB27" s="74">
        <f t="shared" si="11"/>
        <v>43434</v>
      </c>
      <c r="AC27" s="80" t="str">
        <f t="shared" si="4"/>
        <v>LCOF9</v>
      </c>
      <c r="AD27" s="80" t="str">
        <f t="shared" si="12"/>
        <v>CLF9</v>
      </c>
      <c r="AE27" s="80" t="str">
        <f t="shared" si="13"/>
        <v>LCOG9</v>
      </c>
      <c r="AF27" s="80" t="str">
        <f t="shared" si="14"/>
        <v>CLG9</v>
      </c>
      <c r="AG27" s="80" t="str">
        <f t="shared" si="15"/>
        <v>LCOH9</v>
      </c>
      <c r="AH27" s="80" t="str">
        <f t="shared" si="16"/>
        <v>LCOJ9</v>
      </c>
    </row>
    <row r="28" spans="1:34" x14ac:dyDescent="0.35">
      <c r="A28" s="83"/>
      <c r="B28" s="83"/>
      <c r="F28" s="76" t="s">
        <v>398</v>
      </c>
      <c r="G28" s="76" t="s">
        <v>310</v>
      </c>
      <c r="H28" s="76">
        <v>1</v>
      </c>
      <c r="I28" s="76" t="str">
        <f t="shared" si="0"/>
        <v>CLG1</v>
      </c>
      <c r="J28" s="77">
        <v>44187</v>
      </c>
      <c r="K28" s="77">
        <v>44216</v>
      </c>
      <c r="L28" s="77" t="str">
        <f t="shared" si="5"/>
        <v>CLG1</v>
      </c>
      <c r="N28" s="78" t="s">
        <v>399</v>
      </c>
      <c r="O28" s="78" t="s">
        <v>310</v>
      </c>
      <c r="P28" s="78">
        <v>1</v>
      </c>
      <c r="Q28" s="78" t="str">
        <f t="shared" si="6"/>
        <v>LCOG1</v>
      </c>
      <c r="R28" s="79">
        <v>44166</v>
      </c>
      <c r="S28" s="79">
        <v>44195</v>
      </c>
      <c r="T28" s="79" t="str">
        <f t="shared" si="7"/>
        <v>LCOG1</v>
      </c>
      <c r="U28" s="79" t="str">
        <f t="shared" si="8"/>
        <v>LCOH1</v>
      </c>
      <c r="V28" s="79" t="str">
        <f t="shared" si="9"/>
        <v>LCOJ1</v>
      </c>
      <c r="W28" s="79" t="str">
        <f t="shared" si="10"/>
        <v>LCOK1</v>
      </c>
      <c r="Y28" s="74">
        <f t="shared" si="1"/>
        <v>43431</v>
      </c>
      <c r="Z28" s="74">
        <f t="shared" ca="1" si="2"/>
        <v>43453</v>
      </c>
      <c r="AA28" s="80" t="str">
        <f t="shared" ca="1" si="3"/>
        <v>CLF9</v>
      </c>
      <c r="AB28" s="74">
        <f t="shared" si="11"/>
        <v>43434</v>
      </c>
      <c r="AC28" s="80" t="str">
        <f t="shared" si="4"/>
        <v>LCOF9</v>
      </c>
      <c r="AD28" s="80" t="str">
        <f t="shared" si="12"/>
        <v>CLF9</v>
      </c>
      <c r="AE28" s="80" t="str">
        <f t="shared" si="13"/>
        <v>LCOG9</v>
      </c>
      <c r="AF28" s="80" t="str">
        <f t="shared" si="14"/>
        <v>CLG9</v>
      </c>
      <c r="AG28" s="80" t="str">
        <f t="shared" si="15"/>
        <v>LCOH9</v>
      </c>
      <c r="AH28" s="80" t="str">
        <f t="shared" si="16"/>
        <v>LCOJ9</v>
      </c>
    </row>
    <row r="29" spans="1:34" x14ac:dyDescent="0.35">
      <c r="A29" s="83"/>
      <c r="B29" s="83"/>
      <c r="F29" s="76" t="s">
        <v>398</v>
      </c>
      <c r="G29" s="76" t="s">
        <v>312</v>
      </c>
      <c r="H29" s="76">
        <v>1</v>
      </c>
      <c r="I29" s="76" t="str">
        <f t="shared" si="0"/>
        <v>CLH1</v>
      </c>
      <c r="J29" s="77">
        <v>44217</v>
      </c>
      <c r="K29" s="77">
        <v>44249</v>
      </c>
      <c r="L29" s="77" t="str">
        <f t="shared" si="5"/>
        <v>CLH1</v>
      </c>
      <c r="N29" s="78" t="s">
        <v>399</v>
      </c>
      <c r="O29" s="78" t="s">
        <v>312</v>
      </c>
      <c r="P29" s="78">
        <v>1</v>
      </c>
      <c r="Q29" s="78" t="str">
        <f t="shared" si="6"/>
        <v>LCOH1</v>
      </c>
      <c r="R29" s="79">
        <v>44196</v>
      </c>
      <c r="S29" s="79">
        <v>44225</v>
      </c>
      <c r="T29" s="79" t="str">
        <f t="shared" si="7"/>
        <v>LCOH1</v>
      </c>
      <c r="U29" s="79" t="str">
        <f t="shared" si="8"/>
        <v>LCOJ1</v>
      </c>
      <c r="V29" s="79" t="str">
        <f t="shared" si="9"/>
        <v>LCOK1</v>
      </c>
      <c r="W29" s="79" t="str">
        <f t="shared" si="10"/>
        <v>LCOM1</v>
      </c>
      <c r="Y29" s="74">
        <f t="shared" si="1"/>
        <v>43432</v>
      </c>
      <c r="Z29" s="74">
        <f t="shared" ca="1" si="2"/>
        <v>43453</v>
      </c>
      <c r="AA29" s="80" t="str">
        <f t="shared" ca="1" si="3"/>
        <v>CLF9</v>
      </c>
      <c r="AB29" s="74">
        <f t="shared" si="11"/>
        <v>43434</v>
      </c>
      <c r="AC29" s="80" t="str">
        <f t="shared" si="4"/>
        <v>LCOF9</v>
      </c>
      <c r="AD29" s="80" t="str">
        <f t="shared" si="12"/>
        <v>CLF9</v>
      </c>
      <c r="AE29" s="80" t="str">
        <f t="shared" si="13"/>
        <v>LCOG9</v>
      </c>
      <c r="AF29" s="80" t="str">
        <f t="shared" si="14"/>
        <v>CLG9</v>
      </c>
      <c r="AG29" s="80" t="str">
        <f t="shared" si="15"/>
        <v>LCOH9</v>
      </c>
      <c r="AH29" s="80" t="str">
        <f t="shared" si="16"/>
        <v>LCOJ9</v>
      </c>
    </row>
    <row r="30" spans="1:34" x14ac:dyDescent="0.35">
      <c r="A30" s="83"/>
      <c r="B30" s="83"/>
      <c r="F30" s="76" t="s">
        <v>398</v>
      </c>
      <c r="G30" s="76" t="s">
        <v>314</v>
      </c>
      <c r="H30" s="76">
        <v>1</v>
      </c>
      <c r="I30" s="76" t="str">
        <f t="shared" si="0"/>
        <v>CLJ1</v>
      </c>
      <c r="J30" s="77">
        <v>44250</v>
      </c>
      <c r="K30" s="77">
        <v>44277</v>
      </c>
      <c r="L30" s="77" t="str">
        <f t="shared" si="5"/>
        <v>CLJ1</v>
      </c>
      <c r="N30" s="78" t="s">
        <v>399</v>
      </c>
      <c r="O30" s="78" t="s">
        <v>314</v>
      </c>
      <c r="P30" s="78">
        <v>1</v>
      </c>
      <c r="Q30" s="78" t="str">
        <f t="shared" si="6"/>
        <v>LCOJ1</v>
      </c>
      <c r="R30" s="79">
        <v>44226</v>
      </c>
      <c r="S30" s="79">
        <v>44253</v>
      </c>
      <c r="T30" s="79" t="str">
        <f t="shared" si="7"/>
        <v>LCOJ1</v>
      </c>
      <c r="U30" s="79" t="str">
        <f t="shared" si="8"/>
        <v>LCOK1</v>
      </c>
      <c r="V30" s="79" t="str">
        <f t="shared" si="9"/>
        <v>LCOM1</v>
      </c>
      <c r="W30" s="79" t="str">
        <f t="shared" si="10"/>
        <v>LCON1</v>
      </c>
      <c r="Y30" s="74">
        <f>Y31-1</f>
        <v>43433</v>
      </c>
      <c r="Z30" s="74">
        <f t="shared" ca="1" si="2"/>
        <v>43453</v>
      </c>
      <c r="AA30" s="80" t="str">
        <f t="shared" ca="1" si="3"/>
        <v>CLF9</v>
      </c>
      <c r="AB30" s="74">
        <f t="shared" si="11"/>
        <v>43434</v>
      </c>
      <c r="AC30" s="80" t="str">
        <f t="shared" si="4"/>
        <v>LCOF9</v>
      </c>
      <c r="AD30" s="80" t="str">
        <f t="shared" si="12"/>
        <v>CLF9</v>
      </c>
      <c r="AE30" s="80" t="str">
        <f t="shared" si="13"/>
        <v>LCOG9</v>
      </c>
      <c r="AF30" s="80" t="str">
        <f t="shared" si="14"/>
        <v>CLG9</v>
      </c>
      <c r="AG30" s="80" t="str">
        <f t="shared" si="15"/>
        <v>LCOH9</v>
      </c>
      <c r="AH30" s="80" t="str">
        <f t="shared" si="16"/>
        <v>LCOJ9</v>
      </c>
    </row>
    <row r="31" spans="1:34" x14ac:dyDescent="0.35">
      <c r="A31" s="83"/>
      <c r="B31" s="83"/>
      <c r="F31" s="76" t="s">
        <v>398</v>
      </c>
      <c r="G31" s="76" t="s">
        <v>316</v>
      </c>
      <c r="H31" s="76">
        <v>1</v>
      </c>
      <c r="I31" s="76" t="str">
        <f t="shared" si="0"/>
        <v>CLK1</v>
      </c>
      <c r="J31" s="77">
        <v>44278</v>
      </c>
      <c r="K31" s="77">
        <v>44306</v>
      </c>
      <c r="L31" s="77" t="str">
        <f t="shared" si="5"/>
        <v>CLK1</v>
      </c>
      <c r="N31" s="78" t="s">
        <v>399</v>
      </c>
      <c r="O31" s="78" t="s">
        <v>316</v>
      </c>
      <c r="P31" s="78">
        <v>1</v>
      </c>
      <c r="Q31" s="78" t="str">
        <f t="shared" si="6"/>
        <v>LCOK1</v>
      </c>
      <c r="R31" s="79">
        <v>44254</v>
      </c>
      <c r="S31" s="79">
        <v>44286</v>
      </c>
      <c r="T31" s="79" t="str">
        <f t="shared" si="7"/>
        <v>LCOK1</v>
      </c>
      <c r="U31" s="79" t="str">
        <f t="shared" si="8"/>
        <v>LCOM1</v>
      </c>
      <c r="V31" s="79" t="str">
        <f t="shared" si="9"/>
        <v>LCON1</v>
      </c>
      <c r="W31" s="79" t="str">
        <f t="shared" si="10"/>
        <v>LCOQ1</v>
      </c>
      <c r="Y31" s="74">
        <v>43434</v>
      </c>
      <c r="Z31" s="74">
        <f t="shared" ca="1" si="2"/>
        <v>43453</v>
      </c>
      <c r="AA31" s="80" t="str">
        <f t="shared" ca="1" si="3"/>
        <v>CLF9</v>
      </c>
      <c r="AB31" s="74">
        <f t="shared" si="11"/>
        <v>43434</v>
      </c>
      <c r="AC31" s="80" t="str">
        <f t="shared" si="4"/>
        <v>LCOF9</v>
      </c>
      <c r="AD31" s="80" t="str">
        <f t="shared" si="12"/>
        <v>CLF9</v>
      </c>
      <c r="AE31" s="80" t="str">
        <f t="shared" si="13"/>
        <v>LCOG9</v>
      </c>
      <c r="AF31" s="80" t="str">
        <f t="shared" si="14"/>
        <v>CLG9</v>
      </c>
      <c r="AG31" s="80" t="str">
        <f t="shared" si="15"/>
        <v>LCOH9</v>
      </c>
      <c r="AH31" s="80" t="str">
        <f t="shared" si="16"/>
        <v>LCOJ9</v>
      </c>
    </row>
    <row r="32" spans="1:34" x14ac:dyDescent="0.35">
      <c r="A32" s="83"/>
      <c r="B32" s="83"/>
      <c r="F32" s="76" t="s">
        <v>398</v>
      </c>
      <c r="G32" s="76" t="s">
        <v>318</v>
      </c>
      <c r="H32" s="76">
        <v>1</v>
      </c>
      <c r="I32" s="76" t="str">
        <f t="shared" si="0"/>
        <v>CLM1</v>
      </c>
      <c r="J32" s="77">
        <v>44307</v>
      </c>
      <c r="K32" s="77">
        <v>44336</v>
      </c>
      <c r="L32" s="77" t="str">
        <f t="shared" si="5"/>
        <v>CLM1</v>
      </c>
      <c r="N32" s="78" t="s">
        <v>399</v>
      </c>
      <c r="O32" s="78" t="s">
        <v>318</v>
      </c>
      <c r="P32" s="78">
        <v>1</v>
      </c>
      <c r="Q32" s="78" t="str">
        <f t="shared" si="6"/>
        <v>LCOM1</v>
      </c>
      <c r="R32" s="79">
        <v>44287</v>
      </c>
      <c r="S32" s="79">
        <v>44316</v>
      </c>
      <c r="T32" s="79" t="str">
        <f t="shared" si="7"/>
        <v>LCOM1</v>
      </c>
      <c r="U32" s="79" t="str">
        <f t="shared" si="8"/>
        <v>LCON1</v>
      </c>
      <c r="V32" s="79" t="str">
        <f t="shared" si="9"/>
        <v>LCOQ1</v>
      </c>
      <c r="W32" s="79" t="str">
        <f t="shared" si="10"/>
        <v>LCOU1</v>
      </c>
      <c r="Y32" s="74">
        <f>Y31+1</f>
        <v>43435</v>
      </c>
      <c r="Z32" s="74">
        <f t="shared" ca="1" si="2"/>
        <v>43453</v>
      </c>
      <c r="AA32" s="80" t="str">
        <f t="shared" ca="1" si="3"/>
        <v>CLF9</v>
      </c>
      <c r="AB32" s="74">
        <f t="shared" si="11"/>
        <v>43462</v>
      </c>
      <c r="AC32" s="80" t="str">
        <f t="shared" si="4"/>
        <v>LCOG9</v>
      </c>
      <c r="AD32" s="80" t="str">
        <f t="shared" si="12"/>
        <v>CLG9</v>
      </c>
      <c r="AE32" s="80" t="str">
        <f t="shared" si="13"/>
        <v>LCOH9</v>
      </c>
      <c r="AF32" s="80" t="str">
        <f t="shared" si="14"/>
        <v>CLH9</v>
      </c>
      <c r="AG32" s="80" t="str">
        <f t="shared" si="15"/>
        <v>LCOJ9</v>
      </c>
      <c r="AH32" s="80" t="str">
        <f t="shared" si="16"/>
        <v>LCOK9</v>
      </c>
    </row>
    <row r="33" spans="1:34" x14ac:dyDescent="0.35">
      <c r="A33" s="83"/>
      <c r="B33" s="83"/>
      <c r="F33" s="76" t="s">
        <v>398</v>
      </c>
      <c r="G33" s="76" t="s">
        <v>320</v>
      </c>
      <c r="H33" s="76">
        <v>1</v>
      </c>
      <c r="I33" s="76" t="str">
        <f t="shared" si="0"/>
        <v>CLN1</v>
      </c>
      <c r="J33" s="77">
        <v>44337</v>
      </c>
      <c r="K33" s="77">
        <v>44369</v>
      </c>
      <c r="L33" s="77" t="str">
        <f t="shared" si="5"/>
        <v>CLN1</v>
      </c>
      <c r="N33" s="78" t="s">
        <v>399</v>
      </c>
      <c r="O33" s="78" t="s">
        <v>320</v>
      </c>
      <c r="P33" s="78">
        <v>1</v>
      </c>
      <c r="Q33" s="78" t="str">
        <f t="shared" si="6"/>
        <v>LCON1</v>
      </c>
      <c r="R33" s="79">
        <v>44317</v>
      </c>
      <c r="S33" s="79">
        <v>44344</v>
      </c>
      <c r="T33" s="79" t="str">
        <f t="shared" si="7"/>
        <v>LCON1</v>
      </c>
      <c r="U33" s="79" t="str">
        <f t="shared" si="8"/>
        <v>LCOQ1</v>
      </c>
      <c r="V33" s="79" t="str">
        <f t="shared" si="9"/>
        <v>LCOU1</v>
      </c>
      <c r="W33" s="79" t="str">
        <f t="shared" si="10"/>
        <v>LCOV1</v>
      </c>
      <c r="Y33" s="74">
        <f t="shared" ref="Y33:Y96" si="17">Y32+1</f>
        <v>43436</v>
      </c>
      <c r="Z33" s="74">
        <f t="shared" ca="1" si="2"/>
        <v>43453</v>
      </c>
      <c r="AA33" s="80" t="str">
        <f t="shared" ca="1" si="3"/>
        <v>CLF9</v>
      </c>
      <c r="AB33" s="74">
        <f t="shared" si="11"/>
        <v>43462</v>
      </c>
      <c r="AC33" s="80" t="str">
        <f t="shared" si="4"/>
        <v>LCOG9</v>
      </c>
      <c r="AD33" s="80" t="str">
        <f t="shared" si="12"/>
        <v>CLG9</v>
      </c>
      <c r="AE33" s="80" t="str">
        <f t="shared" si="13"/>
        <v>LCOH9</v>
      </c>
      <c r="AF33" s="80" t="str">
        <f t="shared" si="14"/>
        <v>CLH9</v>
      </c>
      <c r="AG33" s="80" t="str">
        <f t="shared" si="15"/>
        <v>LCOJ9</v>
      </c>
      <c r="AH33" s="80" t="str">
        <f t="shared" si="16"/>
        <v>LCOK9</v>
      </c>
    </row>
    <row r="34" spans="1:34" x14ac:dyDescent="0.35">
      <c r="A34" s="83"/>
      <c r="B34" s="83"/>
      <c r="F34" s="76" t="s">
        <v>398</v>
      </c>
      <c r="G34" s="76" t="s">
        <v>322</v>
      </c>
      <c r="H34" s="76">
        <v>1</v>
      </c>
      <c r="I34" s="76" t="str">
        <f t="shared" si="0"/>
        <v>CLQ1</v>
      </c>
      <c r="J34" s="77">
        <v>44370</v>
      </c>
      <c r="K34" s="77">
        <v>44397</v>
      </c>
      <c r="L34" s="77" t="str">
        <f t="shared" si="5"/>
        <v>CLQ1</v>
      </c>
      <c r="N34" s="78" t="s">
        <v>399</v>
      </c>
      <c r="O34" s="78" t="s">
        <v>322</v>
      </c>
      <c r="P34" s="78">
        <v>1</v>
      </c>
      <c r="Q34" s="78" t="str">
        <f t="shared" si="6"/>
        <v>LCOQ1</v>
      </c>
      <c r="R34" s="79">
        <v>44345</v>
      </c>
      <c r="S34" s="79">
        <v>44377</v>
      </c>
      <c r="T34" s="79" t="str">
        <f t="shared" si="7"/>
        <v>LCOQ1</v>
      </c>
      <c r="U34" s="79" t="str">
        <f t="shared" si="8"/>
        <v>LCOU1</v>
      </c>
      <c r="V34" s="79" t="str">
        <f t="shared" si="9"/>
        <v>LCOV1</v>
      </c>
      <c r="W34" s="79" t="str">
        <f t="shared" si="10"/>
        <v>LCOX1</v>
      </c>
      <c r="Y34" s="74">
        <f t="shared" si="17"/>
        <v>43437</v>
      </c>
      <c r="Z34" s="74">
        <f t="shared" ca="1" si="2"/>
        <v>43453</v>
      </c>
      <c r="AA34" s="80" t="str">
        <f t="shared" ca="1" si="3"/>
        <v>CLF9</v>
      </c>
      <c r="AB34" s="74">
        <f t="shared" si="11"/>
        <v>43462</v>
      </c>
      <c r="AC34" s="80" t="str">
        <f t="shared" si="4"/>
        <v>LCOG9</v>
      </c>
      <c r="AD34" s="80" t="str">
        <f t="shared" si="12"/>
        <v>CLG9</v>
      </c>
      <c r="AE34" s="80" t="str">
        <f t="shared" si="13"/>
        <v>LCOH9</v>
      </c>
      <c r="AF34" s="80" t="str">
        <f t="shared" si="14"/>
        <v>CLH9</v>
      </c>
      <c r="AG34" s="80" t="str">
        <f t="shared" si="15"/>
        <v>LCOJ9</v>
      </c>
      <c r="AH34" s="80" t="str">
        <f t="shared" si="16"/>
        <v>LCOK9</v>
      </c>
    </row>
    <row r="35" spans="1:34" x14ac:dyDescent="0.35">
      <c r="A35" s="83"/>
      <c r="B35" s="83"/>
      <c r="F35" s="76" t="s">
        <v>398</v>
      </c>
      <c r="G35" s="76" t="s">
        <v>324</v>
      </c>
      <c r="H35" s="76">
        <v>1</v>
      </c>
      <c r="I35" s="76" t="str">
        <f t="shared" si="0"/>
        <v>CLU1</v>
      </c>
      <c r="J35" s="77">
        <v>44398</v>
      </c>
      <c r="K35" s="77">
        <v>44428</v>
      </c>
      <c r="L35" s="77" t="str">
        <f t="shared" si="5"/>
        <v>CLU1</v>
      </c>
      <c r="N35" s="78" t="s">
        <v>399</v>
      </c>
      <c r="O35" s="78" t="s">
        <v>324</v>
      </c>
      <c r="P35" s="78">
        <v>1</v>
      </c>
      <c r="Q35" s="78" t="str">
        <f t="shared" si="6"/>
        <v>LCOU1</v>
      </c>
      <c r="R35" s="79">
        <v>44378</v>
      </c>
      <c r="S35" s="79">
        <v>44407</v>
      </c>
      <c r="T35" s="79" t="str">
        <f t="shared" si="7"/>
        <v>LCOU1</v>
      </c>
      <c r="U35" s="79" t="str">
        <f t="shared" si="8"/>
        <v>LCOV1</v>
      </c>
      <c r="V35" s="79" t="str">
        <f t="shared" si="9"/>
        <v>LCOX1</v>
      </c>
      <c r="W35" s="79" t="str">
        <f t="shared" si="10"/>
        <v>LCOZ1</v>
      </c>
      <c r="Y35" s="74">
        <f t="shared" si="17"/>
        <v>43438</v>
      </c>
      <c r="Z35" s="74">
        <f t="shared" ca="1" si="2"/>
        <v>43453</v>
      </c>
      <c r="AA35" s="80" t="str">
        <f t="shared" ca="1" si="3"/>
        <v>CLF9</v>
      </c>
      <c r="AB35" s="74">
        <f t="shared" si="11"/>
        <v>43462</v>
      </c>
      <c r="AC35" s="80" t="str">
        <f t="shared" si="4"/>
        <v>LCOG9</v>
      </c>
      <c r="AD35" s="80" t="str">
        <f t="shared" si="12"/>
        <v>CLG9</v>
      </c>
      <c r="AE35" s="80" t="str">
        <f t="shared" si="13"/>
        <v>LCOH9</v>
      </c>
      <c r="AF35" s="80" t="str">
        <f t="shared" si="14"/>
        <v>CLH9</v>
      </c>
      <c r="AG35" s="80" t="str">
        <f t="shared" si="15"/>
        <v>LCOJ9</v>
      </c>
      <c r="AH35" s="80" t="str">
        <f t="shared" si="16"/>
        <v>LCOK9</v>
      </c>
    </row>
    <row r="36" spans="1:34" x14ac:dyDescent="0.35">
      <c r="A36" s="83"/>
      <c r="B36" s="83"/>
      <c r="F36" s="76" t="s">
        <v>398</v>
      </c>
      <c r="G36" s="76" t="s">
        <v>326</v>
      </c>
      <c r="H36" s="76">
        <v>1</v>
      </c>
      <c r="I36" s="76" t="str">
        <f t="shared" si="0"/>
        <v>CLV1</v>
      </c>
      <c r="J36" s="77">
        <v>44429</v>
      </c>
      <c r="K36" s="77">
        <v>44460</v>
      </c>
      <c r="L36" s="77" t="str">
        <f t="shared" si="5"/>
        <v>CLV1</v>
      </c>
      <c r="N36" s="78" t="s">
        <v>399</v>
      </c>
      <c r="O36" s="78" t="s">
        <v>326</v>
      </c>
      <c r="P36" s="78">
        <v>1</v>
      </c>
      <c r="Q36" s="78" t="str">
        <f t="shared" si="6"/>
        <v>LCOV1</v>
      </c>
      <c r="R36" s="79">
        <v>44408</v>
      </c>
      <c r="S36" s="79">
        <v>44439</v>
      </c>
      <c r="T36" s="79" t="str">
        <f t="shared" si="7"/>
        <v>LCOV1</v>
      </c>
      <c r="U36" s="79" t="str">
        <f t="shared" si="8"/>
        <v>LCOX1</v>
      </c>
      <c r="V36" s="79" t="str">
        <f t="shared" si="9"/>
        <v>LCOZ1</v>
      </c>
      <c r="W36" s="79" t="str">
        <f t="shared" si="10"/>
        <v>LCOF2</v>
      </c>
      <c r="Y36" s="74">
        <f t="shared" si="17"/>
        <v>43439</v>
      </c>
      <c r="Z36" s="74">
        <f t="shared" ca="1" si="2"/>
        <v>43453</v>
      </c>
      <c r="AA36" s="80" t="str">
        <f t="shared" ca="1" si="3"/>
        <v>CLF9</v>
      </c>
      <c r="AB36" s="74">
        <f t="shared" si="11"/>
        <v>43462</v>
      </c>
      <c r="AC36" s="80" t="str">
        <f t="shared" si="4"/>
        <v>LCOG9</v>
      </c>
      <c r="AD36" s="80" t="str">
        <f t="shared" si="12"/>
        <v>CLG9</v>
      </c>
      <c r="AE36" s="80" t="str">
        <f t="shared" si="13"/>
        <v>LCOH9</v>
      </c>
      <c r="AF36" s="80" t="str">
        <f t="shared" si="14"/>
        <v>CLH9</v>
      </c>
      <c r="AG36" s="80" t="str">
        <f t="shared" si="15"/>
        <v>LCOJ9</v>
      </c>
      <c r="AH36" s="80" t="str">
        <f t="shared" si="16"/>
        <v>LCOK9</v>
      </c>
    </row>
    <row r="37" spans="1:34" x14ac:dyDescent="0.35">
      <c r="A37" s="83"/>
      <c r="B37" s="83"/>
      <c r="F37" s="76" t="s">
        <v>398</v>
      </c>
      <c r="G37" s="76" t="s">
        <v>328</v>
      </c>
      <c r="H37" s="76">
        <v>1</v>
      </c>
      <c r="I37" s="76" t="str">
        <f t="shared" si="0"/>
        <v>CLX1</v>
      </c>
      <c r="J37" s="77">
        <v>44461</v>
      </c>
      <c r="K37" s="77">
        <v>44489</v>
      </c>
      <c r="L37" s="77" t="str">
        <f t="shared" si="5"/>
        <v>CLX1</v>
      </c>
      <c r="N37" s="78" t="s">
        <v>399</v>
      </c>
      <c r="O37" s="78" t="s">
        <v>328</v>
      </c>
      <c r="P37" s="78">
        <v>1</v>
      </c>
      <c r="Q37" s="78" t="str">
        <f t="shared" si="6"/>
        <v>LCOX1</v>
      </c>
      <c r="R37" s="79">
        <v>44440</v>
      </c>
      <c r="S37" s="79">
        <v>44469</v>
      </c>
      <c r="T37" s="79" t="str">
        <f t="shared" si="7"/>
        <v>LCOX1</v>
      </c>
      <c r="U37" s="79" t="str">
        <f t="shared" si="8"/>
        <v>LCOZ1</v>
      </c>
      <c r="V37" s="79" t="str">
        <f t="shared" si="9"/>
        <v>LCOF2</v>
      </c>
      <c r="W37" s="79" t="str">
        <f t="shared" si="10"/>
        <v>LCOG2</v>
      </c>
      <c r="Y37" s="74">
        <f t="shared" si="17"/>
        <v>43440</v>
      </c>
      <c r="Z37" s="74">
        <f t="shared" ca="1" si="2"/>
        <v>43453</v>
      </c>
      <c r="AA37" s="80" t="str">
        <f t="shared" ca="1" si="3"/>
        <v>CLF9</v>
      </c>
      <c r="AB37" s="74">
        <f t="shared" si="11"/>
        <v>43462</v>
      </c>
      <c r="AC37" s="80" t="str">
        <f t="shared" si="4"/>
        <v>LCOG9</v>
      </c>
      <c r="AD37" s="80" t="str">
        <f t="shared" si="12"/>
        <v>CLG9</v>
      </c>
      <c r="AE37" s="80" t="str">
        <f t="shared" si="13"/>
        <v>LCOH9</v>
      </c>
      <c r="AF37" s="80" t="str">
        <f t="shared" si="14"/>
        <v>CLH9</v>
      </c>
      <c r="AG37" s="80" t="str">
        <f t="shared" si="15"/>
        <v>LCOJ9</v>
      </c>
      <c r="AH37" s="80" t="str">
        <f t="shared" si="16"/>
        <v>LCOK9</v>
      </c>
    </row>
    <row r="38" spans="1:34" x14ac:dyDescent="0.35">
      <c r="A38" s="83"/>
      <c r="B38" s="83"/>
      <c r="F38" s="76" t="s">
        <v>398</v>
      </c>
      <c r="G38" s="76" t="s">
        <v>330</v>
      </c>
      <c r="H38" s="76">
        <v>1</v>
      </c>
      <c r="I38" s="76" t="str">
        <f t="shared" si="0"/>
        <v>CLZ1</v>
      </c>
      <c r="J38" s="77">
        <v>44490</v>
      </c>
      <c r="K38" s="77">
        <v>44519</v>
      </c>
      <c r="L38" s="77" t="str">
        <f t="shared" si="5"/>
        <v>CLZ1</v>
      </c>
      <c r="N38" s="78" t="s">
        <v>399</v>
      </c>
      <c r="O38" s="78" t="s">
        <v>330</v>
      </c>
      <c r="P38" s="78">
        <v>1</v>
      </c>
      <c r="Q38" s="78" t="str">
        <f t="shared" si="6"/>
        <v>LCOZ1</v>
      </c>
      <c r="R38" s="79">
        <v>44470</v>
      </c>
      <c r="S38" s="79">
        <v>44498</v>
      </c>
      <c r="T38" s="79" t="str">
        <f t="shared" si="7"/>
        <v>LCOZ1</v>
      </c>
      <c r="U38" s="79" t="str">
        <f t="shared" si="8"/>
        <v>LCOF2</v>
      </c>
      <c r="V38" s="79" t="str">
        <f t="shared" si="9"/>
        <v>LCOG2</v>
      </c>
      <c r="W38" s="79" t="str">
        <f t="shared" si="10"/>
        <v>LCOH2</v>
      </c>
      <c r="Y38" s="74">
        <f t="shared" si="17"/>
        <v>43441</v>
      </c>
      <c r="Z38" s="74">
        <f t="shared" ca="1" si="2"/>
        <v>43453</v>
      </c>
      <c r="AA38" s="80" t="str">
        <f t="shared" ca="1" si="3"/>
        <v>CLF9</v>
      </c>
      <c r="AB38" s="74">
        <f t="shared" si="11"/>
        <v>43462</v>
      </c>
      <c r="AC38" s="80" t="str">
        <f t="shared" si="4"/>
        <v>LCOG9</v>
      </c>
      <c r="AD38" s="80" t="str">
        <f t="shared" si="12"/>
        <v>CLG9</v>
      </c>
      <c r="AE38" s="80" t="str">
        <f t="shared" si="13"/>
        <v>LCOH9</v>
      </c>
      <c r="AF38" s="80" t="str">
        <f t="shared" si="14"/>
        <v>CLH9</v>
      </c>
      <c r="AG38" s="80" t="str">
        <f t="shared" si="15"/>
        <v>LCOJ9</v>
      </c>
      <c r="AH38" s="80" t="str">
        <f t="shared" si="16"/>
        <v>LCOK9</v>
      </c>
    </row>
    <row r="39" spans="1:34" x14ac:dyDescent="0.35">
      <c r="F39" s="76" t="s">
        <v>398</v>
      </c>
      <c r="G39" s="76" t="s">
        <v>308</v>
      </c>
      <c r="H39" s="76">
        <v>2</v>
      </c>
      <c r="I39" s="76" t="str">
        <f t="shared" si="0"/>
        <v>CLF2</v>
      </c>
      <c r="J39" s="77">
        <v>44520</v>
      </c>
      <c r="K39" s="77">
        <v>44550</v>
      </c>
      <c r="L39" s="77" t="str">
        <f t="shared" si="5"/>
        <v>CLF2</v>
      </c>
      <c r="N39" s="78" t="s">
        <v>399</v>
      </c>
      <c r="O39" s="78" t="s">
        <v>308</v>
      </c>
      <c r="P39" s="78">
        <v>2</v>
      </c>
      <c r="Q39" s="78" t="str">
        <f t="shared" si="6"/>
        <v>LCOF2</v>
      </c>
      <c r="R39" s="79">
        <v>44499</v>
      </c>
      <c r="S39" s="79">
        <v>44530</v>
      </c>
      <c r="T39" s="79" t="str">
        <f t="shared" si="7"/>
        <v>LCOF2</v>
      </c>
      <c r="U39" s="79" t="str">
        <f t="shared" si="8"/>
        <v>LCOG2</v>
      </c>
      <c r="V39" s="79" t="str">
        <f t="shared" si="9"/>
        <v>LCOH2</v>
      </c>
      <c r="W39" s="79" t="str">
        <f t="shared" si="10"/>
        <v>LCOJ2</v>
      </c>
      <c r="Y39" s="74">
        <f t="shared" si="17"/>
        <v>43442</v>
      </c>
      <c r="Z39" s="74">
        <f t="shared" ca="1" si="2"/>
        <v>43453</v>
      </c>
      <c r="AA39" s="80" t="str">
        <f t="shared" ca="1" si="3"/>
        <v>CLF9</v>
      </c>
      <c r="AB39" s="74">
        <f t="shared" si="11"/>
        <v>43462</v>
      </c>
      <c r="AC39" s="80" t="str">
        <f t="shared" si="4"/>
        <v>LCOG9</v>
      </c>
      <c r="AD39" s="80" t="str">
        <f t="shared" si="12"/>
        <v>CLG9</v>
      </c>
      <c r="AE39" s="80" t="str">
        <f t="shared" si="13"/>
        <v>LCOH9</v>
      </c>
      <c r="AF39" s="80" t="str">
        <f t="shared" si="14"/>
        <v>CLH9</v>
      </c>
      <c r="AG39" s="80" t="str">
        <f t="shared" si="15"/>
        <v>LCOJ9</v>
      </c>
      <c r="AH39" s="80" t="str">
        <f t="shared" si="16"/>
        <v>LCOK9</v>
      </c>
    </row>
    <row r="40" spans="1:34" x14ac:dyDescent="0.35">
      <c r="F40" s="76" t="s">
        <v>398</v>
      </c>
      <c r="G40" s="76" t="s">
        <v>310</v>
      </c>
      <c r="H40" s="76">
        <v>2</v>
      </c>
      <c r="I40" s="76" t="str">
        <f t="shared" si="0"/>
        <v>CLG2</v>
      </c>
      <c r="J40" s="77">
        <v>44551</v>
      </c>
      <c r="K40" s="77">
        <v>44581</v>
      </c>
      <c r="L40" s="77" t="str">
        <f t="shared" si="5"/>
        <v>CLG2</v>
      </c>
      <c r="N40" s="78" t="s">
        <v>399</v>
      </c>
      <c r="O40" s="78" t="s">
        <v>310</v>
      </c>
      <c r="P40" s="78">
        <v>2</v>
      </c>
      <c r="Q40" s="78" t="str">
        <f t="shared" si="6"/>
        <v>LCOG2</v>
      </c>
      <c r="R40" s="79">
        <v>44531</v>
      </c>
      <c r="S40" s="79">
        <v>44560</v>
      </c>
      <c r="T40" s="79" t="str">
        <f t="shared" si="7"/>
        <v>LCOG2</v>
      </c>
      <c r="U40" s="79" t="str">
        <f t="shared" si="8"/>
        <v>LCOH2</v>
      </c>
      <c r="V40" s="79" t="str">
        <f t="shared" si="9"/>
        <v>LCOJ2</v>
      </c>
      <c r="W40" s="79" t="str">
        <f t="shared" si="10"/>
        <v>LCOK2</v>
      </c>
      <c r="Y40" s="74">
        <f t="shared" si="17"/>
        <v>43443</v>
      </c>
      <c r="Z40" s="74">
        <f t="shared" ca="1" si="2"/>
        <v>43453</v>
      </c>
      <c r="AA40" s="80" t="str">
        <f t="shared" ca="1" si="3"/>
        <v>CLF9</v>
      </c>
      <c r="AB40" s="74">
        <f t="shared" si="11"/>
        <v>43462</v>
      </c>
      <c r="AC40" s="80" t="str">
        <f t="shared" si="4"/>
        <v>LCOG9</v>
      </c>
      <c r="AD40" s="80" t="str">
        <f t="shared" si="12"/>
        <v>CLG9</v>
      </c>
      <c r="AE40" s="80" t="str">
        <f t="shared" si="13"/>
        <v>LCOH9</v>
      </c>
      <c r="AF40" s="80" t="str">
        <f t="shared" si="14"/>
        <v>CLH9</v>
      </c>
      <c r="AG40" s="80" t="str">
        <f t="shared" si="15"/>
        <v>LCOJ9</v>
      </c>
      <c r="AH40" s="80" t="str">
        <f t="shared" si="16"/>
        <v>LCOK9</v>
      </c>
    </row>
    <row r="41" spans="1:34" x14ac:dyDescent="0.35">
      <c r="F41" s="76" t="s">
        <v>398</v>
      </c>
      <c r="G41" s="76" t="s">
        <v>312</v>
      </c>
      <c r="H41" s="76">
        <v>2</v>
      </c>
      <c r="I41" s="76" t="str">
        <f t="shared" si="0"/>
        <v>CLH2</v>
      </c>
      <c r="J41" s="77">
        <v>44582</v>
      </c>
      <c r="K41" s="77">
        <v>44614</v>
      </c>
      <c r="L41" s="77" t="str">
        <f t="shared" si="5"/>
        <v>CLH2</v>
      </c>
      <c r="N41" s="78" t="s">
        <v>399</v>
      </c>
      <c r="O41" s="78" t="s">
        <v>312</v>
      </c>
      <c r="P41" s="78">
        <v>2</v>
      </c>
      <c r="Q41" s="78" t="str">
        <f t="shared" si="6"/>
        <v>LCOH2</v>
      </c>
      <c r="R41" s="79">
        <v>44561</v>
      </c>
      <c r="S41" s="79">
        <v>44592</v>
      </c>
      <c r="T41" s="79" t="str">
        <f t="shared" si="7"/>
        <v>LCOH2</v>
      </c>
      <c r="U41" s="79" t="str">
        <f t="shared" si="8"/>
        <v>LCOJ2</v>
      </c>
      <c r="V41" s="79" t="str">
        <f t="shared" si="9"/>
        <v>LCOK2</v>
      </c>
      <c r="W41" s="79" t="str">
        <f t="shared" si="10"/>
        <v>LCOM2</v>
      </c>
      <c r="Y41" s="74">
        <f t="shared" si="17"/>
        <v>43444</v>
      </c>
      <c r="Z41" s="74">
        <f t="shared" ca="1" si="2"/>
        <v>43453</v>
      </c>
      <c r="AA41" s="80" t="str">
        <f t="shared" ca="1" si="3"/>
        <v>CLF9</v>
      </c>
      <c r="AB41" s="74">
        <f t="shared" si="11"/>
        <v>43462</v>
      </c>
      <c r="AC41" s="80" t="str">
        <f t="shared" si="4"/>
        <v>LCOG9</v>
      </c>
      <c r="AD41" s="80" t="str">
        <f t="shared" si="12"/>
        <v>CLG9</v>
      </c>
      <c r="AE41" s="80" t="str">
        <f t="shared" si="13"/>
        <v>LCOH9</v>
      </c>
      <c r="AF41" s="80" t="str">
        <f t="shared" si="14"/>
        <v>CLH9</v>
      </c>
      <c r="AG41" s="80" t="str">
        <f t="shared" si="15"/>
        <v>LCOJ9</v>
      </c>
      <c r="AH41" s="80" t="str">
        <f t="shared" si="16"/>
        <v>LCOK9</v>
      </c>
    </row>
    <row r="42" spans="1:34" x14ac:dyDescent="0.35">
      <c r="F42" s="76" t="s">
        <v>398</v>
      </c>
      <c r="G42" s="76" t="s">
        <v>314</v>
      </c>
      <c r="H42" s="76">
        <v>2</v>
      </c>
      <c r="I42" s="76" t="str">
        <f t="shared" si="0"/>
        <v>CLJ2</v>
      </c>
      <c r="J42" s="77">
        <v>44615</v>
      </c>
      <c r="K42" s="77">
        <v>44642</v>
      </c>
      <c r="L42" s="77" t="str">
        <f t="shared" si="5"/>
        <v>CLJ2</v>
      </c>
      <c r="N42" s="78" t="s">
        <v>399</v>
      </c>
      <c r="O42" s="78" t="s">
        <v>314</v>
      </c>
      <c r="P42" s="78">
        <v>2</v>
      </c>
      <c r="Q42" s="78" t="str">
        <f t="shared" si="6"/>
        <v>LCOJ2</v>
      </c>
      <c r="R42" s="79">
        <v>44593</v>
      </c>
      <c r="S42" s="79">
        <v>44620</v>
      </c>
      <c r="T42" s="79" t="str">
        <f t="shared" si="7"/>
        <v>LCOJ2</v>
      </c>
      <c r="U42" s="79" t="str">
        <f t="shared" si="8"/>
        <v>LCOK2</v>
      </c>
      <c r="V42" s="79" t="str">
        <f t="shared" si="9"/>
        <v>LCOM2</v>
      </c>
      <c r="W42" s="79" t="str">
        <f t="shared" si="10"/>
        <v>LCON2</v>
      </c>
      <c r="Y42" s="74">
        <f t="shared" si="17"/>
        <v>43445</v>
      </c>
      <c r="Z42" s="74">
        <f t="shared" ca="1" si="2"/>
        <v>43453</v>
      </c>
      <c r="AA42" s="80" t="str">
        <f t="shared" ca="1" si="3"/>
        <v>CLF9</v>
      </c>
      <c r="AB42" s="74">
        <f t="shared" si="11"/>
        <v>43462</v>
      </c>
      <c r="AC42" s="80" t="str">
        <f t="shared" si="4"/>
        <v>LCOG9</v>
      </c>
      <c r="AD42" s="80" t="str">
        <f t="shared" si="12"/>
        <v>CLG9</v>
      </c>
      <c r="AE42" s="80" t="str">
        <f t="shared" si="13"/>
        <v>LCOH9</v>
      </c>
      <c r="AF42" s="80" t="str">
        <f t="shared" si="14"/>
        <v>CLH9</v>
      </c>
      <c r="AG42" s="80" t="str">
        <f t="shared" si="15"/>
        <v>LCOJ9</v>
      </c>
      <c r="AH42" s="80" t="str">
        <f t="shared" si="16"/>
        <v>LCOK9</v>
      </c>
    </row>
    <row r="43" spans="1:34" x14ac:dyDescent="0.35">
      <c r="F43" s="76" t="s">
        <v>398</v>
      </c>
      <c r="G43" s="76" t="s">
        <v>316</v>
      </c>
      <c r="H43" s="76">
        <v>2</v>
      </c>
      <c r="I43" s="76" t="str">
        <f t="shared" si="0"/>
        <v>CLK2</v>
      </c>
      <c r="J43" s="77">
        <v>44643</v>
      </c>
      <c r="K43" s="77">
        <v>44671</v>
      </c>
      <c r="L43" s="77" t="str">
        <f t="shared" si="5"/>
        <v>CLK2</v>
      </c>
      <c r="N43" s="78" t="s">
        <v>399</v>
      </c>
      <c r="O43" s="78" t="s">
        <v>316</v>
      </c>
      <c r="P43" s="78">
        <v>2</v>
      </c>
      <c r="Q43" s="78" t="str">
        <f t="shared" si="6"/>
        <v>LCOK2</v>
      </c>
      <c r="R43" s="79">
        <v>44621</v>
      </c>
      <c r="S43" s="79">
        <v>44651</v>
      </c>
      <c r="T43" s="79" t="str">
        <f t="shared" si="7"/>
        <v>LCOK2</v>
      </c>
      <c r="U43" s="79" t="str">
        <f t="shared" si="8"/>
        <v>LCOM2</v>
      </c>
      <c r="V43" s="79" t="str">
        <f t="shared" si="9"/>
        <v>LCON2</v>
      </c>
      <c r="W43" s="79" t="str">
        <f t="shared" si="10"/>
        <v>LCOQ2</v>
      </c>
      <c r="Y43" s="74">
        <f t="shared" si="17"/>
        <v>43446</v>
      </c>
      <c r="Z43" s="74">
        <f t="shared" ca="1" si="2"/>
        <v>43453</v>
      </c>
      <c r="AA43" s="80" t="str">
        <f t="shared" ca="1" si="3"/>
        <v>CLF9</v>
      </c>
      <c r="AB43" s="74">
        <f t="shared" si="11"/>
        <v>43462</v>
      </c>
      <c r="AC43" s="80" t="str">
        <f t="shared" si="4"/>
        <v>LCOG9</v>
      </c>
      <c r="AD43" s="80" t="str">
        <f t="shared" si="12"/>
        <v>CLG9</v>
      </c>
      <c r="AE43" s="80" t="str">
        <f t="shared" si="13"/>
        <v>LCOH9</v>
      </c>
      <c r="AF43" s="80" t="str">
        <f t="shared" si="14"/>
        <v>CLH9</v>
      </c>
      <c r="AG43" s="80" t="str">
        <f t="shared" si="15"/>
        <v>LCOJ9</v>
      </c>
      <c r="AH43" s="80" t="str">
        <f t="shared" si="16"/>
        <v>LCOK9</v>
      </c>
    </row>
    <row r="44" spans="1:34" x14ac:dyDescent="0.35">
      <c r="F44" s="76" t="s">
        <v>398</v>
      </c>
      <c r="G44" s="76" t="s">
        <v>318</v>
      </c>
      <c r="H44" s="76">
        <v>2</v>
      </c>
      <c r="I44" s="76" t="str">
        <f t="shared" si="0"/>
        <v>CLM2</v>
      </c>
      <c r="J44" s="77">
        <v>44672</v>
      </c>
      <c r="K44" s="77">
        <v>44701</v>
      </c>
      <c r="L44" s="77" t="str">
        <f t="shared" si="5"/>
        <v>CLM2</v>
      </c>
      <c r="N44" s="78" t="s">
        <v>399</v>
      </c>
      <c r="O44" s="78" t="s">
        <v>318</v>
      </c>
      <c r="P44" s="78">
        <v>2</v>
      </c>
      <c r="Q44" s="78" t="str">
        <f t="shared" si="6"/>
        <v>LCOM2</v>
      </c>
      <c r="R44" s="79">
        <v>44652</v>
      </c>
      <c r="S44" s="79">
        <v>44680</v>
      </c>
      <c r="T44" s="79" t="str">
        <f t="shared" si="7"/>
        <v>LCOM2</v>
      </c>
      <c r="U44" s="79" t="str">
        <f t="shared" si="8"/>
        <v>LCON2</v>
      </c>
      <c r="V44" s="79" t="str">
        <f t="shared" si="9"/>
        <v>LCOQ2</v>
      </c>
      <c r="W44" s="79" t="str">
        <f t="shared" si="10"/>
        <v>LCOU2</v>
      </c>
      <c r="Y44" s="74">
        <f t="shared" si="17"/>
        <v>43447</v>
      </c>
      <c r="Z44" s="74">
        <f t="shared" ca="1" si="2"/>
        <v>43453</v>
      </c>
      <c r="AA44" s="80" t="str">
        <f t="shared" ca="1" si="3"/>
        <v>CLF9</v>
      </c>
      <c r="AB44" s="74">
        <f t="shared" si="11"/>
        <v>43462</v>
      </c>
      <c r="AC44" s="80" t="str">
        <f t="shared" si="4"/>
        <v>LCOG9</v>
      </c>
      <c r="AD44" s="80" t="str">
        <f t="shared" si="12"/>
        <v>CLG9</v>
      </c>
      <c r="AE44" s="80" t="str">
        <f t="shared" si="13"/>
        <v>LCOH9</v>
      </c>
      <c r="AF44" s="80" t="str">
        <f t="shared" si="14"/>
        <v>CLH9</v>
      </c>
      <c r="AG44" s="80" t="str">
        <f t="shared" si="15"/>
        <v>LCOJ9</v>
      </c>
      <c r="AH44" s="80" t="str">
        <f t="shared" si="16"/>
        <v>LCOK9</v>
      </c>
    </row>
    <row r="45" spans="1:34" x14ac:dyDescent="0.35">
      <c r="F45" s="76" t="s">
        <v>398</v>
      </c>
      <c r="G45" s="76" t="s">
        <v>320</v>
      </c>
      <c r="H45" s="76">
        <v>2</v>
      </c>
      <c r="I45" s="76" t="str">
        <f t="shared" si="0"/>
        <v>CLN2</v>
      </c>
      <c r="J45" s="77">
        <v>44702</v>
      </c>
      <c r="K45" s="77">
        <v>44733</v>
      </c>
      <c r="L45" s="77" t="str">
        <f t="shared" si="5"/>
        <v>CLN2</v>
      </c>
      <c r="N45" s="78" t="s">
        <v>399</v>
      </c>
      <c r="O45" s="78" t="s">
        <v>320</v>
      </c>
      <c r="P45" s="78">
        <v>2</v>
      </c>
      <c r="Q45" s="78" t="str">
        <f t="shared" si="6"/>
        <v>LCON2</v>
      </c>
      <c r="R45" s="79">
        <v>44681</v>
      </c>
      <c r="S45" s="79">
        <v>44712</v>
      </c>
      <c r="T45" s="79" t="str">
        <f t="shared" si="7"/>
        <v>LCON2</v>
      </c>
      <c r="U45" s="79" t="str">
        <f t="shared" si="8"/>
        <v>LCOQ2</v>
      </c>
      <c r="V45" s="79" t="str">
        <f t="shared" si="9"/>
        <v>LCOU2</v>
      </c>
      <c r="W45" s="79" t="str">
        <f t="shared" si="10"/>
        <v>LCOV2</v>
      </c>
      <c r="Y45" s="74">
        <f t="shared" si="17"/>
        <v>43448</v>
      </c>
      <c r="Z45" s="74">
        <f t="shared" ca="1" si="2"/>
        <v>43453</v>
      </c>
      <c r="AA45" s="80" t="str">
        <f t="shared" ca="1" si="3"/>
        <v>CLF9</v>
      </c>
      <c r="AB45" s="74">
        <f t="shared" si="11"/>
        <v>43462</v>
      </c>
      <c r="AC45" s="80" t="str">
        <f t="shared" si="4"/>
        <v>LCOG9</v>
      </c>
      <c r="AD45" s="80" t="str">
        <f t="shared" si="12"/>
        <v>CLG9</v>
      </c>
      <c r="AE45" s="80" t="str">
        <f t="shared" si="13"/>
        <v>LCOH9</v>
      </c>
      <c r="AF45" s="80" t="str">
        <f t="shared" si="14"/>
        <v>CLH9</v>
      </c>
      <c r="AG45" s="80" t="str">
        <f t="shared" si="15"/>
        <v>LCOJ9</v>
      </c>
      <c r="AH45" s="80" t="str">
        <f t="shared" si="16"/>
        <v>LCOK9</v>
      </c>
    </row>
    <row r="46" spans="1:34" x14ac:dyDescent="0.35">
      <c r="F46" s="76" t="s">
        <v>398</v>
      </c>
      <c r="G46" s="76" t="s">
        <v>322</v>
      </c>
      <c r="H46" s="76">
        <v>2</v>
      </c>
      <c r="I46" s="76" t="str">
        <f t="shared" si="0"/>
        <v>CLQ2</v>
      </c>
      <c r="J46" s="77">
        <v>44734</v>
      </c>
      <c r="K46" s="77">
        <v>44762</v>
      </c>
      <c r="L46" s="77" t="str">
        <f t="shared" si="5"/>
        <v>CLQ2</v>
      </c>
      <c r="N46" s="78" t="s">
        <v>399</v>
      </c>
      <c r="O46" s="78" t="s">
        <v>322</v>
      </c>
      <c r="P46" s="78">
        <v>2</v>
      </c>
      <c r="Q46" s="78" t="str">
        <f t="shared" si="6"/>
        <v>LCOQ2</v>
      </c>
      <c r="R46" s="79">
        <v>44713</v>
      </c>
      <c r="S46" s="79">
        <v>44742</v>
      </c>
      <c r="T46" s="79" t="str">
        <f t="shared" si="7"/>
        <v>LCOQ2</v>
      </c>
      <c r="U46" s="79" t="str">
        <f t="shared" si="8"/>
        <v>LCOU2</v>
      </c>
      <c r="V46" s="79" t="str">
        <f t="shared" si="9"/>
        <v>LCOV2</v>
      </c>
      <c r="W46" s="79" t="str">
        <f t="shared" si="10"/>
        <v>LCOX2</v>
      </c>
      <c r="Y46" s="74">
        <f t="shared" si="17"/>
        <v>43449</v>
      </c>
      <c r="Z46" s="74">
        <f t="shared" ca="1" si="2"/>
        <v>43453</v>
      </c>
      <c r="AA46" s="80" t="str">
        <f t="shared" ca="1" si="3"/>
        <v>CLF9</v>
      </c>
      <c r="AB46" s="74">
        <f t="shared" si="11"/>
        <v>43462</v>
      </c>
      <c r="AC46" s="80" t="str">
        <f t="shared" si="4"/>
        <v>LCOG9</v>
      </c>
      <c r="AD46" s="80" t="str">
        <f t="shared" si="12"/>
        <v>CLG9</v>
      </c>
      <c r="AE46" s="80" t="str">
        <f t="shared" si="13"/>
        <v>LCOH9</v>
      </c>
      <c r="AF46" s="80" t="str">
        <f t="shared" si="14"/>
        <v>CLH9</v>
      </c>
      <c r="AG46" s="80" t="str">
        <f t="shared" si="15"/>
        <v>LCOJ9</v>
      </c>
      <c r="AH46" s="80" t="str">
        <f t="shared" si="16"/>
        <v>LCOK9</v>
      </c>
    </row>
    <row r="47" spans="1:34" x14ac:dyDescent="0.35">
      <c r="F47" s="76" t="s">
        <v>398</v>
      </c>
      <c r="G47" s="76" t="s">
        <v>324</v>
      </c>
      <c r="H47" s="76">
        <v>2</v>
      </c>
      <c r="I47" s="76" t="str">
        <f t="shared" si="0"/>
        <v>CLU2</v>
      </c>
      <c r="J47" s="77">
        <v>44763</v>
      </c>
      <c r="K47" s="77">
        <v>44795</v>
      </c>
      <c r="L47" s="77" t="str">
        <f t="shared" si="5"/>
        <v>CLU2</v>
      </c>
      <c r="N47" s="78" t="s">
        <v>399</v>
      </c>
      <c r="O47" s="78" t="s">
        <v>324</v>
      </c>
      <c r="P47" s="78">
        <v>2</v>
      </c>
      <c r="Q47" s="78" t="str">
        <f t="shared" si="6"/>
        <v>LCOU2</v>
      </c>
      <c r="R47" s="79">
        <v>44743</v>
      </c>
      <c r="S47" s="79">
        <v>44771</v>
      </c>
      <c r="T47" s="79" t="str">
        <f t="shared" si="7"/>
        <v>LCOU2</v>
      </c>
      <c r="U47" s="79" t="str">
        <f t="shared" si="8"/>
        <v>LCOV2</v>
      </c>
      <c r="V47" s="79" t="str">
        <f t="shared" si="9"/>
        <v>LCOX2</v>
      </c>
      <c r="W47" s="79" t="str">
        <f t="shared" si="10"/>
        <v>LCOZ2</v>
      </c>
      <c r="Y47" s="74">
        <f t="shared" si="17"/>
        <v>43450</v>
      </c>
      <c r="Z47" s="74">
        <f t="shared" ca="1" si="2"/>
        <v>43453</v>
      </c>
      <c r="AA47" s="80" t="str">
        <f t="shared" ca="1" si="3"/>
        <v>CLF9</v>
      </c>
      <c r="AB47" s="74">
        <f t="shared" si="11"/>
        <v>43462</v>
      </c>
      <c r="AC47" s="80" t="str">
        <f t="shared" si="4"/>
        <v>LCOG9</v>
      </c>
      <c r="AD47" s="80" t="str">
        <f t="shared" si="12"/>
        <v>CLG9</v>
      </c>
      <c r="AE47" s="80" t="str">
        <f t="shared" si="13"/>
        <v>LCOH9</v>
      </c>
      <c r="AF47" s="80" t="str">
        <f t="shared" si="14"/>
        <v>CLH9</v>
      </c>
      <c r="AG47" s="80" t="str">
        <f t="shared" si="15"/>
        <v>LCOJ9</v>
      </c>
      <c r="AH47" s="80" t="str">
        <f t="shared" si="16"/>
        <v>LCOK9</v>
      </c>
    </row>
    <row r="48" spans="1:34" x14ac:dyDescent="0.35">
      <c r="F48" s="76" t="s">
        <v>398</v>
      </c>
      <c r="G48" s="76" t="s">
        <v>326</v>
      </c>
      <c r="H48" s="76">
        <v>2</v>
      </c>
      <c r="I48" s="76" t="str">
        <f t="shared" si="0"/>
        <v>CLV2</v>
      </c>
      <c r="J48" s="77">
        <v>44796</v>
      </c>
      <c r="K48" s="77">
        <v>44824</v>
      </c>
      <c r="L48" s="77" t="str">
        <f t="shared" si="5"/>
        <v>CLV2</v>
      </c>
      <c r="N48" s="78" t="s">
        <v>399</v>
      </c>
      <c r="O48" s="78" t="s">
        <v>326</v>
      </c>
      <c r="P48" s="78">
        <v>2</v>
      </c>
      <c r="Q48" s="78" t="str">
        <f t="shared" si="6"/>
        <v>LCOV2</v>
      </c>
      <c r="R48" s="79">
        <v>44772</v>
      </c>
      <c r="S48" s="79">
        <v>44804</v>
      </c>
      <c r="T48" s="79" t="str">
        <f t="shared" si="7"/>
        <v>LCOV2</v>
      </c>
      <c r="U48" s="79" t="str">
        <f t="shared" si="8"/>
        <v>LCOX2</v>
      </c>
      <c r="V48" s="79" t="str">
        <f t="shared" si="9"/>
        <v>LCOZ2</v>
      </c>
      <c r="W48" s="79" t="str">
        <f t="shared" si="10"/>
        <v>LCOF3</v>
      </c>
      <c r="Y48" s="74">
        <f t="shared" si="17"/>
        <v>43451</v>
      </c>
      <c r="Z48" s="74">
        <f t="shared" ca="1" si="2"/>
        <v>43453</v>
      </c>
      <c r="AA48" s="80" t="str">
        <f t="shared" ca="1" si="3"/>
        <v>CLF9</v>
      </c>
      <c r="AB48" s="74">
        <f t="shared" si="11"/>
        <v>43462</v>
      </c>
      <c r="AC48" s="80" t="str">
        <f t="shared" si="4"/>
        <v>LCOG9</v>
      </c>
      <c r="AD48" s="80" t="str">
        <f t="shared" si="12"/>
        <v>CLG9</v>
      </c>
      <c r="AE48" s="80" t="str">
        <f t="shared" si="13"/>
        <v>LCOH9</v>
      </c>
      <c r="AF48" s="80" t="str">
        <f t="shared" si="14"/>
        <v>CLH9</v>
      </c>
      <c r="AG48" s="80" t="str">
        <f t="shared" si="15"/>
        <v>LCOJ9</v>
      </c>
      <c r="AH48" s="80" t="str">
        <f t="shared" si="16"/>
        <v>LCOK9</v>
      </c>
    </row>
    <row r="49" spans="6:34" x14ac:dyDescent="0.35">
      <c r="F49" s="76" t="s">
        <v>398</v>
      </c>
      <c r="G49" s="76" t="s">
        <v>328</v>
      </c>
      <c r="H49" s="76">
        <v>2</v>
      </c>
      <c r="I49" s="76" t="str">
        <f t="shared" si="0"/>
        <v>CLX2</v>
      </c>
      <c r="J49" s="77">
        <v>44825</v>
      </c>
      <c r="K49" s="77">
        <v>44854</v>
      </c>
      <c r="L49" s="77" t="str">
        <f t="shared" si="5"/>
        <v>CLX2</v>
      </c>
      <c r="N49" s="78" t="s">
        <v>399</v>
      </c>
      <c r="O49" s="78" t="s">
        <v>328</v>
      </c>
      <c r="P49" s="78">
        <v>2</v>
      </c>
      <c r="Q49" s="78" t="str">
        <f t="shared" si="6"/>
        <v>LCOX2</v>
      </c>
      <c r="R49" s="79">
        <v>44805</v>
      </c>
      <c r="S49" s="79">
        <v>44834</v>
      </c>
      <c r="T49" s="79" t="str">
        <f t="shared" si="7"/>
        <v>LCOX2</v>
      </c>
      <c r="U49" s="79" t="str">
        <f t="shared" si="8"/>
        <v>LCOZ2</v>
      </c>
      <c r="V49" s="79" t="str">
        <f t="shared" si="9"/>
        <v>LCOF3</v>
      </c>
      <c r="W49" s="79" t="str">
        <f t="shared" si="10"/>
        <v>LCOG3</v>
      </c>
      <c r="Y49" s="74">
        <f t="shared" si="17"/>
        <v>43452</v>
      </c>
      <c r="Z49" s="74">
        <f t="shared" ca="1" si="2"/>
        <v>43453</v>
      </c>
      <c r="AA49" s="80" t="str">
        <f t="shared" ca="1" si="3"/>
        <v>CLF9</v>
      </c>
      <c r="AB49" s="74">
        <f t="shared" si="11"/>
        <v>43462</v>
      </c>
      <c r="AC49" s="80" t="str">
        <f t="shared" si="4"/>
        <v>LCOG9</v>
      </c>
      <c r="AD49" s="80" t="str">
        <f t="shared" si="12"/>
        <v>CLG9</v>
      </c>
      <c r="AE49" s="80" t="str">
        <f t="shared" si="13"/>
        <v>LCOH9</v>
      </c>
      <c r="AF49" s="80" t="str">
        <f t="shared" si="14"/>
        <v>CLH9</v>
      </c>
      <c r="AG49" s="80" t="str">
        <f t="shared" si="15"/>
        <v>LCOJ9</v>
      </c>
      <c r="AH49" s="80" t="str">
        <f t="shared" si="16"/>
        <v>LCOK9</v>
      </c>
    </row>
    <row r="50" spans="6:34" x14ac:dyDescent="0.35">
      <c r="F50" s="76" t="s">
        <v>398</v>
      </c>
      <c r="G50" s="76" t="s">
        <v>330</v>
      </c>
      <c r="H50" s="76">
        <v>2</v>
      </c>
      <c r="I50" s="76" t="str">
        <f t="shared" si="0"/>
        <v>CLZ2</v>
      </c>
      <c r="J50" s="77">
        <v>44855</v>
      </c>
      <c r="K50" s="77">
        <v>44886</v>
      </c>
      <c r="L50" s="77" t="str">
        <f t="shared" si="5"/>
        <v>CLZ2</v>
      </c>
      <c r="N50" s="78" t="s">
        <v>399</v>
      </c>
      <c r="O50" s="78" t="s">
        <v>330</v>
      </c>
      <c r="P50" s="78">
        <v>2</v>
      </c>
      <c r="Q50" s="78" t="str">
        <f t="shared" si="6"/>
        <v>LCOZ2</v>
      </c>
      <c r="R50" s="79">
        <v>44835</v>
      </c>
      <c r="S50" s="79">
        <v>44865</v>
      </c>
      <c r="T50" s="79" t="str">
        <f t="shared" si="7"/>
        <v>LCOZ2</v>
      </c>
      <c r="U50" s="79" t="str">
        <f t="shared" si="8"/>
        <v>LCOF3</v>
      </c>
      <c r="V50" s="79" t="str">
        <f t="shared" si="9"/>
        <v>LCOG3</v>
      </c>
      <c r="W50" s="79" t="str">
        <f t="shared" si="10"/>
        <v>LCOH3</v>
      </c>
      <c r="Y50" s="74">
        <f t="shared" si="17"/>
        <v>43453</v>
      </c>
      <c r="Z50" s="74">
        <f t="shared" ca="1" si="2"/>
        <v>43453</v>
      </c>
      <c r="AA50" s="80" t="str">
        <f t="shared" ca="1" si="3"/>
        <v>CLF9</v>
      </c>
      <c r="AB50" s="74">
        <f t="shared" si="11"/>
        <v>43462</v>
      </c>
      <c r="AC50" s="80" t="str">
        <f t="shared" si="4"/>
        <v>LCOG9</v>
      </c>
      <c r="AD50" s="80" t="str">
        <f t="shared" si="12"/>
        <v>CLG9</v>
      </c>
      <c r="AE50" s="80" t="str">
        <f t="shared" si="13"/>
        <v>LCOH9</v>
      </c>
      <c r="AF50" s="80" t="str">
        <f t="shared" si="14"/>
        <v>CLH9</v>
      </c>
      <c r="AG50" s="80" t="str">
        <f t="shared" si="15"/>
        <v>LCOJ9</v>
      </c>
      <c r="AH50" s="80" t="str">
        <f t="shared" si="16"/>
        <v>LCOK9</v>
      </c>
    </row>
    <row r="51" spans="6:34" x14ac:dyDescent="0.35">
      <c r="F51" s="76" t="s">
        <v>398</v>
      </c>
      <c r="G51" s="76" t="s">
        <v>308</v>
      </c>
      <c r="H51" s="76">
        <v>3</v>
      </c>
      <c r="I51" s="76" t="str">
        <f t="shared" si="0"/>
        <v>CLF3</v>
      </c>
      <c r="J51" s="77">
        <v>44887</v>
      </c>
      <c r="K51" s="77">
        <v>44915</v>
      </c>
      <c r="L51" s="77" t="str">
        <f t="shared" si="5"/>
        <v>CLF3</v>
      </c>
      <c r="N51" s="78" t="s">
        <v>399</v>
      </c>
      <c r="O51" s="78" t="s">
        <v>308</v>
      </c>
      <c r="P51" s="78">
        <v>3</v>
      </c>
      <c r="Q51" s="78" t="str">
        <f t="shared" si="6"/>
        <v>LCOF3</v>
      </c>
      <c r="R51" s="79">
        <v>44866</v>
      </c>
      <c r="S51" s="79">
        <v>44895</v>
      </c>
      <c r="T51" s="79" t="str">
        <f t="shared" si="7"/>
        <v>LCOF3</v>
      </c>
      <c r="U51" s="79" t="str">
        <f t="shared" si="8"/>
        <v>LCOG3</v>
      </c>
      <c r="V51" s="79" t="str">
        <f t="shared" si="9"/>
        <v>LCOH3</v>
      </c>
      <c r="W51" s="79" t="str">
        <f t="shared" si="10"/>
        <v>LCOJ3</v>
      </c>
      <c r="Y51" s="74">
        <f t="shared" si="17"/>
        <v>43454</v>
      </c>
      <c r="Z51" s="74">
        <f t="shared" ca="1" si="2"/>
        <v>43487</v>
      </c>
      <c r="AA51" s="80" t="str">
        <f t="shared" ca="1" si="3"/>
        <v>CLG9</v>
      </c>
      <c r="AB51" s="74">
        <f t="shared" si="11"/>
        <v>43462</v>
      </c>
      <c r="AC51" s="80" t="str">
        <f t="shared" si="4"/>
        <v>LCOG9</v>
      </c>
      <c r="AD51" s="80" t="str">
        <f t="shared" si="12"/>
        <v>CLG9</v>
      </c>
      <c r="AE51" s="80" t="str">
        <f t="shared" si="13"/>
        <v>LCOH9</v>
      </c>
      <c r="AF51" s="80" t="str">
        <f t="shared" si="14"/>
        <v>CLH9</v>
      </c>
      <c r="AG51" s="80" t="str">
        <f t="shared" si="15"/>
        <v>LCOJ9</v>
      </c>
      <c r="AH51" s="80" t="str">
        <f t="shared" si="16"/>
        <v>LCOK9</v>
      </c>
    </row>
    <row r="52" spans="6:34" x14ac:dyDescent="0.35">
      <c r="F52" s="76" t="s">
        <v>398</v>
      </c>
      <c r="G52" s="76" t="s">
        <v>310</v>
      </c>
      <c r="H52" s="76">
        <v>3</v>
      </c>
      <c r="I52" s="76" t="str">
        <f t="shared" si="0"/>
        <v>CLG3</v>
      </c>
      <c r="J52" s="77">
        <v>44916</v>
      </c>
      <c r="K52" s="77">
        <v>44946</v>
      </c>
      <c r="L52" s="77" t="str">
        <f t="shared" si="5"/>
        <v>CLG3</v>
      </c>
      <c r="N52" s="78" t="s">
        <v>399</v>
      </c>
      <c r="O52" s="78" t="s">
        <v>310</v>
      </c>
      <c r="P52" s="78">
        <v>3</v>
      </c>
      <c r="Q52" s="78" t="str">
        <f t="shared" si="6"/>
        <v>LCOG3</v>
      </c>
      <c r="R52" s="79">
        <v>44896</v>
      </c>
      <c r="S52" s="79">
        <v>44924</v>
      </c>
      <c r="T52" s="79" t="str">
        <f t="shared" si="7"/>
        <v>LCOG3</v>
      </c>
      <c r="U52" s="79" t="str">
        <f t="shared" si="8"/>
        <v>LCOH3</v>
      </c>
      <c r="V52" s="79" t="str">
        <f t="shared" si="9"/>
        <v>LCOJ3</v>
      </c>
      <c r="W52" s="79" t="str">
        <f t="shared" si="10"/>
        <v>LCOK3</v>
      </c>
      <c r="Y52" s="74">
        <f t="shared" si="17"/>
        <v>43455</v>
      </c>
      <c r="Z52" s="74">
        <f t="shared" ca="1" si="2"/>
        <v>43487</v>
      </c>
      <c r="AA52" s="80" t="str">
        <f t="shared" ca="1" si="3"/>
        <v>CLG9</v>
      </c>
      <c r="AB52" s="74">
        <f t="shared" si="11"/>
        <v>43462</v>
      </c>
      <c r="AC52" s="80" t="str">
        <f t="shared" si="4"/>
        <v>LCOG9</v>
      </c>
      <c r="AD52" s="80" t="str">
        <f t="shared" si="12"/>
        <v>CLG9</v>
      </c>
      <c r="AE52" s="80" t="str">
        <f t="shared" si="13"/>
        <v>LCOH9</v>
      </c>
      <c r="AF52" s="80" t="str">
        <f t="shared" si="14"/>
        <v>CLH9</v>
      </c>
      <c r="AG52" s="80" t="str">
        <f t="shared" si="15"/>
        <v>LCOJ9</v>
      </c>
      <c r="AH52" s="80" t="str">
        <f t="shared" si="16"/>
        <v>LCOK9</v>
      </c>
    </row>
    <row r="53" spans="6:34" x14ac:dyDescent="0.35">
      <c r="F53" s="76" t="s">
        <v>398</v>
      </c>
      <c r="G53" s="76" t="s">
        <v>312</v>
      </c>
      <c r="H53" s="76">
        <v>3</v>
      </c>
      <c r="I53" s="76" t="str">
        <f t="shared" si="0"/>
        <v>CLH3</v>
      </c>
      <c r="J53" s="77">
        <v>44947</v>
      </c>
      <c r="K53" s="77">
        <v>44978</v>
      </c>
      <c r="L53" s="77" t="str">
        <f t="shared" si="5"/>
        <v>CLH3</v>
      </c>
      <c r="N53" s="78" t="s">
        <v>399</v>
      </c>
      <c r="O53" s="78" t="s">
        <v>312</v>
      </c>
      <c r="P53" s="78">
        <v>3</v>
      </c>
      <c r="Q53" s="78" t="str">
        <f t="shared" si="6"/>
        <v>LCOH3</v>
      </c>
      <c r="R53" s="79">
        <v>44925</v>
      </c>
      <c r="S53" s="79">
        <v>44957</v>
      </c>
      <c r="T53" s="79" t="str">
        <f t="shared" si="7"/>
        <v>LCOH3</v>
      </c>
      <c r="U53" s="79" t="str">
        <f t="shared" si="8"/>
        <v>LCOJ3</v>
      </c>
      <c r="V53" s="79" t="str">
        <f t="shared" si="9"/>
        <v>LCOK3</v>
      </c>
      <c r="W53" s="79" t="str">
        <f t="shared" si="10"/>
        <v>LCOM3</v>
      </c>
      <c r="Y53" s="74">
        <f t="shared" si="17"/>
        <v>43456</v>
      </c>
      <c r="Z53" s="74">
        <f t="shared" ca="1" si="2"/>
        <v>43487</v>
      </c>
      <c r="AA53" s="80" t="str">
        <f t="shared" ca="1" si="3"/>
        <v>CLG9</v>
      </c>
      <c r="AB53" s="74">
        <f t="shared" si="11"/>
        <v>43462</v>
      </c>
      <c r="AC53" s="80" t="str">
        <f t="shared" si="4"/>
        <v>LCOG9</v>
      </c>
      <c r="AD53" s="80" t="str">
        <f t="shared" si="12"/>
        <v>CLG9</v>
      </c>
      <c r="AE53" s="80" t="str">
        <f t="shared" si="13"/>
        <v>LCOH9</v>
      </c>
      <c r="AF53" s="80" t="str">
        <f t="shared" si="14"/>
        <v>CLH9</v>
      </c>
      <c r="AG53" s="80" t="str">
        <f t="shared" si="15"/>
        <v>LCOJ9</v>
      </c>
      <c r="AH53" s="80" t="str">
        <f t="shared" si="16"/>
        <v>LCOK9</v>
      </c>
    </row>
    <row r="54" spans="6:34" x14ac:dyDescent="0.35">
      <c r="F54" s="76" t="s">
        <v>398</v>
      </c>
      <c r="G54" s="76" t="s">
        <v>314</v>
      </c>
      <c r="H54" s="76">
        <v>3</v>
      </c>
      <c r="I54" s="76" t="str">
        <f t="shared" si="0"/>
        <v>CLJ3</v>
      </c>
      <c r="J54" s="77">
        <v>44979</v>
      </c>
      <c r="K54" s="77">
        <v>45006</v>
      </c>
      <c r="L54" s="77" t="str">
        <f t="shared" si="5"/>
        <v>CLJ3</v>
      </c>
      <c r="N54" s="78" t="s">
        <v>399</v>
      </c>
      <c r="O54" s="78" t="s">
        <v>314</v>
      </c>
      <c r="P54" s="78">
        <v>3</v>
      </c>
      <c r="Q54" s="78" t="str">
        <f t="shared" si="6"/>
        <v>LCOJ3</v>
      </c>
      <c r="R54" s="79">
        <v>44958</v>
      </c>
      <c r="S54" s="79">
        <v>44985</v>
      </c>
      <c r="T54" s="79" t="str">
        <f t="shared" si="7"/>
        <v>LCOJ3</v>
      </c>
      <c r="U54" s="79" t="str">
        <f t="shared" si="8"/>
        <v>LCOK3</v>
      </c>
      <c r="V54" s="79" t="str">
        <f t="shared" si="9"/>
        <v>LCOM3</v>
      </c>
      <c r="W54" s="79" t="str">
        <f t="shared" si="10"/>
        <v>LCON3</v>
      </c>
      <c r="Y54" s="74">
        <f t="shared" si="17"/>
        <v>43457</v>
      </c>
      <c r="Z54" s="74">
        <f t="shared" ca="1" si="2"/>
        <v>43487</v>
      </c>
      <c r="AA54" s="80" t="str">
        <f t="shared" ca="1" si="3"/>
        <v>CLG9</v>
      </c>
      <c r="AB54" s="74">
        <f t="shared" si="11"/>
        <v>43462</v>
      </c>
      <c r="AC54" s="80" t="str">
        <f t="shared" si="4"/>
        <v>LCOG9</v>
      </c>
      <c r="AD54" s="80" t="str">
        <f t="shared" si="12"/>
        <v>CLG9</v>
      </c>
      <c r="AE54" s="80" t="str">
        <f t="shared" si="13"/>
        <v>LCOH9</v>
      </c>
      <c r="AF54" s="80" t="str">
        <f t="shared" si="14"/>
        <v>CLH9</v>
      </c>
      <c r="AG54" s="80" t="str">
        <f t="shared" si="15"/>
        <v>LCOJ9</v>
      </c>
      <c r="AH54" s="80" t="str">
        <f t="shared" si="16"/>
        <v>LCOK9</v>
      </c>
    </row>
    <row r="55" spans="6:34" x14ac:dyDescent="0.35">
      <c r="F55" s="76" t="s">
        <v>398</v>
      </c>
      <c r="G55" s="76" t="s">
        <v>316</v>
      </c>
      <c r="H55" s="76">
        <v>3</v>
      </c>
      <c r="I55" s="76" t="str">
        <f t="shared" si="0"/>
        <v>CLK3</v>
      </c>
      <c r="J55" s="77">
        <v>45007</v>
      </c>
      <c r="K55" s="77">
        <v>45036</v>
      </c>
      <c r="L55" s="77" t="str">
        <f t="shared" si="5"/>
        <v>CLK3</v>
      </c>
      <c r="N55" s="78" t="s">
        <v>399</v>
      </c>
      <c r="O55" s="78" t="s">
        <v>316</v>
      </c>
      <c r="P55" s="78">
        <v>3</v>
      </c>
      <c r="Q55" s="78" t="str">
        <f t="shared" si="6"/>
        <v>LCOK3</v>
      </c>
      <c r="R55" s="79">
        <v>44986</v>
      </c>
      <c r="S55" s="79">
        <v>45016</v>
      </c>
      <c r="T55" s="79" t="str">
        <f t="shared" si="7"/>
        <v>LCOK3</v>
      </c>
      <c r="U55" s="79" t="str">
        <f t="shared" si="8"/>
        <v>LCOM3</v>
      </c>
      <c r="V55" s="79" t="str">
        <f t="shared" si="9"/>
        <v>LCON3</v>
      </c>
      <c r="W55" s="79" t="str">
        <f t="shared" si="10"/>
        <v>LCOQ3</v>
      </c>
      <c r="Y55" s="74">
        <f t="shared" si="17"/>
        <v>43458</v>
      </c>
      <c r="Z55" s="74">
        <f t="shared" ca="1" si="2"/>
        <v>43487</v>
      </c>
      <c r="AA55" s="80" t="str">
        <f t="shared" ca="1" si="3"/>
        <v>CLG9</v>
      </c>
      <c r="AB55" s="74">
        <f t="shared" si="11"/>
        <v>43462</v>
      </c>
      <c r="AC55" s="80" t="str">
        <f t="shared" si="4"/>
        <v>LCOG9</v>
      </c>
      <c r="AD55" s="80" t="str">
        <f t="shared" si="12"/>
        <v>CLG9</v>
      </c>
      <c r="AE55" s="80" t="str">
        <f t="shared" si="13"/>
        <v>LCOH9</v>
      </c>
      <c r="AF55" s="80" t="str">
        <f t="shared" si="14"/>
        <v>CLH9</v>
      </c>
      <c r="AG55" s="80" t="str">
        <f t="shared" si="15"/>
        <v>LCOJ9</v>
      </c>
      <c r="AH55" s="80" t="str">
        <f t="shared" si="16"/>
        <v>LCOK9</v>
      </c>
    </row>
    <row r="56" spans="6:34" x14ac:dyDescent="0.35">
      <c r="F56" s="76" t="s">
        <v>398</v>
      </c>
      <c r="G56" s="76" t="s">
        <v>318</v>
      </c>
      <c r="H56" s="76">
        <v>3</v>
      </c>
      <c r="I56" s="76" t="str">
        <f t="shared" si="0"/>
        <v>CLM3</v>
      </c>
      <c r="J56" s="77">
        <v>45037</v>
      </c>
      <c r="K56" s="77">
        <v>45068</v>
      </c>
      <c r="L56" s="77" t="str">
        <f t="shared" si="5"/>
        <v>CLM3</v>
      </c>
      <c r="N56" s="78" t="s">
        <v>399</v>
      </c>
      <c r="O56" s="78" t="s">
        <v>318</v>
      </c>
      <c r="P56" s="78">
        <v>3</v>
      </c>
      <c r="Q56" s="78" t="str">
        <f t="shared" si="6"/>
        <v>LCOM3</v>
      </c>
      <c r="R56" s="79">
        <v>45017</v>
      </c>
      <c r="S56" s="79">
        <v>45044</v>
      </c>
      <c r="T56" s="79" t="str">
        <f t="shared" si="7"/>
        <v>LCOM3</v>
      </c>
      <c r="U56" s="79" t="str">
        <f t="shared" si="8"/>
        <v>LCON3</v>
      </c>
      <c r="V56" s="79" t="str">
        <f t="shared" si="9"/>
        <v>LCOQ3</v>
      </c>
      <c r="W56" s="79" t="str">
        <f t="shared" si="10"/>
        <v>LCOU3</v>
      </c>
      <c r="Y56" s="74">
        <f t="shared" si="17"/>
        <v>43459</v>
      </c>
      <c r="Z56" s="74">
        <f t="shared" ca="1" si="2"/>
        <v>43487</v>
      </c>
      <c r="AA56" s="80" t="str">
        <f t="shared" ca="1" si="3"/>
        <v>CLG9</v>
      </c>
      <c r="AB56" s="74">
        <f t="shared" si="11"/>
        <v>43462</v>
      </c>
      <c r="AC56" s="80" t="str">
        <f t="shared" si="4"/>
        <v>LCOG9</v>
      </c>
      <c r="AD56" s="80" t="str">
        <f t="shared" si="12"/>
        <v>CLG9</v>
      </c>
      <c r="AE56" s="80" t="str">
        <f t="shared" si="13"/>
        <v>LCOH9</v>
      </c>
      <c r="AF56" s="80" t="str">
        <f t="shared" si="14"/>
        <v>CLH9</v>
      </c>
      <c r="AG56" s="80" t="str">
        <f t="shared" si="15"/>
        <v>LCOJ9</v>
      </c>
      <c r="AH56" s="80" t="str">
        <f t="shared" si="16"/>
        <v>LCOK9</v>
      </c>
    </row>
    <row r="57" spans="6:34" x14ac:dyDescent="0.35">
      <c r="F57" s="76" t="s">
        <v>398</v>
      </c>
      <c r="G57" s="76" t="s">
        <v>320</v>
      </c>
      <c r="H57" s="76">
        <v>3</v>
      </c>
      <c r="I57" s="76" t="str">
        <f t="shared" si="0"/>
        <v>CLN3</v>
      </c>
      <c r="J57" s="77">
        <v>45069</v>
      </c>
      <c r="K57" s="77">
        <v>45097</v>
      </c>
      <c r="L57" s="77" t="str">
        <f t="shared" si="5"/>
        <v>CLN3</v>
      </c>
      <c r="N57" s="78" t="s">
        <v>399</v>
      </c>
      <c r="O57" s="78" t="s">
        <v>320</v>
      </c>
      <c r="P57" s="78">
        <v>3</v>
      </c>
      <c r="Q57" s="78" t="str">
        <f t="shared" si="6"/>
        <v>LCON3</v>
      </c>
      <c r="R57" s="79">
        <v>45045</v>
      </c>
      <c r="S57" s="79">
        <v>45077</v>
      </c>
      <c r="T57" s="79" t="str">
        <f t="shared" si="7"/>
        <v>LCON3</v>
      </c>
      <c r="U57" s="79" t="str">
        <f t="shared" si="8"/>
        <v>LCOQ3</v>
      </c>
      <c r="V57" s="79" t="str">
        <f t="shared" si="9"/>
        <v>LCOU3</v>
      </c>
      <c r="W57" s="79" t="str">
        <f t="shared" si="10"/>
        <v>LCOV3</v>
      </c>
      <c r="Y57" s="74">
        <f t="shared" si="17"/>
        <v>43460</v>
      </c>
      <c r="Z57" s="74">
        <f t="shared" ca="1" si="2"/>
        <v>43487</v>
      </c>
      <c r="AA57" s="80" t="str">
        <f t="shared" ca="1" si="3"/>
        <v>CLG9</v>
      </c>
      <c r="AB57" s="74">
        <f t="shared" si="11"/>
        <v>43462</v>
      </c>
      <c r="AC57" s="80" t="str">
        <f t="shared" si="4"/>
        <v>LCOG9</v>
      </c>
      <c r="AD57" s="80" t="str">
        <f t="shared" si="12"/>
        <v>CLG9</v>
      </c>
      <c r="AE57" s="80" t="str">
        <f t="shared" si="13"/>
        <v>LCOH9</v>
      </c>
      <c r="AF57" s="80" t="str">
        <f t="shared" si="14"/>
        <v>CLH9</v>
      </c>
      <c r="AG57" s="80" t="str">
        <f t="shared" si="15"/>
        <v>LCOJ9</v>
      </c>
      <c r="AH57" s="80" t="str">
        <f t="shared" si="16"/>
        <v>LCOK9</v>
      </c>
    </row>
    <row r="58" spans="6:34" x14ac:dyDescent="0.35">
      <c r="F58" s="76" t="s">
        <v>398</v>
      </c>
      <c r="G58" s="76" t="s">
        <v>322</v>
      </c>
      <c r="H58" s="76">
        <v>3</v>
      </c>
      <c r="I58" s="76" t="str">
        <f t="shared" si="0"/>
        <v>CLQ3</v>
      </c>
      <c r="J58" s="77">
        <v>45098</v>
      </c>
      <c r="K58" s="77">
        <v>45127</v>
      </c>
      <c r="L58" s="77" t="str">
        <f t="shared" si="5"/>
        <v>CLQ3</v>
      </c>
      <c r="N58" s="78" t="s">
        <v>399</v>
      </c>
      <c r="O58" s="78" t="s">
        <v>322</v>
      </c>
      <c r="P58" s="78">
        <v>3</v>
      </c>
      <c r="Q58" s="78" t="str">
        <f t="shared" si="6"/>
        <v>LCOQ3</v>
      </c>
      <c r="R58" s="79">
        <v>45078</v>
      </c>
      <c r="S58" s="79">
        <v>45107</v>
      </c>
      <c r="T58" s="79" t="str">
        <f t="shared" si="7"/>
        <v>LCOQ3</v>
      </c>
      <c r="U58" s="79" t="str">
        <f t="shared" si="8"/>
        <v>LCOU3</v>
      </c>
      <c r="V58" s="79" t="str">
        <f t="shared" si="9"/>
        <v>LCOV3</v>
      </c>
      <c r="W58" s="79" t="str">
        <f t="shared" si="10"/>
        <v>LCOX3</v>
      </c>
      <c r="Y58" s="74">
        <f t="shared" si="17"/>
        <v>43461</v>
      </c>
      <c r="Z58" s="74">
        <f t="shared" ca="1" si="2"/>
        <v>43487</v>
      </c>
      <c r="AA58" s="80" t="str">
        <f t="shared" ca="1" si="3"/>
        <v>CLG9</v>
      </c>
      <c r="AB58" s="74">
        <f t="shared" si="11"/>
        <v>43462</v>
      </c>
      <c r="AC58" s="80" t="str">
        <f t="shared" si="4"/>
        <v>LCOG9</v>
      </c>
      <c r="AD58" s="80" t="str">
        <f t="shared" si="12"/>
        <v>CLG9</v>
      </c>
      <c r="AE58" s="80" t="str">
        <f t="shared" si="13"/>
        <v>LCOH9</v>
      </c>
      <c r="AF58" s="80" t="str">
        <f t="shared" si="14"/>
        <v>CLH9</v>
      </c>
      <c r="AG58" s="80" t="str">
        <f t="shared" si="15"/>
        <v>LCOJ9</v>
      </c>
      <c r="AH58" s="80" t="str">
        <f t="shared" si="16"/>
        <v>LCOK9</v>
      </c>
    </row>
    <row r="59" spans="6:34" x14ac:dyDescent="0.35">
      <c r="F59" s="76" t="s">
        <v>398</v>
      </c>
      <c r="G59" s="76" t="s">
        <v>324</v>
      </c>
      <c r="H59" s="76">
        <v>3</v>
      </c>
      <c r="I59" s="76" t="str">
        <f t="shared" si="0"/>
        <v>CLU3</v>
      </c>
      <c r="J59" s="77">
        <v>45128</v>
      </c>
      <c r="K59" s="77">
        <v>45160</v>
      </c>
      <c r="L59" s="77" t="str">
        <f t="shared" si="5"/>
        <v>CLU3</v>
      </c>
      <c r="N59" s="78" t="s">
        <v>399</v>
      </c>
      <c r="O59" s="78" t="s">
        <v>324</v>
      </c>
      <c r="P59" s="78">
        <v>3</v>
      </c>
      <c r="Q59" s="78" t="str">
        <f t="shared" si="6"/>
        <v>LCOU3</v>
      </c>
      <c r="R59" s="79">
        <v>45108</v>
      </c>
      <c r="S59" s="79">
        <v>45138</v>
      </c>
      <c r="T59" s="79" t="str">
        <f t="shared" si="7"/>
        <v>LCOU3</v>
      </c>
      <c r="U59" s="79" t="str">
        <f t="shared" si="8"/>
        <v>LCOV3</v>
      </c>
      <c r="V59" s="79" t="str">
        <f t="shared" si="9"/>
        <v>LCOX3</v>
      </c>
      <c r="W59" s="79" t="str">
        <f t="shared" si="10"/>
        <v>LCOZ3</v>
      </c>
      <c r="Y59" s="74">
        <f t="shared" si="17"/>
        <v>43462</v>
      </c>
      <c r="Z59" s="74">
        <f t="shared" ca="1" si="2"/>
        <v>43487</v>
      </c>
      <c r="AA59" s="80" t="str">
        <f t="shared" ca="1" si="3"/>
        <v>CLG9</v>
      </c>
      <c r="AB59" s="74">
        <f t="shared" si="11"/>
        <v>43462</v>
      </c>
      <c r="AC59" s="80" t="str">
        <f t="shared" si="4"/>
        <v>LCOG9</v>
      </c>
      <c r="AD59" s="80" t="str">
        <f t="shared" si="12"/>
        <v>CLG9</v>
      </c>
      <c r="AE59" s="80" t="str">
        <f t="shared" si="13"/>
        <v>LCOH9</v>
      </c>
      <c r="AF59" s="80" t="str">
        <f t="shared" si="14"/>
        <v>CLH9</v>
      </c>
      <c r="AG59" s="80" t="str">
        <f t="shared" si="15"/>
        <v>LCOJ9</v>
      </c>
      <c r="AH59" s="80" t="str">
        <f t="shared" si="16"/>
        <v>LCOK9</v>
      </c>
    </row>
    <row r="60" spans="6:34" x14ac:dyDescent="0.35">
      <c r="F60" s="76" t="s">
        <v>398</v>
      </c>
      <c r="G60" s="76" t="s">
        <v>326</v>
      </c>
      <c r="H60" s="76">
        <v>3</v>
      </c>
      <c r="I60" s="76" t="str">
        <f t="shared" si="0"/>
        <v>CLV3</v>
      </c>
      <c r="J60" s="77">
        <v>45161</v>
      </c>
      <c r="K60" s="77">
        <v>45189</v>
      </c>
      <c r="L60" s="77" t="str">
        <f t="shared" si="5"/>
        <v>CLV3</v>
      </c>
      <c r="N60" s="78" t="s">
        <v>399</v>
      </c>
      <c r="O60" s="78" t="s">
        <v>326</v>
      </c>
      <c r="P60" s="78">
        <v>3</v>
      </c>
      <c r="Q60" s="78" t="str">
        <f t="shared" si="6"/>
        <v>LCOV3</v>
      </c>
      <c r="R60" s="79">
        <v>45139</v>
      </c>
      <c r="S60" s="79">
        <v>45169</v>
      </c>
      <c r="T60" s="79" t="str">
        <f t="shared" si="7"/>
        <v>LCOV3</v>
      </c>
      <c r="U60" s="79" t="str">
        <f t="shared" si="8"/>
        <v>LCOX3</v>
      </c>
      <c r="V60" s="79" t="str">
        <f t="shared" si="9"/>
        <v>LCOZ3</v>
      </c>
      <c r="W60" s="79" t="str">
        <f t="shared" si="10"/>
        <v>LCOF4</v>
      </c>
      <c r="Y60" s="74">
        <f t="shared" si="17"/>
        <v>43463</v>
      </c>
      <c r="Z60" s="74">
        <f t="shared" ca="1" si="2"/>
        <v>43487</v>
      </c>
      <c r="AA60" s="80" t="str">
        <f t="shared" ca="1" si="3"/>
        <v>CLG9</v>
      </c>
      <c r="AB60" s="74">
        <f t="shared" si="11"/>
        <v>43496</v>
      </c>
      <c r="AC60" s="80" t="str">
        <f t="shared" si="4"/>
        <v>LCOH9</v>
      </c>
      <c r="AD60" s="80" t="str">
        <f t="shared" si="12"/>
        <v>CLH9</v>
      </c>
      <c r="AE60" s="80" t="str">
        <f t="shared" si="13"/>
        <v>LCOJ9</v>
      </c>
      <c r="AF60" s="80" t="str">
        <f t="shared" si="14"/>
        <v>CLJ9</v>
      </c>
      <c r="AG60" s="80" t="str">
        <f t="shared" si="15"/>
        <v>LCOK9</v>
      </c>
      <c r="AH60" s="80" t="str">
        <f t="shared" si="16"/>
        <v>LCOM9</v>
      </c>
    </row>
    <row r="61" spans="6:34" x14ac:dyDescent="0.35">
      <c r="F61" s="76" t="s">
        <v>398</v>
      </c>
      <c r="G61" s="76" t="s">
        <v>328</v>
      </c>
      <c r="H61" s="76">
        <v>3</v>
      </c>
      <c r="I61" s="76" t="str">
        <f t="shared" si="0"/>
        <v>CLX3</v>
      </c>
      <c r="J61" s="77">
        <v>45190</v>
      </c>
      <c r="K61" s="77">
        <v>45219</v>
      </c>
      <c r="L61" s="77" t="str">
        <f t="shared" si="5"/>
        <v>CLX3</v>
      </c>
      <c r="N61" s="78" t="s">
        <v>399</v>
      </c>
      <c r="O61" s="78" t="s">
        <v>328</v>
      </c>
      <c r="P61" s="78">
        <v>3</v>
      </c>
      <c r="Q61" s="78" t="str">
        <f t="shared" si="6"/>
        <v>LCOX3</v>
      </c>
      <c r="R61" s="79">
        <v>45170</v>
      </c>
      <c r="S61" s="79">
        <v>45198</v>
      </c>
      <c r="T61" s="79" t="str">
        <f t="shared" si="7"/>
        <v>LCOX3</v>
      </c>
      <c r="U61" s="79" t="str">
        <f t="shared" si="8"/>
        <v>LCOZ3</v>
      </c>
      <c r="V61" s="79" t="str">
        <f t="shared" si="9"/>
        <v>LCOF4</v>
      </c>
      <c r="W61" s="79" t="str">
        <f t="shared" si="10"/>
        <v>LCOG4</v>
      </c>
      <c r="Y61" s="74">
        <f t="shared" si="17"/>
        <v>43464</v>
      </c>
      <c r="Z61" s="74">
        <f t="shared" ca="1" si="2"/>
        <v>43487</v>
      </c>
      <c r="AA61" s="80" t="str">
        <f t="shared" ca="1" si="3"/>
        <v>CLG9</v>
      </c>
      <c r="AB61" s="74">
        <f t="shared" si="11"/>
        <v>43496</v>
      </c>
      <c r="AC61" s="80" t="str">
        <f t="shared" si="4"/>
        <v>LCOH9</v>
      </c>
      <c r="AD61" s="80" t="str">
        <f t="shared" si="12"/>
        <v>CLH9</v>
      </c>
      <c r="AE61" s="80" t="str">
        <f t="shared" si="13"/>
        <v>LCOJ9</v>
      </c>
      <c r="AF61" s="80" t="str">
        <f t="shared" si="14"/>
        <v>CLJ9</v>
      </c>
      <c r="AG61" s="80" t="str">
        <f t="shared" si="15"/>
        <v>LCOK9</v>
      </c>
      <c r="AH61" s="80" t="str">
        <f t="shared" si="16"/>
        <v>LCOM9</v>
      </c>
    </row>
    <row r="62" spans="6:34" x14ac:dyDescent="0.35">
      <c r="F62" s="76" t="s">
        <v>398</v>
      </c>
      <c r="G62" s="76" t="s">
        <v>330</v>
      </c>
      <c r="H62" s="76">
        <v>3</v>
      </c>
      <c r="I62" s="76" t="str">
        <f t="shared" si="0"/>
        <v>CLZ3</v>
      </c>
      <c r="J62" s="77">
        <v>45220</v>
      </c>
      <c r="K62" s="77">
        <v>45250</v>
      </c>
      <c r="L62" s="77" t="str">
        <f t="shared" si="5"/>
        <v>CLZ3</v>
      </c>
      <c r="N62" s="78" t="s">
        <v>399</v>
      </c>
      <c r="O62" s="78" t="s">
        <v>330</v>
      </c>
      <c r="P62" s="78">
        <v>3</v>
      </c>
      <c r="Q62" s="78" t="str">
        <f t="shared" si="6"/>
        <v>LCOZ3</v>
      </c>
      <c r="R62" s="79">
        <v>45199</v>
      </c>
      <c r="S62" s="79">
        <v>45230</v>
      </c>
      <c r="T62" s="79" t="str">
        <f t="shared" si="7"/>
        <v>LCOZ3</v>
      </c>
      <c r="U62" s="79" t="str">
        <f t="shared" si="8"/>
        <v>LCOF4</v>
      </c>
      <c r="V62" s="79" t="str">
        <f t="shared" si="9"/>
        <v>LCOG4</v>
      </c>
      <c r="W62" s="79" t="str">
        <f t="shared" si="10"/>
        <v>LCOH4</v>
      </c>
      <c r="Y62" s="74">
        <f t="shared" si="17"/>
        <v>43465</v>
      </c>
      <c r="Z62" s="74">
        <f t="shared" ca="1" si="2"/>
        <v>43487</v>
      </c>
      <c r="AA62" s="80" t="str">
        <f t="shared" ca="1" si="3"/>
        <v>CLG9</v>
      </c>
      <c r="AB62" s="74">
        <f t="shared" si="11"/>
        <v>43496</v>
      </c>
      <c r="AC62" s="80" t="str">
        <f t="shared" si="4"/>
        <v>LCOH9</v>
      </c>
      <c r="AD62" s="80" t="str">
        <f t="shared" si="12"/>
        <v>CLH9</v>
      </c>
      <c r="AE62" s="80" t="str">
        <f t="shared" si="13"/>
        <v>LCOJ9</v>
      </c>
      <c r="AF62" s="80" t="str">
        <f t="shared" si="14"/>
        <v>CLJ9</v>
      </c>
      <c r="AG62" s="80" t="str">
        <f t="shared" si="15"/>
        <v>LCOK9</v>
      </c>
      <c r="AH62" s="80" t="str">
        <f t="shared" si="16"/>
        <v>LCOM9</v>
      </c>
    </row>
    <row r="63" spans="6:34" x14ac:dyDescent="0.35">
      <c r="F63" s="76" t="s">
        <v>398</v>
      </c>
      <c r="G63" s="76" t="s">
        <v>308</v>
      </c>
      <c r="H63" s="76">
        <v>4</v>
      </c>
      <c r="I63" s="76" t="str">
        <f t="shared" si="0"/>
        <v>CLF4</v>
      </c>
      <c r="J63" s="77">
        <f t="shared" ref="J63:J74" si="18">K62+1</f>
        <v>45251</v>
      </c>
      <c r="K63" s="77" t="e">
        <f ca="1">_xll.RtGet("IDN",I63,"EXPIR_DATE")</f>
        <v>#NAME?</v>
      </c>
      <c r="L63" s="77" t="str">
        <f t="shared" si="5"/>
        <v>CLF4</v>
      </c>
      <c r="N63" s="78" t="s">
        <v>399</v>
      </c>
      <c r="O63" s="78" t="s">
        <v>308</v>
      </c>
      <c r="P63" s="78">
        <v>4</v>
      </c>
      <c r="Q63" s="78" t="str">
        <f t="shared" si="6"/>
        <v>LCOF4</v>
      </c>
      <c r="R63" s="79">
        <v>45231</v>
      </c>
      <c r="S63" s="79">
        <v>45260</v>
      </c>
      <c r="T63" s="79" t="str">
        <f t="shared" si="7"/>
        <v>LCOF4</v>
      </c>
      <c r="U63" s="79" t="str">
        <f t="shared" si="8"/>
        <v>LCOG4</v>
      </c>
      <c r="V63" s="79" t="str">
        <f t="shared" si="9"/>
        <v>LCOH4</v>
      </c>
      <c r="W63" s="79" t="str">
        <f t="shared" si="10"/>
        <v>LCOJ4</v>
      </c>
      <c r="Y63" s="74">
        <f t="shared" si="17"/>
        <v>43466</v>
      </c>
      <c r="Z63" s="74">
        <f t="shared" ca="1" si="2"/>
        <v>43487</v>
      </c>
      <c r="AA63" s="80" t="str">
        <f t="shared" ca="1" si="3"/>
        <v>CLG9</v>
      </c>
      <c r="AB63" s="74">
        <f t="shared" si="11"/>
        <v>43496</v>
      </c>
      <c r="AC63" s="80" t="str">
        <f t="shared" si="4"/>
        <v>LCOH9</v>
      </c>
      <c r="AD63" s="80" t="str">
        <f t="shared" si="12"/>
        <v>CLH9</v>
      </c>
      <c r="AE63" s="80" t="str">
        <f t="shared" si="13"/>
        <v>LCOJ9</v>
      </c>
      <c r="AF63" s="80" t="str">
        <f t="shared" si="14"/>
        <v>CLJ9</v>
      </c>
      <c r="AG63" s="80" t="str">
        <f t="shared" si="15"/>
        <v>LCOK9</v>
      </c>
      <c r="AH63" s="80" t="str">
        <f t="shared" si="16"/>
        <v>LCOM9</v>
      </c>
    </row>
    <row r="64" spans="6:34" x14ac:dyDescent="0.35">
      <c r="F64" s="76" t="s">
        <v>398</v>
      </c>
      <c r="G64" s="76" t="s">
        <v>310</v>
      </c>
      <c r="H64" s="76">
        <v>4</v>
      </c>
      <c r="I64" s="76" t="str">
        <f t="shared" si="0"/>
        <v>CLG4</v>
      </c>
      <c r="J64" s="77" t="e">
        <f t="shared" ca="1" si="18"/>
        <v>#NAME?</v>
      </c>
      <c r="K64" s="77" t="e">
        <f ca="1">_xll.RtGet("IDN",I64,"EXPIR_DATE")</f>
        <v>#NAME?</v>
      </c>
      <c r="L64" s="77" t="str">
        <f t="shared" si="5"/>
        <v>CLG4</v>
      </c>
      <c r="N64" s="78" t="s">
        <v>399</v>
      </c>
      <c r="O64" s="78" t="s">
        <v>310</v>
      </c>
      <c r="P64" s="78">
        <v>4</v>
      </c>
      <c r="Q64" s="78" t="str">
        <f t="shared" si="6"/>
        <v>LCOG4</v>
      </c>
      <c r="R64" s="79">
        <v>45261</v>
      </c>
      <c r="S64" s="79">
        <v>45288</v>
      </c>
      <c r="T64" s="79" t="str">
        <f t="shared" si="7"/>
        <v>LCOG4</v>
      </c>
      <c r="U64" s="79" t="str">
        <f t="shared" si="8"/>
        <v>LCOH4</v>
      </c>
      <c r="V64" s="79" t="str">
        <f t="shared" si="9"/>
        <v>LCOJ4</v>
      </c>
      <c r="W64" s="79" t="str">
        <f t="shared" si="10"/>
        <v>LCOK4</v>
      </c>
      <c r="Y64" s="74">
        <f t="shared" si="17"/>
        <v>43467</v>
      </c>
      <c r="Z64" s="74">
        <f t="shared" ca="1" si="2"/>
        <v>43487</v>
      </c>
      <c r="AA64" s="80" t="str">
        <f t="shared" ca="1" si="3"/>
        <v>CLG9</v>
      </c>
      <c r="AB64" s="74">
        <f t="shared" si="11"/>
        <v>43496</v>
      </c>
      <c r="AC64" s="80" t="str">
        <f t="shared" si="4"/>
        <v>LCOH9</v>
      </c>
      <c r="AD64" s="80" t="str">
        <f t="shared" si="12"/>
        <v>CLH9</v>
      </c>
      <c r="AE64" s="80" t="str">
        <f t="shared" si="13"/>
        <v>LCOJ9</v>
      </c>
      <c r="AF64" s="80" t="str">
        <f t="shared" si="14"/>
        <v>CLJ9</v>
      </c>
      <c r="AG64" s="80" t="str">
        <f t="shared" si="15"/>
        <v>LCOK9</v>
      </c>
      <c r="AH64" s="80" t="str">
        <f t="shared" si="16"/>
        <v>LCOM9</v>
      </c>
    </row>
    <row r="65" spans="6:34" x14ac:dyDescent="0.35">
      <c r="F65" s="76" t="s">
        <v>398</v>
      </c>
      <c r="G65" s="76" t="s">
        <v>312</v>
      </c>
      <c r="H65" s="76">
        <v>4</v>
      </c>
      <c r="I65" s="76" t="str">
        <f t="shared" si="0"/>
        <v>CLH4</v>
      </c>
      <c r="J65" s="77" t="e">
        <f t="shared" ca="1" si="18"/>
        <v>#NAME?</v>
      </c>
      <c r="K65" s="77" t="e">
        <f ca="1">_xll.RtGet("IDN",I65,"EXPIR_DATE")</f>
        <v>#NAME?</v>
      </c>
      <c r="L65" s="77" t="str">
        <f t="shared" si="5"/>
        <v>CLH4</v>
      </c>
      <c r="N65" s="78" t="s">
        <v>399</v>
      </c>
      <c r="O65" s="78" t="s">
        <v>312</v>
      </c>
      <c r="P65" s="78">
        <v>4</v>
      </c>
      <c r="Q65" s="78" t="str">
        <f t="shared" si="6"/>
        <v>LCOH4</v>
      </c>
      <c r="R65" s="79">
        <v>45289</v>
      </c>
      <c r="S65" s="79">
        <v>45322</v>
      </c>
      <c r="T65" s="79" t="str">
        <f t="shared" si="7"/>
        <v>LCOH4</v>
      </c>
      <c r="U65" s="79" t="str">
        <f t="shared" si="8"/>
        <v>LCOJ4</v>
      </c>
      <c r="V65" s="79" t="str">
        <f t="shared" si="9"/>
        <v>LCOK4</v>
      </c>
      <c r="W65" s="79" t="str">
        <f t="shared" si="10"/>
        <v>LCOM4</v>
      </c>
      <c r="Y65" s="74">
        <f t="shared" si="17"/>
        <v>43468</v>
      </c>
      <c r="Z65" s="74">
        <f t="shared" ca="1" si="2"/>
        <v>43487</v>
      </c>
      <c r="AA65" s="80" t="str">
        <f t="shared" ca="1" si="3"/>
        <v>CLG9</v>
      </c>
      <c r="AB65" s="74">
        <f t="shared" si="11"/>
        <v>43496</v>
      </c>
      <c r="AC65" s="80" t="str">
        <f t="shared" si="4"/>
        <v>LCOH9</v>
      </c>
      <c r="AD65" s="80" t="str">
        <f t="shared" si="12"/>
        <v>CLH9</v>
      </c>
      <c r="AE65" s="80" t="str">
        <f t="shared" si="13"/>
        <v>LCOJ9</v>
      </c>
      <c r="AF65" s="80" t="str">
        <f t="shared" si="14"/>
        <v>CLJ9</v>
      </c>
      <c r="AG65" s="80" t="str">
        <f t="shared" si="15"/>
        <v>LCOK9</v>
      </c>
      <c r="AH65" s="80" t="str">
        <f t="shared" si="16"/>
        <v>LCOM9</v>
      </c>
    </row>
    <row r="66" spans="6:34" x14ac:dyDescent="0.35">
      <c r="F66" s="76" t="s">
        <v>398</v>
      </c>
      <c r="G66" s="76" t="s">
        <v>314</v>
      </c>
      <c r="H66" s="76">
        <v>4</v>
      </c>
      <c r="I66" s="76" t="str">
        <f t="shared" ref="I66:I74" si="19">CONCATENATE(F66,G66,H66)</f>
        <v>CLJ4</v>
      </c>
      <c r="J66" s="77" t="e">
        <f t="shared" ca="1" si="18"/>
        <v>#NAME?</v>
      </c>
      <c r="K66" s="77" t="e">
        <f ca="1">_xll.RtGet("IDN",I66,"EXPIR_DATE")</f>
        <v>#NAME?</v>
      </c>
      <c r="L66" s="77" t="str">
        <f t="shared" si="5"/>
        <v>CLJ4</v>
      </c>
      <c r="N66" s="78" t="s">
        <v>399</v>
      </c>
      <c r="O66" s="78" t="s">
        <v>314</v>
      </c>
      <c r="P66" s="78">
        <v>4</v>
      </c>
      <c r="Q66" s="78" t="str">
        <f t="shared" si="6"/>
        <v>LCOJ4</v>
      </c>
      <c r="R66" s="79">
        <v>45323</v>
      </c>
      <c r="S66" s="79">
        <v>45351</v>
      </c>
      <c r="T66" s="79" t="str">
        <f t="shared" si="7"/>
        <v>LCOJ4</v>
      </c>
      <c r="U66" s="79" t="str">
        <f t="shared" si="8"/>
        <v>LCOK4</v>
      </c>
      <c r="V66" s="79" t="str">
        <f t="shared" si="9"/>
        <v>LCOM4</v>
      </c>
      <c r="W66" s="79" t="str">
        <f t="shared" si="10"/>
        <v>LCON4</v>
      </c>
      <c r="Y66" s="74">
        <f t="shared" si="17"/>
        <v>43469</v>
      </c>
      <c r="Z66" s="74">
        <f t="shared" ref="Z66:Z129" ca="1" si="20">VLOOKUP(AA66,$I$2:$K$39,3,FALSE)</f>
        <v>43487</v>
      </c>
      <c r="AA66" s="80" t="str">
        <f t="shared" ref="AA66:AA129" ca="1" si="21">LOOKUP(2,1/($J$2:$J$700&lt;=$Y66)/($K$2:$K$700&gt;=$Y66),$L$2:$L$700)</f>
        <v>CLG9</v>
      </c>
      <c r="AB66" s="74">
        <f t="shared" si="11"/>
        <v>43496</v>
      </c>
      <c r="AC66" s="80" t="str">
        <f t="shared" ref="AC66:AC129" si="22">LOOKUP(2,1/($R$2:$R$700&lt;=$Y66)/($S$2:$S$700&gt;=$Y66),$T$2:$T$700)</f>
        <v>LCOH9</v>
      </c>
      <c r="AD66" s="80" t="str">
        <f t="shared" si="12"/>
        <v>CLH9</v>
      </c>
      <c r="AE66" s="80" t="str">
        <f t="shared" si="13"/>
        <v>LCOJ9</v>
      </c>
      <c r="AF66" s="80" t="str">
        <f t="shared" si="14"/>
        <v>CLJ9</v>
      </c>
      <c r="AG66" s="80" t="str">
        <f t="shared" si="15"/>
        <v>LCOK9</v>
      </c>
      <c r="AH66" s="80" t="str">
        <f t="shared" si="16"/>
        <v>LCOM9</v>
      </c>
    </row>
    <row r="67" spans="6:34" x14ac:dyDescent="0.35">
      <c r="F67" s="76" t="s">
        <v>398</v>
      </c>
      <c r="G67" s="76" t="s">
        <v>316</v>
      </c>
      <c r="H67" s="76">
        <v>4</v>
      </c>
      <c r="I67" s="76" t="str">
        <f t="shared" si="19"/>
        <v>CLK4</v>
      </c>
      <c r="J67" s="77" t="e">
        <f t="shared" ca="1" si="18"/>
        <v>#NAME?</v>
      </c>
      <c r="K67" s="77" t="e">
        <f ca="1">_xll.RtGet("IDN",I67,"EXPIR_DATE")</f>
        <v>#NAME?</v>
      </c>
      <c r="L67" s="77" t="str">
        <f t="shared" ref="L67:L74" si="23">I67</f>
        <v>CLK4</v>
      </c>
      <c r="N67" s="78" t="s">
        <v>399</v>
      </c>
      <c r="O67" s="78" t="s">
        <v>316</v>
      </c>
      <c r="P67" s="78">
        <v>4</v>
      </c>
      <c r="Q67" s="78" t="str">
        <f t="shared" ref="Q67:Q74" si="24">CONCATENATE(N67,O67,P67)</f>
        <v>LCOK4</v>
      </c>
      <c r="R67" s="79">
        <v>45352</v>
      </c>
      <c r="S67" s="79">
        <v>45379</v>
      </c>
      <c r="T67" s="79" t="str">
        <f t="shared" ref="T67:T74" si="25">Q67</f>
        <v>LCOK4</v>
      </c>
      <c r="U67" s="79" t="str">
        <f t="shared" ref="U67:U74" si="26">CONCATENATE(N68,O68,P68)</f>
        <v>LCOM4</v>
      </c>
      <c r="V67" s="79" t="str">
        <f t="shared" ref="V67:V74" si="27">CONCATENATE(N69,O69,P69)</f>
        <v>LCON4</v>
      </c>
      <c r="W67" s="79" t="str">
        <f t="shared" ref="W67:W74" si="28">CONCATENATE(N70,O70,P70)</f>
        <v>LCOQ4</v>
      </c>
      <c r="Y67" s="74">
        <f t="shared" si="17"/>
        <v>43470</v>
      </c>
      <c r="Z67" s="74">
        <f t="shared" ca="1" si="20"/>
        <v>43487</v>
      </c>
      <c r="AA67" s="80" t="str">
        <f t="shared" ca="1" si="21"/>
        <v>CLG9</v>
      </c>
      <c r="AB67" s="74">
        <f t="shared" ref="AB67:AB130" si="29">VLOOKUP(AC67,$Q$2:$S$39,3,FALSE)</f>
        <v>43496</v>
      </c>
      <c r="AC67" s="80" t="str">
        <f t="shared" si="22"/>
        <v>LCOH9</v>
      </c>
      <c r="AD67" s="80" t="str">
        <f t="shared" ref="AD67:AD130" si="30">CONCATENATE("CL",RIGHT(AC67,2))</f>
        <v>CLH9</v>
      </c>
      <c r="AE67" s="80" t="str">
        <f t="shared" ref="AE67:AE130" si="31">LOOKUP(2,1/($R$2:$R$700&lt;=$Y67)/($S$2:$S$700&gt;=$Y67),$U$2:$U$700)</f>
        <v>LCOJ9</v>
      </c>
      <c r="AF67" s="80" t="str">
        <f t="shared" ref="AF67:AF130" si="32">CONCATENATE("CL",RIGHT(AE67,2))</f>
        <v>CLJ9</v>
      </c>
      <c r="AG67" s="80" t="str">
        <f t="shared" ref="AG67:AG130" si="33">LOOKUP(2,1/($R$2:$R$700&lt;=$Y67)/($S$2:$S$700&gt;=$Y67),$V$2:$V$700)</f>
        <v>LCOK9</v>
      </c>
      <c r="AH67" s="80" t="str">
        <f t="shared" ref="AH67:AH130" si="34">LOOKUP(2,1/($R$2:$R$700&lt;=$Y67)/($S$2:$S$700&gt;=$Y67),$W$2:$W$700)</f>
        <v>LCOM9</v>
      </c>
    </row>
    <row r="68" spans="6:34" x14ac:dyDescent="0.35">
      <c r="F68" s="76" t="s">
        <v>398</v>
      </c>
      <c r="G68" s="76" t="s">
        <v>318</v>
      </c>
      <c r="H68" s="76">
        <v>4</v>
      </c>
      <c r="I68" s="76" t="str">
        <f t="shared" si="19"/>
        <v>CLM4</v>
      </c>
      <c r="J68" s="77" t="e">
        <f t="shared" ca="1" si="18"/>
        <v>#NAME?</v>
      </c>
      <c r="K68" s="77" t="e">
        <f ca="1">_xll.RtGet("IDN",I68,"EXPIR_DATE")</f>
        <v>#NAME?</v>
      </c>
      <c r="L68" s="77" t="str">
        <f t="shared" si="23"/>
        <v>CLM4</v>
      </c>
      <c r="N68" s="78" t="s">
        <v>399</v>
      </c>
      <c r="O68" s="78" t="s">
        <v>318</v>
      </c>
      <c r="P68" s="78">
        <v>4</v>
      </c>
      <c r="Q68" s="78" t="str">
        <f t="shared" si="24"/>
        <v>LCOM4</v>
      </c>
      <c r="R68" s="79">
        <v>45380</v>
      </c>
      <c r="S68" s="79">
        <v>45412</v>
      </c>
      <c r="T68" s="79" t="str">
        <f t="shared" si="25"/>
        <v>LCOM4</v>
      </c>
      <c r="U68" s="79" t="str">
        <f t="shared" si="26"/>
        <v>LCON4</v>
      </c>
      <c r="V68" s="79" t="str">
        <f t="shared" si="27"/>
        <v>LCOQ4</v>
      </c>
      <c r="W68" s="79" t="str">
        <f t="shared" si="28"/>
        <v>LCOU4</v>
      </c>
      <c r="Y68" s="74">
        <f t="shared" si="17"/>
        <v>43471</v>
      </c>
      <c r="Z68" s="74">
        <f t="shared" ca="1" si="20"/>
        <v>43487</v>
      </c>
      <c r="AA68" s="80" t="str">
        <f t="shared" ca="1" si="21"/>
        <v>CLG9</v>
      </c>
      <c r="AB68" s="74">
        <f t="shared" si="29"/>
        <v>43496</v>
      </c>
      <c r="AC68" s="80" t="str">
        <f t="shared" si="22"/>
        <v>LCOH9</v>
      </c>
      <c r="AD68" s="80" t="str">
        <f t="shared" si="30"/>
        <v>CLH9</v>
      </c>
      <c r="AE68" s="80" t="str">
        <f t="shared" si="31"/>
        <v>LCOJ9</v>
      </c>
      <c r="AF68" s="80" t="str">
        <f t="shared" si="32"/>
        <v>CLJ9</v>
      </c>
      <c r="AG68" s="80" t="str">
        <f t="shared" si="33"/>
        <v>LCOK9</v>
      </c>
      <c r="AH68" s="80" t="str">
        <f t="shared" si="34"/>
        <v>LCOM9</v>
      </c>
    </row>
    <row r="69" spans="6:34" x14ac:dyDescent="0.35">
      <c r="F69" s="76" t="s">
        <v>398</v>
      </c>
      <c r="G69" s="76" t="s">
        <v>320</v>
      </c>
      <c r="H69" s="76">
        <v>4</v>
      </c>
      <c r="I69" s="76" t="str">
        <f t="shared" si="19"/>
        <v>CLN4</v>
      </c>
      <c r="J69" s="77" t="e">
        <f t="shared" ca="1" si="18"/>
        <v>#NAME?</v>
      </c>
      <c r="K69" s="77" t="e">
        <f ca="1">_xll.RtGet("IDN",I69,"EXPIR_DATE")</f>
        <v>#NAME?</v>
      </c>
      <c r="L69" s="77" t="str">
        <f t="shared" si="23"/>
        <v>CLN4</v>
      </c>
      <c r="N69" s="78" t="s">
        <v>399</v>
      </c>
      <c r="O69" s="78" t="s">
        <v>320</v>
      </c>
      <c r="P69" s="78">
        <v>4</v>
      </c>
      <c r="Q69" s="78" t="str">
        <f t="shared" si="24"/>
        <v>LCON4</v>
      </c>
      <c r="R69" s="79">
        <v>45413</v>
      </c>
      <c r="S69" s="79">
        <v>45443</v>
      </c>
      <c r="T69" s="79" t="str">
        <f t="shared" si="25"/>
        <v>LCON4</v>
      </c>
      <c r="U69" s="79" t="str">
        <f t="shared" si="26"/>
        <v>LCOQ4</v>
      </c>
      <c r="V69" s="79" t="str">
        <f t="shared" si="27"/>
        <v>LCOU4</v>
      </c>
      <c r="W69" s="79" t="str">
        <f t="shared" si="28"/>
        <v>LCOV4</v>
      </c>
      <c r="Y69" s="74">
        <f t="shared" si="17"/>
        <v>43472</v>
      </c>
      <c r="Z69" s="74">
        <f t="shared" ca="1" si="20"/>
        <v>43487</v>
      </c>
      <c r="AA69" s="80" t="str">
        <f t="shared" ca="1" si="21"/>
        <v>CLG9</v>
      </c>
      <c r="AB69" s="74">
        <f t="shared" si="29"/>
        <v>43496</v>
      </c>
      <c r="AC69" s="80" t="str">
        <f t="shared" si="22"/>
        <v>LCOH9</v>
      </c>
      <c r="AD69" s="80" t="str">
        <f t="shared" si="30"/>
        <v>CLH9</v>
      </c>
      <c r="AE69" s="80" t="str">
        <f t="shared" si="31"/>
        <v>LCOJ9</v>
      </c>
      <c r="AF69" s="80" t="str">
        <f t="shared" si="32"/>
        <v>CLJ9</v>
      </c>
      <c r="AG69" s="80" t="str">
        <f t="shared" si="33"/>
        <v>LCOK9</v>
      </c>
      <c r="AH69" s="80" t="str">
        <f t="shared" si="34"/>
        <v>LCOM9</v>
      </c>
    </row>
    <row r="70" spans="6:34" x14ac:dyDescent="0.35">
      <c r="F70" s="76" t="s">
        <v>398</v>
      </c>
      <c r="G70" s="76" t="s">
        <v>322</v>
      </c>
      <c r="H70" s="76">
        <v>4</v>
      </c>
      <c r="I70" s="76" t="str">
        <f t="shared" si="19"/>
        <v>CLQ4</v>
      </c>
      <c r="J70" s="77" t="e">
        <f t="shared" ca="1" si="18"/>
        <v>#NAME?</v>
      </c>
      <c r="K70" s="77" t="e">
        <f ca="1">_xll.RtGet("IDN",I70,"EXPIR_DATE")</f>
        <v>#NAME?</v>
      </c>
      <c r="L70" s="77" t="str">
        <f t="shared" si="23"/>
        <v>CLQ4</v>
      </c>
      <c r="N70" s="78" t="s">
        <v>399</v>
      </c>
      <c r="O70" s="78" t="s">
        <v>322</v>
      </c>
      <c r="P70" s="78">
        <v>4</v>
      </c>
      <c r="Q70" s="78" t="str">
        <f t="shared" si="24"/>
        <v>LCOQ4</v>
      </c>
      <c r="R70" s="79">
        <v>45444</v>
      </c>
      <c r="S70" s="79">
        <v>45471</v>
      </c>
      <c r="T70" s="79" t="str">
        <f t="shared" si="25"/>
        <v>LCOQ4</v>
      </c>
      <c r="U70" s="79" t="str">
        <f t="shared" si="26"/>
        <v>LCOU4</v>
      </c>
      <c r="V70" s="79" t="str">
        <f t="shared" si="27"/>
        <v>LCOV4</v>
      </c>
      <c r="W70" s="79" t="str">
        <f t="shared" si="28"/>
        <v>LCOX4</v>
      </c>
      <c r="Y70" s="74">
        <f t="shared" si="17"/>
        <v>43473</v>
      </c>
      <c r="Z70" s="74">
        <f t="shared" ca="1" si="20"/>
        <v>43487</v>
      </c>
      <c r="AA70" s="80" t="str">
        <f t="shared" ca="1" si="21"/>
        <v>CLG9</v>
      </c>
      <c r="AB70" s="74">
        <f t="shared" si="29"/>
        <v>43496</v>
      </c>
      <c r="AC70" s="80" t="str">
        <f t="shared" si="22"/>
        <v>LCOH9</v>
      </c>
      <c r="AD70" s="80" t="str">
        <f t="shared" si="30"/>
        <v>CLH9</v>
      </c>
      <c r="AE70" s="80" t="str">
        <f t="shared" si="31"/>
        <v>LCOJ9</v>
      </c>
      <c r="AF70" s="80" t="str">
        <f t="shared" si="32"/>
        <v>CLJ9</v>
      </c>
      <c r="AG70" s="80" t="str">
        <f t="shared" si="33"/>
        <v>LCOK9</v>
      </c>
      <c r="AH70" s="80" t="str">
        <f t="shared" si="34"/>
        <v>LCOM9</v>
      </c>
    </row>
    <row r="71" spans="6:34" x14ac:dyDescent="0.35">
      <c r="F71" s="76" t="s">
        <v>398</v>
      </c>
      <c r="G71" s="76" t="s">
        <v>324</v>
      </c>
      <c r="H71" s="76">
        <v>4</v>
      </c>
      <c r="I71" s="76" t="str">
        <f t="shared" si="19"/>
        <v>CLU4</v>
      </c>
      <c r="J71" s="77" t="e">
        <f t="shared" ca="1" si="18"/>
        <v>#NAME?</v>
      </c>
      <c r="K71" s="77" t="e">
        <f ca="1">_xll.RtGet("IDN",I71,"EXPIR_DATE")</f>
        <v>#NAME?</v>
      </c>
      <c r="L71" s="77" t="str">
        <f t="shared" si="23"/>
        <v>CLU4</v>
      </c>
      <c r="N71" s="78" t="s">
        <v>399</v>
      </c>
      <c r="O71" s="78" t="s">
        <v>324</v>
      </c>
      <c r="P71" s="78">
        <v>4</v>
      </c>
      <c r="Q71" s="78" t="str">
        <f t="shared" si="24"/>
        <v>LCOU4</v>
      </c>
      <c r="R71" s="79">
        <v>45472</v>
      </c>
      <c r="S71" s="79">
        <v>45504</v>
      </c>
      <c r="T71" s="79" t="str">
        <f t="shared" si="25"/>
        <v>LCOU4</v>
      </c>
      <c r="U71" s="79" t="str">
        <f t="shared" si="26"/>
        <v>LCOV4</v>
      </c>
      <c r="V71" s="79" t="str">
        <f t="shared" si="27"/>
        <v>LCOX4</v>
      </c>
      <c r="W71" s="79" t="str">
        <f t="shared" si="28"/>
        <v>LCOZ4</v>
      </c>
      <c r="Y71" s="74">
        <f t="shared" si="17"/>
        <v>43474</v>
      </c>
      <c r="Z71" s="74">
        <f t="shared" ca="1" si="20"/>
        <v>43487</v>
      </c>
      <c r="AA71" s="80" t="str">
        <f t="shared" ca="1" si="21"/>
        <v>CLG9</v>
      </c>
      <c r="AB71" s="74">
        <f t="shared" si="29"/>
        <v>43496</v>
      </c>
      <c r="AC71" s="80" t="str">
        <f t="shared" si="22"/>
        <v>LCOH9</v>
      </c>
      <c r="AD71" s="80" t="str">
        <f t="shared" si="30"/>
        <v>CLH9</v>
      </c>
      <c r="AE71" s="80" t="str">
        <f t="shared" si="31"/>
        <v>LCOJ9</v>
      </c>
      <c r="AF71" s="80" t="str">
        <f t="shared" si="32"/>
        <v>CLJ9</v>
      </c>
      <c r="AG71" s="80" t="str">
        <f t="shared" si="33"/>
        <v>LCOK9</v>
      </c>
      <c r="AH71" s="80" t="str">
        <f t="shared" si="34"/>
        <v>LCOM9</v>
      </c>
    </row>
    <row r="72" spans="6:34" x14ac:dyDescent="0.35">
      <c r="F72" s="76" t="s">
        <v>398</v>
      </c>
      <c r="G72" s="76" t="s">
        <v>326</v>
      </c>
      <c r="H72" s="76">
        <v>4</v>
      </c>
      <c r="I72" s="76" t="str">
        <f t="shared" si="19"/>
        <v>CLV4</v>
      </c>
      <c r="J72" s="77" t="e">
        <f t="shared" ca="1" si="18"/>
        <v>#NAME?</v>
      </c>
      <c r="K72" s="77" t="e">
        <f ca="1">_xll.RtGet("IDN",I72,"EXPIR_DATE")</f>
        <v>#NAME?</v>
      </c>
      <c r="L72" s="77" t="str">
        <f t="shared" si="23"/>
        <v>CLV4</v>
      </c>
      <c r="N72" s="78" t="s">
        <v>399</v>
      </c>
      <c r="O72" s="78" t="s">
        <v>326</v>
      </c>
      <c r="P72" s="78">
        <v>4</v>
      </c>
      <c r="Q72" s="78" t="str">
        <f t="shared" si="24"/>
        <v>LCOV4</v>
      </c>
      <c r="R72" s="79">
        <v>45505</v>
      </c>
      <c r="S72" s="79">
        <v>45534</v>
      </c>
      <c r="T72" s="79" t="str">
        <f t="shared" si="25"/>
        <v>LCOV4</v>
      </c>
      <c r="U72" s="79" t="str">
        <f t="shared" si="26"/>
        <v>LCOX4</v>
      </c>
      <c r="V72" s="79" t="str">
        <f t="shared" si="27"/>
        <v>LCOZ4</v>
      </c>
      <c r="W72" s="79" t="str">
        <f t="shared" si="28"/>
        <v/>
      </c>
      <c r="Y72" s="74">
        <f t="shared" si="17"/>
        <v>43475</v>
      </c>
      <c r="Z72" s="74">
        <f t="shared" ca="1" si="20"/>
        <v>43487</v>
      </c>
      <c r="AA72" s="80" t="str">
        <f t="shared" ca="1" si="21"/>
        <v>CLG9</v>
      </c>
      <c r="AB72" s="74">
        <f t="shared" si="29"/>
        <v>43496</v>
      </c>
      <c r="AC72" s="80" t="str">
        <f t="shared" si="22"/>
        <v>LCOH9</v>
      </c>
      <c r="AD72" s="80" t="str">
        <f t="shared" si="30"/>
        <v>CLH9</v>
      </c>
      <c r="AE72" s="80" t="str">
        <f t="shared" si="31"/>
        <v>LCOJ9</v>
      </c>
      <c r="AF72" s="80" t="str">
        <f t="shared" si="32"/>
        <v>CLJ9</v>
      </c>
      <c r="AG72" s="80" t="str">
        <f t="shared" si="33"/>
        <v>LCOK9</v>
      </c>
      <c r="AH72" s="80" t="str">
        <f t="shared" si="34"/>
        <v>LCOM9</v>
      </c>
    </row>
    <row r="73" spans="6:34" x14ac:dyDescent="0.35">
      <c r="F73" s="76" t="s">
        <v>398</v>
      </c>
      <c r="G73" s="76" t="s">
        <v>328</v>
      </c>
      <c r="H73" s="76">
        <v>4</v>
      </c>
      <c r="I73" s="76" t="str">
        <f t="shared" si="19"/>
        <v>CLX4</v>
      </c>
      <c r="J73" s="77" t="e">
        <f t="shared" ca="1" si="18"/>
        <v>#NAME?</v>
      </c>
      <c r="K73" s="77" t="e">
        <f ca="1">_xll.RtGet("IDN",I73,"EXPIR_DATE")</f>
        <v>#NAME?</v>
      </c>
      <c r="L73" s="77" t="str">
        <f t="shared" si="23"/>
        <v>CLX4</v>
      </c>
      <c r="N73" s="78" t="s">
        <v>399</v>
      </c>
      <c r="O73" s="78" t="s">
        <v>328</v>
      </c>
      <c r="P73" s="78">
        <v>4</v>
      </c>
      <c r="Q73" s="78" t="str">
        <f t="shared" si="24"/>
        <v>LCOX4</v>
      </c>
      <c r="R73" s="79">
        <v>45535</v>
      </c>
      <c r="S73" s="79">
        <v>45565</v>
      </c>
      <c r="T73" s="79" t="str">
        <f t="shared" si="25"/>
        <v>LCOX4</v>
      </c>
      <c r="U73" s="79" t="str">
        <f t="shared" si="26"/>
        <v>LCOZ4</v>
      </c>
      <c r="V73" s="79" t="str">
        <f t="shared" si="27"/>
        <v/>
      </c>
      <c r="W73" s="79" t="str">
        <f t="shared" si="28"/>
        <v/>
      </c>
      <c r="Y73" s="74">
        <f t="shared" si="17"/>
        <v>43476</v>
      </c>
      <c r="Z73" s="74">
        <f t="shared" ca="1" si="20"/>
        <v>43487</v>
      </c>
      <c r="AA73" s="80" t="str">
        <f t="shared" ca="1" si="21"/>
        <v>CLG9</v>
      </c>
      <c r="AB73" s="74">
        <f t="shared" si="29"/>
        <v>43496</v>
      </c>
      <c r="AC73" s="80" t="str">
        <f t="shared" si="22"/>
        <v>LCOH9</v>
      </c>
      <c r="AD73" s="80" t="str">
        <f t="shared" si="30"/>
        <v>CLH9</v>
      </c>
      <c r="AE73" s="80" t="str">
        <f t="shared" si="31"/>
        <v>LCOJ9</v>
      </c>
      <c r="AF73" s="80" t="str">
        <f t="shared" si="32"/>
        <v>CLJ9</v>
      </c>
      <c r="AG73" s="80" t="str">
        <f t="shared" si="33"/>
        <v>LCOK9</v>
      </c>
      <c r="AH73" s="80" t="str">
        <f t="shared" si="34"/>
        <v>LCOM9</v>
      </c>
    </row>
    <row r="74" spans="6:34" x14ac:dyDescent="0.35">
      <c r="F74" s="76" t="s">
        <v>398</v>
      </c>
      <c r="G74" s="76" t="s">
        <v>330</v>
      </c>
      <c r="H74" s="76">
        <v>4</v>
      </c>
      <c r="I74" s="76" t="str">
        <f t="shared" si="19"/>
        <v>CLZ4</v>
      </c>
      <c r="J74" s="77" t="e">
        <f t="shared" ca="1" si="18"/>
        <v>#NAME?</v>
      </c>
      <c r="K74" s="77" t="e">
        <f ca="1">_xll.RtGet("IDN",I74,"EXPIR_DATE")</f>
        <v>#NAME?</v>
      </c>
      <c r="L74" s="77" t="str">
        <f t="shared" si="23"/>
        <v>CLZ4</v>
      </c>
      <c r="N74" s="78" t="s">
        <v>399</v>
      </c>
      <c r="O74" s="78" t="s">
        <v>330</v>
      </c>
      <c r="P74" s="78">
        <v>4</v>
      </c>
      <c r="Q74" s="78" t="str">
        <f t="shared" si="24"/>
        <v>LCOZ4</v>
      </c>
      <c r="R74" s="79">
        <v>45566</v>
      </c>
      <c r="S74" s="79">
        <v>45596</v>
      </c>
      <c r="T74" s="79" t="str">
        <f t="shared" si="25"/>
        <v>LCOZ4</v>
      </c>
      <c r="U74" s="79" t="str">
        <f t="shared" si="26"/>
        <v/>
      </c>
      <c r="V74" s="79" t="str">
        <f t="shared" si="27"/>
        <v/>
      </c>
      <c r="W74" s="79" t="str">
        <f t="shared" si="28"/>
        <v/>
      </c>
      <c r="Y74" s="74">
        <f t="shared" si="17"/>
        <v>43477</v>
      </c>
      <c r="Z74" s="74">
        <f t="shared" ca="1" si="20"/>
        <v>43487</v>
      </c>
      <c r="AA74" s="80" t="str">
        <f t="shared" ca="1" si="21"/>
        <v>CLG9</v>
      </c>
      <c r="AB74" s="74">
        <f t="shared" si="29"/>
        <v>43496</v>
      </c>
      <c r="AC74" s="80" t="str">
        <f t="shared" si="22"/>
        <v>LCOH9</v>
      </c>
      <c r="AD74" s="80" t="str">
        <f t="shared" si="30"/>
        <v>CLH9</v>
      </c>
      <c r="AE74" s="80" t="str">
        <f t="shared" si="31"/>
        <v>LCOJ9</v>
      </c>
      <c r="AF74" s="80" t="str">
        <f t="shared" si="32"/>
        <v>CLJ9</v>
      </c>
      <c r="AG74" s="80" t="str">
        <f t="shared" si="33"/>
        <v>LCOK9</v>
      </c>
      <c r="AH74" s="80" t="str">
        <f t="shared" si="34"/>
        <v>LCOM9</v>
      </c>
    </row>
    <row r="75" spans="6:34" x14ac:dyDescent="0.35">
      <c r="Y75" s="74">
        <f t="shared" si="17"/>
        <v>43478</v>
      </c>
      <c r="Z75" s="74">
        <f t="shared" ca="1" si="20"/>
        <v>43487</v>
      </c>
      <c r="AA75" s="80" t="str">
        <f t="shared" ca="1" si="21"/>
        <v>CLG9</v>
      </c>
      <c r="AB75" s="74">
        <f t="shared" si="29"/>
        <v>43496</v>
      </c>
      <c r="AC75" s="80" t="str">
        <f t="shared" si="22"/>
        <v>LCOH9</v>
      </c>
      <c r="AD75" s="80" t="str">
        <f t="shared" si="30"/>
        <v>CLH9</v>
      </c>
      <c r="AE75" s="80" t="str">
        <f t="shared" si="31"/>
        <v>LCOJ9</v>
      </c>
      <c r="AF75" s="80" t="str">
        <f t="shared" si="32"/>
        <v>CLJ9</v>
      </c>
      <c r="AG75" s="80" t="str">
        <f t="shared" si="33"/>
        <v>LCOK9</v>
      </c>
      <c r="AH75" s="80" t="str">
        <f t="shared" si="34"/>
        <v>LCOM9</v>
      </c>
    </row>
    <row r="76" spans="6:34" x14ac:dyDescent="0.35">
      <c r="Y76" s="74">
        <f t="shared" si="17"/>
        <v>43479</v>
      </c>
      <c r="Z76" s="74">
        <f t="shared" ca="1" si="20"/>
        <v>43487</v>
      </c>
      <c r="AA76" s="80" t="str">
        <f t="shared" ca="1" si="21"/>
        <v>CLG9</v>
      </c>
      <c r="AB76" s="74">
        <f t="shared" si="29"/>
        <v>43496</v>
      </c>
      <c r="AC76" s="80" t="str">
        <f t="shared" si="22"/>
        <v>LCOH9</v>
      </c>
      <c r="AD76" s="80" t="str">
        <f t="shared" si="30"/>
        <v>CLH9</v>
      </c>
      <c r="AE76" s="80" t="str">
        <f t="shared" si="31"/>
        <v>LCOJ9</v>
      </c>
      <c r="AF76" s="80" t="str">
        <f t="shared" si="32"/>
        <v>CLJ9</v>
      </c>
      <c r="AG76" s="80" t="str">
        <f t="shared" si="33"/>
        <v>LCOK9</v>
      </c>
      <c r="AH76" s="80" t="str">
        <f t="shared" si="34"/>
        <v>LCOM9</v>
      </c>
    </row>
    <row r="77" spans="6:34" x14ac:dyDescent="0.35">
      <c r="Y77" s="74">
        <f t="shared" si="17"/>
        <v>43480</v>
      </c>
      <c r="Z77" s="74">
        <f t="shared" ca="1" si="20"/>
        <v>43487</v>
      </c>
      <c r="AA77" s="80" t="str">
        <f t="shared" ca="1" si="21"/>
        <v>CLG9</v>
      </c>
      <c r="AB77" s="74">
        <f t="shared" si="29"/>
        <v>43496</v>
      </c>
      <c r="AC77" s="80" t="str">
        <f t="shared" si="22"/>
        <v>LCOH9</v>
      </c>
      <c r="AD77" s="80" t="str">
        <f t="shared" si="30"/>
        <v>CLH9</v>
      </c>
      <c r="AE77" s="80" t="str">
        <f t="shared" si="31"/>
        <v>LCOJ9</v>
      </c>
      <c r="AF77" s="80" t="str">
        <f t="shared" si="32"/>
        <v>CLJ9</v>
      </c>
      <c r="AG77" s="80" t="str">
        <f t="shared" si="33"/>
        <v>LCOK9</v>
      </c>
      <c r="AH77" s="80" t="str">
        <f t="shared" si="34"/>
        <v>LCOM9</v>
      </c>
    </row>
    <row r="78" spans="6:34" x14ac:dyDescent="0.35">
      <c r="Y78" s="74">
        <f t="shared" si="17"/>
        <v>43481</v>
      </c>
      <c r="Z78" s="74">
        <f t="shared" ca="1" si="20"/>
        <v>43487</v>
      </c>
      <c r="AA78" s="80" t="str">
        <f t="shared" ca="1" si="21"/>
        <v>CLG9</v>
      </c>
      <c r="AB78" s="74">
        <f t="shared" si="29"/>
        <v>43496</v>
      </c>
      <c r="AC78" s="80" t="str">
        <f t="shared" si="22"/>
        <v>LCOH9</v>
      </c>
      <c r="AD78" s="80" t="str">
        <f t="shared" si="30"/>
        <v>CLH9</v>
      </c>
      <c r="AE78" s="80" t="str">
        <f t="shared" si="31"/>
        <v>LCOJ9</v>
      </c>
      <c r="AF78" s="80" t="str">
        <f t="shared" si="32"/>
        <v>CLJ9</v>
      </c>
      <c r="AG78" s="80" t="str">
        <f t="shared" si="33"/>
        <v>LCOK9</v>
      </c>
      <c r="AH78" s="80" t="str">
        <f t="shared" si="34"/>
        <v>LCOM9</v>
      </c>
    </row>
    <row r="79" spans="6:34" x14ac:dyDescent="0.35">
      <c r="Y79" s="74">
        <f t="shared" si="17"/>
        <v>43482</v>
      </c>
      <c r="Z79" s="74">
        <f t="shared" ca="1" si="20"/>
        <v>43487</v>
      </c>
      <c r="AA79" s="80" t="str">
        <f t="shared" ca="1" si="21"/>
        <v>CLG9</v>
      </c>
      <c r="AB79" s="74">
        <f t="shared" si="29"/>
        <v>43496</v>
      </c>
      <c r="AC79" s="80" t="str">
        <f t="shared" si="22"/>
        <v>LCOH9</v>
      </c>
      <c r="AD79" s="80" t="str">
        <f t="shared" si="30"/>
        <v>CLH9</v>
      </c>
      <c r="AE79" s="80" t="str">
        <f t="shared" si="31"/>
        <v>LCOJ9</v>
      </c>
      <c r="AF79" s="80" t="str">
        <f t="shared" si="32"/>
        <v>CLJ9</v>
      </c>
      <c r="AG79" s="80" t="str">
        <f t="shared" si="33"/>
        <v>LCOK9</v>
      </c>
      <c r="AH79" s="80" t="str">
        <f t="shared" si="34"/>
        <v>LCOM9</v>
      </c>
    </row>
    <row r="80" spans="6:34" x14ac:dyDescent="0.35">
      <c r="Y80" s="74">
        <f t="shared" si="17"/>
        <v>43483</v>
      </c>
      <c r="Z80" s="74">
        <f t="shared" ca="1" si="20"/>
        <v>43487</v>
      </c>
      <c r="AA80" s="80" t="str">
        <f t="shared" ca="1" si="21"/>
        <v>CLG9</v>
      </c>
      <c r="AB80" s="74">
        <f t="shared" si="29"/>
        <v>43496</v>
      </c>
      <c r="AC80" s="80" t="str">
        <f t="shared" si="22"/>
        <v>LCOH9</v>
      </c>
      <c r="AD80" s="80" t="str">
        <f t="shared" si="30"/>
        <v>CLH9</v>
      </c>
      <c r="AE80" s="80" t="str">
        <f t="shared" si="31"/>
        <v>LCOJ9</v>
      </c>
      <c r="AF80" s="80" t="str">
        <f t="shared" si="32"/>
        <v>CLJ9</v>
      </c>
      <c r="AG80" s="80" t="str">
        <f t="shared" si="33"/>
        <v>LCOK9</v>
      </c>
      <c r="AH80" s="80" t="str">
        <f t="shared" si="34"/>
        <v>LCOM9</v>
      </c>
    </row>
    <row r="81" spans="25:34" x14ac:dyDescent="0.35">
      <c r="Y81" s="74">
        <f t="shared" si="17"/>
        <v>43484</v>
      </c>
      <c r="Z81" s="74">
        <f t="shared" ca="1" si="20"/>
        <v>43487</v>
      </c>
      <c r="AA81" s="80" t="str">
        <f t="shared" ca="1" si="21"/>
        <v>CLG9</v>
      </c>
      <c r="AB81" s="74">
        <f t="shared" si="29"/>
        <v>43496</v>
      </c>
      <c r="AC81" s="80" t="str">
        <f t="shared" si="22"/>
        <v>LCOH9</v>
      </c>
      <c r="AD81" s="80" t="str">
        <f t="shared" si="30"/>
        <v>CLH9</v>
      </c>
      <c r="AE81" s="80" t="str">
        <f t="shared" si="31"/>
        <v>LCOJ9</v>
      </c>
      <c r="AF81" s="80" t="str">
        <f t="shared" si="32"/>
        <v>CLJ9</v>
      </c>
      <c r="AG81" s="80" t="str">
        <f t="shared" si="33"/>
        <v>LCOK9</v>
      </c>
      <c r="AH81" s="80" t="str">
        <f t="shared" si="34"/>
        <v>LCOM9</v>
      </c>
    </row>
    <row r="82" spans="25:34" x14ac:dyDescent="0.35">
      <c r="Y82" s="74">
        <f t="shared" si="17"/>
        <v>43485</v>
      </c>
      <c r="Z82" s="74">
        <f t="shared" ca="1" si="20"/>
        <v>43487</v>
      </c>
      <c r="AA82" s="80" t="str">
        <f t="shared" ca="1" si="21"/>
        <v>CLG9</v>
      </c>
      <c r="AB82" s="74">
        <f t="shared" si="29"/>
        <v>43496</v>
      </c>
      <c r="AC82" s="80" t="str">
        <f t="shared" si="22"/>
        <v>LCOH9</v>
      </c>
      <c r="AD82" s="80" t="str">
        <f t="shared" si="30"/>
        <v>CLH9</v>
      </c>
      <c r="AE82" s="80" t="str">
        <f t="shared" si="31"/>
        <v>LCOJ9</v>
      </c>
      <c r="AF82" s="80" t="str">
        <f t="shared" si="32"/>
        <v>CLJ9</v>
      </c>
      <c r="AG82" s="80" t="str">
        <f t="shared" si="33"/>
        <v>LCOK9</v>
      </c>
      <c r="AH82" s="80" t="str">
        <f t="shared" si="34"/>
        <v>LCOM9</v>
      </c>
    </row>
    <row r="83" spans="25:34" x14ac:dyDescent="0.35">
      <c r="Y83" s="74">
        <f t="shared" si="17"/>
        <v>43486</v>
      </c>
      <c r="Z83" s="74">
        <f t="shared" ca="1" si="20"/>
        <v>43487</v>
      </c>
      <c r="AA83" s="80" t="str">
        <f t="shared" ca="1" si="21"/>
        <v>CLG9</v>
      </c>
      <c r="AB83" s="74">
        <f t="shared" si="29"/>
        <v>43496</v>
      </c>
      <c r="AC83" s="80" t="str">
        <f t="shared" si="22"/>
        <v>LCOH9</v>
      </c>
      <c r="AD83" s="80" t="str">
        <f t="shared" si="30"/>
        <v>CLH9</v>
      </c>
      <c r="AE83" s="80" t="str">
        <f t="shared" si="31"/>
        <v>LCOJ9</v>
      </c>
      <c r="AF83" s="80" t="str">
        <f t="shared" si="32"/>
        <v>CLJ9</v>
      </c>
      <c r="AG83" s="80" t="str">
        <f t="shared" si="33"/>
        <v>LCOK9</v>
      </c>
      <c r="AH83" s="80" t="str">
        <f t="shared" si="34"/>
        <v>LCOM9</v>
      </c>
    </row>
    <row r="84" spans="25:34" x14ac:dyDescent="0.35">
      <c r="Y84" s="74">
        <f t="shared" si="17"/>
        <v>43487</v>
      </c>
      <c r="Z84" s="74">
        <f t="shared" ca="1" si="20"/>
        <v>43487</v>
      </c>
      <c r="AA84" s="80" t="str">
        <f t="shared" ca="1" si="21"/>
        <v>CLG9</v>
      </c>
      <c r="AB84" s="74">
        <f t="shared" si="29"/>
        <v>43496</v>
      </c>
      <c r="AC84" s="80" t="str">
        <f t="shared" si="22"/>
        <v>LCOH9</v>
      </c>
      <c r="AD84" s="80" t="str">
        <f t="shared" si="30"/>
        <v>CLH9</v>
      </c>
      <c r="AE84" s="80" t="str">
        <f t="shared" si="31"/>
        <v>LCOJ9</v>
      </c>
      <c r="AF84" s="80" t="str">
        <f t="shared" si="32"/>
        <v>CLJ9</v>
      </c>
      <c r="AG84" s="80" t="str">
        <f t="shared" si="33"/>
        <v>LCOK9</v>
      </c>
      <c r="AH84" s="80" t="str">
        <f t="shared" si="34"/>
        <v>LCOM9</v>
      </c>
    </row>
    <row r="85" spans="25:34" x14ac:dyDescent="0.35">
      <c r="Y85" s="74">
        <f t="shared" si="17"/>
        <v>43488</v>
      </c>
      <c r="Z85" s="74">
        <f t="shared" ca="1" si="20"/>
        <v>43516</v>
      </c>
      <c r="AA85" s="80" t="str">
        <f t="shared" ca="1" si="21"/>
        <v>CLH9</v>
      </c>
      <c r="AB85" s="74">
        <f t="shared" si="29"/>
        <v>43496</v>
      </c>
      <c r="AC85" s="80" t="str">
        <f t="shared" si="22"/>
        <v>LCOH9</v>
      </c>
      <c r="AD85" s="80" t="str">
        <f t="shared" si="30"/>
        <v>CLH9</v>
      </c>
      <c r="AE85" s="80" t="str">
        <f t="shared" si="31"/>
        <v>LCOJ9</v>
      </c>
      <c r="AF85" s="80" t="str">
        <f t="shared" si="32"/>
        <v>CLJ9</v>
      </c>
      <c r="AG85" s="80" t="str">
        <f t="shared" si="33"/>
        <v>LCOK9</v>
      </c>
      <c r="AH85" s="80" t="str">
        <f t="shared" si="34"/>
        <v>LCOM9</v>
      </c>
    </row>
    <row r="86" spans="25:34" x14ac:dyDescent="0.35">
      <c r="Y86" s="74">
        <f t="shared" si="17"/>
        <v>43489</v>
      </c>
      <c r="Z86" s="74">
        <f t="shared" ca="1" si="20"/>
        <v>43516</v>
      </c>
      <c r="AA86" s="80" t="str">
        <f t="shared" ca="1" si="21"/>
        <v>CLH9</v>
      </c>
      <c r="AB86" s="74">
        <f t="shared" si="29"/>
        <v>43496</v>
      </c>
      <c r="AC86" s="80" t="str">
        <f t="shared" si="22"/>
        <v>LCOH9</v>
      </c>
      <c r="AD86" s="80" t="str">
        <f t="shared" si="30"/>
        <v>CLH9</v>
      </c>
      <c r="AE86" s="80" t="str">
        <f t="shared" si="31"/>
        <v>LCOJ9</v>
      </c>
      <c r="AF86" s="80" t="str">
        <f t="shared" si="32"/>
        <v>CLJ9</v>
      </c>
      <c r="AG86" s="80" t="str">
        <f t="shared" si="33"/>
        <v>LCOK9</v>
      </c>
      <c r="AH86" s="80" t="str">
        <f t="shared" si="34"/>
        <v>LCOM9</v>
      </c>
    </row>
    <row r="87" spans="25:34" x14ac:dyDescent="0.35">
      <c r="Y87" s="74">
        <f t="shared" si="17"/>
        <v>43490</v>
      </c>
      <c r="Z87" s="74">
        <f t="shared" ca="1" si="20"/>
        <v>43516</v>
      </c>
      <c r="AA87" s="80" t="str">
        <f t="shared" ca="1" si="21"/>
        <v>CLH9</v>
      </c>
      <c r="AB87" s="74">
        <f t="shared" si="29"/>
        <v>43496</v>
      </c>
      <c r="AC87" s="80" t="str">
        <f t="shared" si="22"/>
        <v>LCOH9</v>
      </c>
      <c r="AD87" s="80" t="str">
        <f t="shared" si="30"/>
        <v>CLH9</v>
      </c>
      <c r="AE87" s="80" t="str">
        <f t="shared" si="31"/>
        <v>LCOJ9</v>
      </c>
      <c r="AF87" s="80" t="str">
        <f t="shared" si="32"/>
        <v>CLJ9</v>
      </c>
      <c r="AG87" s="80" t="str">
        <f t="shared" si="33"/>
        <v>LCOK9</v>
      </c>
      <c r="AH87" s="80" t="str">
        <f t="shared" si="34"/>
        <v>LCOM9</v>
      </c>
    </row>
    <row r="88" spans="25:34" x14ac:dyDescent="0.35">
      <c r="Y88" s="74">
        <f t="shared" si="17"/>
        <v>43491</v>
      </c>
      <c r="Z88" s="74">
        <f t="shared" ca="1" si="20"/>
        <v>43516</v>
      </c>
      <c r="AA88" s="80" t="str">
        <f t="shared" ca="1" si="21"/>
        <v>CLH9</v>
      </c>
      <c r="AB88" s="74">
        <f t="shared" si="29"/>
        <v>43496</v>
      </c>
      <c r="AC88" s="80" t="str">
        <f t="shared" si="22"/>
        <v>LCOH9</v>
      </c>
      <c r="AD88" s="80" t="str">
        <f t="shared" si="30"/>
        <v>CLH9</v>
      </c>
      <c r="AE88" s="80" t="str">
        <f t="shared" si="31"/>
        <v>LCOJ9</v>
      </c>
      <c r="AF88" s="80" t="str">
        <f t="shared" si="32"/>
        <v>CLJ9</v>
      </c>
      <c r="AG88" s="80" t="str">
        <f t="shared" si="33"/>
        <v>LCOK9</v>
      </c>
      <c r="AH88" s="80" t="str">
        <f t="shared" si="34"/>
        <v>LCOM9</v>
      </c>
    </row>
    <row r="89" spans="25:34" x14ac:dyDescent="0.35">
      <c r="Y89" s="74">
        <f t="shared" si="17"/>
        <v>43492</v>
      </c>
      <c r="Z89" s="74">
        <f t="shared" ca="1" si="20"/>
        <v>43516</v>
      </c>
      <c r="AA89" s="80" t="str">
        <f t="shared" ca="1" si="21"/>
        <v>CLH9</v>
      </c>
      <c r="AB89" s="74">
        <f t="shared" si="29"/>
        <v>43496</v>
      </c>
      <c r="AC89" s="80" t="str">
        <f t="shared" si="22"/>
        <v>LCOH9</v>
      </c>
      <c r="AD89" s="80" t="str">
        <f t="shared" si="30"/>
        <v>CLH9</v>
      </c>
      <c r="AE89" s="80" t="str">
        <f t="shared" si="31"/>
        <v>LCOJ9</v>
      </c>
      <c r="AF89" s="80" t="str">
        <f t="shared" si="32"/>
        <v>CLJ9</v>
      </c>
      <c r="AG89" s="80" t="str">
        <f t="shared" si="33"/>
        <v>LCOK9</v>
      </c>
      <c r="AH89" s="80" t="str">
        <f t="shared" si="34"/>
        <v>LCOM9</v>
      </c>
    </row>
    <row r="90" spans="25:34" x14ac:dyDescent="0.35">
      <c r="Y90" s="74">
        <f t="shared" si="17"/>
        <v>43493</v>
      </c>
      <c r="Z90" s="74">
        <f t="shared" ca="1" si="20"/>
        <v>43516</v>
      </c>
      <c r="AA90" s="80" t="str">
        <f t="shared" ca="1" si="21"/>
        <v>CLH9</v>
      </c>
      <c r="AB90" s="74">
        <f t="shared" si="29"/>
        <v>43496</v>
      </c>
      <c r="AC90" s="80" t="str">
        <f t="shared" si="22"/>
        <v>LCOH9</v>
      </c>
      <c r="AD90" s="80" t="str">
        <f t="shared" si="30"/>
        <v>CLH9</v>
      </c>
      <c r="AE90" s="80" t="str">
        <f t="shared" si="31"/>
        <v>LCOJ9</v>
      </c>
      <c r="AF90" s="80" t="str">
        <f t="shared" si="32"/>
        <v>CLJ9</v>
      </c>
      <c r="AG90" s="80" t="str">
        <f t="shared" si="33"/>
        <v>LCOK9</v>
      </c>
      <c r="AH90" s="80" t="str">
        <f t="shared" si="34"/>
        <v>LCOM9</v>
      </c>
    </row>
    <row r="91" spans="25:34" x14ac:dyDescent="0.35">
      <c r="Y91" s="74">
        <f t="shared" si="17"/>
        <v>43494</v>
      </c>
      <c r="Z91" s="74">
        <f t="shared" ca="1" si="20"/>
        <v>43516</v>
      </c>
      <c r="AA91" s="80" t="str">
        <f t="shared" ca="1" si="21"/>
        <v>CLH9</v>
      </c>
      <c r="AB91" s="74">
        <f t="shared" si="29"/>
        <v>43496</v>
      </c>
      <c r="AC91" s="80" t="str">
        <f t="shared" si="22"/>
        <v>LCOH9</v>
      </c>
      <c r="AD91" s="80" t="str">
        <f t="shared" si="30"/>
        <v>CLH9</v>
      </c>
      <c r="AE91" s="80" t="str">
        <f t="shared" si="31"/>
        <v>LCOJ9</v>
      </c>
      <c r="AF91" s="80" t="str">
        <f t="shared" si="32"/>
        <v>CLJ9</v>
      </c>
      <c r="AG91" s="80" t="str">
        <f t="shared" si="33"/>
        <v>LCOK9</v>
      </c>
      <c r="AH91" s="80" t="str">
        <f t="shared" si="34"/>
        <v>LCOM9</v>
      </c>
    </row>
    <row r="92" spans="25:34" x14ac:dyDescent="0.35">
      <c r="Y92" s="74">
        <f t="shared" si="17"/>
        <v>43495</v>
      </c>
      <c r="Z92" s="74">
        <f t="shared" ca="1" si="20"/>
        <v>43516</v>
      </c>
      <c r="AA92" s="80" t="str">
        <f t="shared" ca="1" si="21"/>
        <v>CLH9</v>
      </c>
      <c r="AB92" s="74">
        <f t="shared" si="29"/>
        <v>43496</v>
      </c>
      <c r="AC92" s="80" t="str">
        <f t="shared" si="22"/>
        <v>LCOH9</v>
      </c>
      <c r="AD92" s="80" t="str">
        <f t="shared" si="30"/>
        <v>CLH9</v>
      </c>
      <c r="AE92" s="80" t="str">
        <f t="shared" si="31"/>
        <v>LCOJ9</v>
      </c>
      <c r="AF92" s="80" t="str">
        <f t="shared" si="32"/>
        <v>CLJ9</v>
      </c>
      <c r="AG92" s="80" t="str">
        <f t="shared" si="33"/>
        <v>LCOK9</v>
      </c>
      <c r="AH92" s="80" t="str">
        <f t="shared" si="34"/>
        <v>LCOM9</v>
      </c>
    </row>
    <row r="93" spans="25:34" x14ac:dyDescent="0.35">
      <c r="Y93" s="74">
        <f t="shared" si="17"/>
        <v>43496</v>
      </c>
      <c r="Z93" s="74">
        <f t="shared" ca="1" si="20"/>
        <v>43516</v>
      </c>
      <c r="AA93" s="80" t="str">
        <f t="shared" ca="1" si="21"/>
        <v>CLH9</v>
      </c>
      <c r="AB93" s="74">
        <f t="shared" si="29"/>
        <v>43496</v>
      </c>
      <c r="AC93" s="80" t="str">
        <f t="shared" si="22"/>
        <v>LCOH9</v>
      </c>
      <c r="AD93" s="80" t="str">
        <f t="shared" si="30"/>
        <v>CLH9</v>
      </c>
      <c r="AE93" s="80" t="str">
        <f t="shared" si="31"/>
        <v>LCOJ9</v>
      </c>
      <c r="AF93" s="80" t="str">
        <f t="shared" si="32"/>
        <v>CLJ9</v>
      </c>
      <c r="AG93" s="80" t="str">
        <f t="shared" si="33"/>
        <v>LCOK9</v>
      </c>
      <c r="AH93" s="80" t="str">
        <f t="shared" si="34"/>
        <v>LCOM9</v>
      </c>
    </row>
    <row r="94" spans="25:34" x14ac:dyDescent="0.35">
      <c r="Y94" s="74">
        <f t="shared" si="17"/>
        <v>43497</v>
      </c>
      <c r="Z94" s="74">
        <f t="shared" ca="1" si="20"/>
        <v>43516</v>
      </c>
      <c r="AA94" s="80" t="str">
        <f t="shared" ca="1" si="21"/>
        <v>CLH9</v>
      </c>
      <c r="AB94" s="74">
        <f t="shared" si="29"/>
        <v>43524</v>
      </c>
      <c r="AC94" s="80" t="str">
        <f t="shared" si="22"/>
        <v>LCOJ9</v>
      </c>
      <c r="AD94" s="80" t="str">
        <f t="shared" si="30"/>
        <v>CLJ9</v>
      </c>
      <c r="AE94" s="80" t="str">
        <f t="shared" si="31"/>
        <v>LCOK9</v>
      </c>
      <c r="AF94" s="80" t="str">
        <f t="shared" si="32"/>
        <v>CLK9</v>
      </c>
      <c r="AG94" s="80" t="str">
        <f t="shared" si="33"/>
        <v>LCOM9</v>
      </c>
      <c r="AH94" s="80" t="str">
        <f t="shared" si="34"/>
        <v>LCON9</v>
      </c>
    </row>
    <row r="95" spans="25:34" x14ac:dyDescent="0.35">
      <c r="Y95" s="74">
        <f t="shared" si="17"/>
        <v>43498</v>
      </c>
      <c r="Z95" s="74">
        <f t="shared" ca="1" si="20"/>
        <v>43516</v>
      </c>
      <c r="AA95" s="80" t="str">
        <f t="shared" ca="1" si="21"/>
        <v>CLH9</v>
      </c>
      <c r="AB95" s="74">
        <f t="shared" si="29"/>
        <v>43524</v>
      </c>
      <c r="AC95" s="80" t="str">
        <f t="shared" si="22"/>
        <v>LCOJ9</v>
      </c>
      <c r="AD95" s="80" t="str">
        <f t="shared" si="30"/>
        <v>CLJ9</v>
      </c>
      <c r="AE95" s="80" t="str">
        <f t="shared" si="31"/>
        <v>LCOK9</v>
      </c>
      <c r="AF95" s="80" t="str">
        <f t="shared" si="32"/>
        <v>CLK9</v>
      </c>
      <c r="AG95" s="80" t="str">
        <f t="shared" si="33"/>
        <v>LCOM9</v>
      </c>
      <c r="AH95" s="80" t="str">
        <f t="shared" si="34"/>
        <v>LCON9</v>
      </c>
    </row>
    <row r="96" spans="25:34" x14ac:dyDescent="0.35">
      <c r="Y96" s="74">
        <f t="shared" si="17"/>
        <v>43499</v>
      </c>
      <c r="Z96" s="74">
        <f t="shared" ca="1" si="20"/>
        <v>43516</v>
      </c>
      <c r="AA96" s="80" t="str">
        <f t="shared" ca="1" si="21"/>
        <v>CLH9</v>
      </c>
      <c r="AB96" s="74">
        <f t="shared" si="29"/>
        <v>43524</v>
      </c>
      <c r="AC96" s="80" t="str">
        <f t="shared" si="22"/>
        <v>LCOJ9</v>
      </c>
      <c r="AD96" s="80" t="str">
        <f t="shared" si="30"/>
        <v>CLJ9</v>
      </c>
      <c r="AE96" s="80" t="str">
        <f t="shared" si="31"/>
        <v>LCOK9</v>
      </c>
      <c r="AF96" s="80" t="str">
        <f t="shared" si="32"/>
        <v>CLK9</v>
      </c>
      <c r="AG96" s="80" t="str">
        <f t="shared" si="33"/>
        <v>LCOM9</v>
      </c>
      <c r="AH96" s="80" t="str">
        <f t="shared" si="34"/>
        <v>LCON9</v>
      </c>
    </row>
    <row r="97" spans="25:34" x14ac:dyDescent="0.35">
      <c r="Y97" s="74">
        <f t="shared" ref="Y97:Y160" si="35">Y96+1</f>
        <v>43500</v>
      </c>
      <c r="Z97" s="74">
        <f t="shared" ca="1" si="20"/>
        <v>43516</v>
      </c>
      <c r="AA97" s="80" t="str">
        <f t="shared" ca="1" si="21"/>
        <v>CLH9</v>
      </c>
      <c r="AB97" s="74">
        <f t="shared" si="29"/>
        <v>43524</v>
      </c>
      <c r="AC97" s="80" t="str">
        <f t="shared" si="22"/>
        <v>LCOJ9</v>
      </c>
      <c r="AD97" s="80" t="str">
        <f t="shared" si="30"/>
        <v>CLJ9</v>
      </c>
      <c r="AE97" s="80" t="str">
        <f t="shared" si="31"/>
        <v>LCOK9</v>
      </c>
      <c r="AF97" s="80" t="str">
        <f t="shared" si="32"/>
        <v>CLK9</v>
      </c>
      <c r="AG97" s="80" t="str">
        <f t="shared" si="33"/>
        <v>LCOM9</v>
      </c>
      <c r="AH97" s="80" t="str">
        <f t="shared" si="34"/>
        <v>LCON9</v>
      </c>
    </row>
    <row r="98" spans="25:34" x14ac:dyDescent="0.35">
      <c r="Y98" s="74">
        <f t="shared" si="35"/>
        <v>43501</v>
      </c>
      <c r="Z98" s="74">
        <f t="shared" ca="1" si="20"/>
        <v>43516</v>
      </c>
      <c r="AA98" s="80" t="str">
        <f t="shared" ca="1" si="21"/>
        <v>CLH9</v>
      </c>
      <c r="AB98" s="74">
        <f t="shared" si="29"/>
        <v>43524</v>
      </c>
      <c r="AC98" s="80" t="str">
        <f t="shared" si="22"/>
        <v>LCOJ9</v>
      </c>
      <c r="AD98" s="80" t="str">
        <f t="shared" si="30"/>
        <v>CLJ9</v>
      </c>
      <c r="AE98" s="80" t="str">
        <f t="shared" si="31"/>
        <v>LCOK9</v>
      </c>
      <c r="AF98" s="80" t="str">
        <f t="shared" si="32"/>
        <v>CLK9</v>
      </c>
      <c r="AG98" s="80" t="str">
        <f t="shared" si="33"/>
        <v>LCOM9</v>
      </c>
      <c r="AH98" s="80" t="str">
        <f t="shared" si="34"/>
        <v>LCON9</v>
      </c>
    </row>
    <row r="99" spans="25:34" x14ac:dyDescent="0.35">
      <c r="Y99" s="74">
        <f t="shared" si="35"/>
        <v>43502</v>
      </c>
      <c r="Z99" s="74">
        <f t="shared" ca="1" si="20"/>
        <v>43516</v>
      </c>
      <c r="AA99" s="80" t="str">
        <f t="shared" ca="1" si="21"/>
        <v>CLH9</v>
      </c>
      <c r="AB99" s="74">
        <f t="shared" si="29"/>
        <v>43524</v>
      </c>
      <c r="AC99" s="80" t="str">
        <f t="shared" si="22"/>
        <v>LCOJ9</v>
      </c>
      <c r="AD99" s="80" t="str">
        <f t="shared" si="30"/>
        <v>CLJ9</v>
      </c>
      <c r="AE99" s="80" t="str">
        <f t="shared" si="31"/>
        <v>LCOK9</v>
      </c>
      <c r="AF99" s="80" t="str">
        <f t="shared" si="32"/>
        <v>CLK9</v>
      </c>
      <c r="AG99" s="80" t="str">
        <f t="shared" si="33"/>
        <v>LCOM9</v>
      </c>
      <c r="AH99" s="80" t="str">
        <f t="shared" si="34"/>
        <v>LCON9</v>
      </c>
    </row>
    <row r="100" spans="25:34" x14ac:dyDescent="0.35">
      <c r="Y100" s="74">
        <f t="shared" si="35"/>
        <v>43503</v>
      </c>
      <c r="Z100" s="74">
        <f t="shared" ca="1" si="20"/>
        <v>43516</v>
      </c>
      <c r="AA100" s="80" t="str">
        <f t="shared" ca="1" si="21"/>
        <v>CLH9</v>
      </c>
      <c r="AB100" s="74">
        <f t="shared" si="29"/>
        <v>43524</v>
      </c>
      <c r="AC100" s="80" t="str">
        <f t="shared" si="22"/>
        <v>LCOJ9</v>
      </c>
      <c r="AD100" s="80" t="str">
        <f t="shared" si="30"/>
        <v>CLJ9</v>
      </c>
      <c r="AE100" s="80" t="str">
        <f t="shared" si="31"/>
        <v>LCOK9</v>
      </c>
      <c r="AF100" s="80" t="str">
        <f t="shared" si="32"/>
        <v>CLK9</v>
      </c>
      <c r="AG100" s="80" t="str">
        <f t="shared" si="33"/>
        <v>LCOM9</v>
      </c>
      <c r="AH100" s="80" t="str">
        <f t="shared" si="34"/>
        <v>LCON9</v>
      </c>
    </row>
    <row r="101" spans="25:34" x14ac:dyDescent="0.35">
      <c r="Y101" s="74">
        <f t="shared" si="35"/>
        <v>43504</v>
      </c>
      <c r="Z101" s="74">
        <f t="shared" ca="1" si="20"/>
        <v>43516</v>
      </c>
      <c r="AA101" s="80" t="str">
        <f t="shared" ca="1" si="21"/>
        <v>CLH9</v>
      </c>
      <c r="AB101" s="74">
        <f t="shared" si="29"/>
        <v>43524</v>
      </c>
      <c r="AC101" s="80" t="str">
        <f t="shared" si="22"/>
        <v>LCOJ9</v>
      </c>
      <c r="AD101" s="80" t="str">
        <f t="shared" si="30"/>
        <v>CLJ9</v>
      </c>
      <c r="AE101" s="80" t="str">
        <f t="shared" si="31"/>
        <v>LCOK9</v>
      </c>
      <c r="AF101" s="80" t="str">
        <f t="shared" si="32"/>
        <v>CLK9</v>
      </c>
      <c r="AG101" s="80" t="str">
        <f t="shared" si="33"/>
        <v>LCOM9</v>
      </c>
      <c r="AH101" s="80" t="str">
        <f t="shared" si="34"/>
        <v>LCON9</v>
      </c>
    </row>
    <row r="102" spans="25:34" x14ac:dyDescent="0.35">
      <c r="Y102" s="74">
        <f t="shared" si="35"/>
        <v>43505</v>
      </c>
      <c r="Z102" s="74">
        <f t="shared" ca="1" si="20"/>
        <v>43516</v>
      </c>
      <c r="AA102" s="80" t="str">
        <f t="shared" ca="1" si="21"/>
        <v>CLH9</v>
      </c>
      <c r="AB102" s="74">
        <f t="shared" si="29"/>
        <v>43524</v>
      </c>
      <c r="AC102" s="80" t="str">
        <f t="shared" si="22"/>
        <v>LCOJ9</v>
      </c>
      <c r="AD102" s="80" t="str">
        <f t="shared" si="30"/>
        <v>CLJ9</v>
      </c>
      <c r="AE102" s="80" t="str">
        <f t="shared" si="31"/>
        <v>LCOK9</v>
      </c>
      <c r="AF102" s="80" t="str">
        <f t="shared" si="32"/>
        <v>CLK9</v>
      </c>
      <c r="AG102" s="80" t="str">
        <f t="shared" si="33"/>
        <v>LCOM9</v>
      </c>
      <c r="AH102" s="80" t="str">
        <f t="shared" si="34"/>
        <v>LCON9</v>
      </c>
    </row>
    <row r="103" spans="25:34" x14ac:dyDescent="0.35">
      <c r="Y103" s="74">
        <f t="shared" si="35"/>
        <v>43506</v>
      </c>
      <c r="Z103" s="74">
        <f t="shared" ca="1" si="20"/>
        <v>43516</v>
      </c>
      <c r="AA103" s="80" t="str">
        <f t="shared" ca="1" si="21"/>
        <v>CLH9</v>
      </c>
      <c r="AB103" s="74">
        <f t="shared" si="29"/>
        <v>43524</v>
      </c>
      <c r="AC103" s="80" t="str">
        <f t="shared" si="22"/>
        <v>LCOJ9</v>
      </c>
      <c r="AD103" s="80" t="str">
        <f t="shared" si="30"/>
        <v>CLJ9</v>
      </c>
      <c r="AE103" s="80" t="str">
        <f t="shared" si="31"/>
        <v>LCOK9</v>
      </c>
      <c r="AF103" s="80" t="str">
        <f t="shared" si="32"/>
        <v>CLK9</v>
      </c>
      <c r="AG103" s="80" t="str">
        <f t="shared" si="33"/>
        <v>LCOM9</v>
      </c>
      <c r="AH103" s="80" t="str">
        <f t="shared" si="34"/>
        <v>LCON9</v>
      </c>
    </row>
    <row r="104" spans="25:34" x14ac:dyDescent="0.35">
      <c r="Y104" s="74">
        <f t="shared" si="35"/>
        <v>43507</v>
      </c>
      <c r="Z104" s="74">
        <f t="shared" ca="1" si="20"/>
        <v>43516</v>
      </c>
      <c r="AA104" s="80" t="str">
        <f t="shared" ca="1" si="21"/>
        <v>CLH9</v>
      </c>
      <c r="AB104" s="74">
        <f t="shared" si="29"/>
        <v>43524</v>
      </c>
      <c r="AC104" s="80" t="str">
        <f t="shared" si="22"/>
        <v>LCOJ9</v>
      </c>
      <c r="AD104" s="80" t="str">
        <f t="shared" si="30"/>
        <v>CLJ9</v>
      </c>
      <c r="AE104" s="80" t="str">
        <f t="shared" si="31"/>
        <v>LCOK9</v>
      </c>
      <c r="AF104" s="80" t="str">
        <f t="shared" si="32"/>
        <v>CLK9</v>
      </c>
      <c r="AG104" s="80" t="str">
        <f t="shared" si="33"/>
        <v>LCOM9</v>
      </c>
      <c r="AH104" s="80" t="str">
        <f t="shared" si="34"/>
        <v>LCON9</v>
      </c>
    </row>
    <row r="105" spans="25:34" x14ac:dyDescent="0.35">
      <c r="Y105" s="74">
        <f t="shared" si="35"/>
        <v>43508</v>
      </c>
      <c r="Z105" s="74">
        <f t="shared" ca="1" si="20"/>
        <v>43516</v>
      </c>
      <c r="AA105" s="80" t="str">
        <f t="shared" ca="1" si="21"/>
        <v>CLH9</v>
      </c>
      <c r="AB105" s="74">
        <f t="shared" si="29"/>
        <v>43524</v>
      </c>
      <c r="AC105" s="80" t="str">
        <f t="shared" si="22"/>
        <v>LCOJ9</v>
      </c>
      <c r="AD105" s="80" t="str">
        <f t="shared" si="30"/>
        <v>CLJ9</v>
      </c>
      <c r="AE105" s="80" t="str">
        <f t="shared" si="31"/>
        <v>LCOK9</v>
      </c>
      <c r="AF105" s="80" t="str">
        <f t="shared" si="32"/>
        <v>CLK9</v>
      </c>
      <c r="AG105" s="80" t="str">
        <f t="shared" si="33"/>
        <v>LCOM9</v>
      </c>
      <c r="AH105" s="80" t="str">
        <f t="shared" si="34"/>
        <v>LCON9</v>
      </c>
    </row>
    <row r="106" spans="25:34" x14ac:dyDescent="0.35">
      <c r="Y106" s="74">
        <f t="shared" si="35"/>
        <v>43509</v>
      </c>
      <c r="Z106" s="74">
        <f t="shared" ca="1" si="20"/>
        <v>43516</v>
      </c>
      <c r="AA106" s="80" t="str">
        <f t="shared" ca="1" si="21"/>
        <v>CLH9</v>
      </c>
      <c r="AB106" s="74">
        <f t="shared" si="29"/>
        <v>43524</v>
      </c>
      <c r="AC106" s="80" t="str">
        <f t="shared" si="22"/>
        <v>LCOJ9</v>
      </c>
      <c r="AD106" s="80" t="str">
        <f t="shared" si="30"/>
        <v>CLJ9</v>
      </c>
      <c r="AE106" s="80" t="str">
        <f t="shared" si="31"/>
        <v>LCOK9</v>
      </c>
      <c r="AF106" s="80" t="str">
        <f t="shared" si="32"/>
        <v>CLK9</v>
      </c>
      <c r="AG106" s="80" t="str">
        <f t="shared" si="33"/>
        <v>LCOM9</v>
      </c>
      <c r="AH106" s="80" t="str">
        <f t="shared" si="34"/>
        <v>LCON9</v>
      </c>
    </row>
    <row r="107" spans="25:34" x14ac:dyDescent="0.35">
      <c r="Y107" s="74">
        <f t="shared" si="35"/>
        <v>43510</v>
      </c>
      <c r="Z107" s="74">
        <f t="shared" ca="1" si="20"/>
        <v>43516</v>
      </c>
      <c r="AA107" s="80" t="str">
        <f t="shared" ca="1" si="21"/>
        <v>CLH9</v>
      </c>
      <c r="AB107" s="74">
        <f t="shared" si="29"/>
        <v>43524</v>
      </c>
      <c r="AC107" s="80" t="str">
        <f t="shared" si="22"/>
        <v>LCOJ9</v>
      </c>
      <c r="AD107" s="80" t="str">
        <f t="shared" si="30"/>
        <v>CLJ9</v>
      </c>
      <c r="AE107" s="80" t="str">
        <f t="shared" si="31"/>
        <v>LCOK9</v>
      </c>
      <c r="AF107" s="80" t="str">
        <f t="shared" si="32"/>
        <v>CLK9</v>
      </c>
      <c r="AG107" s="80" t="str">
        <f t="shared" si="33"/>
        <v>LCOM9</v>
      </c>
      <c r="AH107" s="80" t="str">
        <f t="shared" si="34"/>
        <v>LCON9</v>
      </c>
    </row>
    <row r="108" spans="25:34" x14ac:dyDescent="0.35">
      <c r="Y108" s="74">
        <f t="shared" si="35"/>
        <v>43511</v>
      </c>
      <c r="Z108" s="74">
        <f t="shared" ca="1" si="20"/>
        <v>43516</v>
      </c>
      <c r="AA108" s="80" t="str">
        <f t="shared" ca="1" si="21"/>
        <v>CLH9</v>
      </c>
      <c r="AB108" s="74">
        <f t="shared" si="29"/>
        <v>43524</v>
      </c>
      <c r="AC108" s="80" t="str">
        <f t="shared" si="22"/>
        <v>LCOJ9</v>
      </c>
      <c r="AD108" s="80" t="str">
        <f t="shared" si="30"/>
        <v>CLJ9</v>
      </c>
      <c r="AE108" s="80" t="str">
        <f t="shared" si="31"/>
        <v>LCOK9</v>
      </c>
      <c r="AF108" s="80" t="str">
        <f t="shared" si="32"/>
        <v>CLK9</v>
      </c>
      <c r="AG108" s="80" t="str">
        <f t="shared" si="33"/>
        <v>LCOM9</v>
      </c>
      <c r="AH108" s="80" t="str">
        <f t="shared" si="34"/>
        <v>LCON9</v>
      </c>
    </row>
    <row r="109" spans="25:34" x14ac:dyDescent="0.35">
      <c r="Y109" s="74">
        <f t="shared" si="35"/>
        <v>43512</v>
      </c>
      <c r="Z109" s="74">
        <f t="shared" ca="1" si="20"/>
        <v>43516</v>
      </c>
      <c r="AA109" s="80" t="str">
        <f t="shared" ca="1" si="21"/>
        <v>CLH9</v>
      </c>
      <c r="AB109" s="74">
        <f t="shared" si="29"/>
        <v>43524</v>
      </c>
      <c r="AC109" s="80" t="str">
        <f t="shared" si="22"/>
        <v>LCOJ9</v>
      </c>
      <c r="AD109" s="80" t="str">
        <f t="shared" si="30"/>
        <v>CLJ9</v>
      </c>
      <c r="AE109" s="80" t="str">
        <f t="shared" si="31"/>
        <v>LCOK9</v>
      </c>
      <c r="AF109" s="80" t="str">
        <f t="shared" si="32"/>
        <v>CLK9</v>
      </c>
      <c r="AG109" s="80" t="str">
        <f t="shared" si="33"/>
        <v>LCOM9</v>
      </c>
      <c r="AH109" s="80" t="str">
        <f t="shared" si="34"/>
        <v>LCON9</v>
      </c>
    </row>
    <row r="110" spans="25:34" x14ac:dyDescent="0.35">
      <c r="Y110" s="74">
        <f t="shared" si="35"/>
        <v>43513</v>
      </c>
      <c r="Z110" s="74">
        <f t="shared" ca="1" si="20"/>
        <v>43516</v>
      </c>
      <c r="AA110" s="80" t="str">
        <f t="shared" ca="1" si="21"/>
        <v>CLH9</v>
      </c>
      <c r="AB110" s="74">
        <f t="shared" si="29"/>
        <v>43524</v>
      </c>
      <c r="AC110" s="80" t="str">
        <f t="shared" si="22"/>
        <v>LCOJ9</v>
      </c>
      <c r="AD110" s="80" t="str">
        <f t="shared" si="30"/>
        <v>CLJ9</v>
      </c>
      <c r="AE110" s="80" t="str">
        <f t="shared" si="31"/>
        <v>LCOK9</v>
      </c>
      <c r="AF110" s="80" t="str">
        <f t="shared" si="32"/>
        <v>CLK9</v>
      </c>
      <c r="AG110" s="80" t="str">
        <f t="shared" si="33"/>
        <v>LCOM9</v>
      </c>
      <c r="AH110" s="80" t="str">
        <f t="shared" si="34"/>
        <v>LCON9</v>
      </c>
    </row>
    <row r="111" spans="25:34" x14ac:dyDescent="0.35">
      <c r="Y111" s="74">
        <f t="shared" si="35"/>
        <v>43514</v>
      </c>
      <c r="Z111" s="74">
        <f t="shared" ca="1" si="20"/>
        <v>43516</v>
      </c>
      <c r="AA111" s="80" t="str">
        <f t="shared" ca="1" si="21"/>
        <v>CLH9</v>
      </c>
      <c r="AB111" s="74">
        <f t="shared" si="29"/>
        <v>43524</v>
      </c>
      <c r="AC111" s="80" t="str">
        <f t="shared" si="22"/>
        <v>LCOJ9</v>
      </c>
      <c r="AD111" s="80" t="str">
        <f t="shared" si="30"/>
        <v>CLJ9</v>
      </c>
      <c r="AE111" s="80" t="str">
        <f t="shared" si="31"/>
        <v>LCOK9</v>
      </c>
      <c r="AF111" s="80" t="str">
        <f t="shared" si="32"/>
        <v>CLK9</v>
      </c>
      <c r="AG111" s="80" t="str">
        <f t="shared" si="33"/>
        <v>LCOM9</v>
      </c>
      <c r="AH111" s="80" t="str">
        <f t="shared" si="34"/>
        <v>LCON9</v>
      </c>
    </row>
    <row r="112" spans="25:34" x14ac:dyDescent="0.35">
      <c r="Y112" s="74">
        <f t="shared" si="35"/>
        <v>43515</v>
      </c>
      <c r="Z112" s="74">
        <f t="shared" ca="1" si="20"/>
        <v>43516</v>
      </c>
      <c r="AA112" s="80" t="str">
        <f t="shared" ca="1" si="21"/>
        <v>CLH9</v>
      </c>
      <c r="AB112" s="74">
        <f t="shared" si="29"/>
        <v>43524</v>
      </c>
      <c r="AC112" s="80" t="str">
        <f t="shared" si="22"/>
        <v>LCOJ9</v>
      </c>
      <c r="AD112" s="80" t="str">
        <f t="shared" si="30"/>
        <v>CLJ9</v>
      </c>
      <c r="AE112" s="80" t="str">
        <f t="shared" si="31"/>
        <v>LCOK9</v>
      </c>
      <c r="AF112" s="80" t="str">
        <f t="shared" si="32"/>
        <v>CLK9</v>
      </c>
      <c r="AG112" s="80" t="str">
        <f t="shared" si="33"/>
        <v>LCOM9</v>
      </c>
      <c r="AH112" s="80" t="str">
        <f t="shared" si="34"/>
        <v>LCON9</v>
      </c>
    </row>
    <row r="113" spans="25:34" x14ac:dyDescent="0.35">
      <c r="Y113" s="74">
        <f t="shared" si="35"/>
        <v>43516</v>
      </c>
      <c r="Z113" s="74">
        <f t="shared" ca="1" si="20"/>
        <v>43516</v>
      </c>
      <c r="AA113" s="80" t="str">
        <f t="shared" ca="1" si="21"/>
        <v>CLH9</v>
      </c>
      <c r="AB113" s="74">
        <f t="shared" si="29"/>
        <v>43524</v>
      </c>
      <c r="AC113" s="80" t="str">
        <f t="shared" si="22"/>
        <v>LCOJ9</v>
      </c>
      <c r="AD113" s="80" t="str">
        <f t="shared" si="30"/>
        <v>CLJ9</v>
      </c>
      <c r="AE113" s="80" t="str">
        <f t="shared" si="31"/>
        <v>LCOK9</v>
      </c>
      <c r="AF113" s="80" t="str">
        <f t="shared" si="32"/>
        <v>CLK9</v>
      </c>
      <c r="AG113" s="80" t="str">
        <f t="shared" si="33"/>
        <v>LCOM9</v>
      </c>
      <c r="AH113" s="80" t="str">
        <f t="shared" si="34"/>
        <v>LCON9</v>
      </c>
    </row>
    <row r="114" spans="25:34" x14ac:dyDescent="0.35">
      <c r="Y114" s="74">
        <f t="shared" si="35"/>
        <v>43517</v>
      </c>
      <c r="Z114" s="74">
        <f t="shared" ca="1" si="20"/>
        <v>43544</v>
      </c>
      <c r="AA114" s="80" t="str">
        <f t="shared" ca="1" si="21"/>
        <v>CLJ9</v>
      </c>
      <c r="AB114" s="74">
        <f t="shared" si="29"/>
        <v>43524</v>
      </c>
      <c r="AC114" s="80" t="str">
        <f t="shared" si="22"/>
        <v>LCOJ9</v>
      </c>
      <c r="AD114" s="80" t="str">
        <f t="shared" si="30"/>
        <v>CLJ9</v>
      </c>
      <c r="AE114" s="80" t="str">
        <f t="shared" si="31"/>
        <v>LCOK9</v>
      </c>
      <c r="AF114" s="80" t="str">
        <f t="shared" si="32"/>
        <v>CLK9</v>
      </c>
      <c r="AG114" s="80" t="str">
        <f t="shared" si="33"/>
        <v>LCOM9</v>
      </c>
      <c r="AH114" s="80" t="str">
        <f t="shared" si="34"/>
        <v>LCON9</v>
      </c>
    </row>
    <row r="115" spans="25:34" x14ac:dyDescent="0.35">
      <c r="Y115" s="74">
        <f t="shared" si="35"/>
        <v>43518</v>
      </c>
      <c r="Z115" s="74">
        <f t="shared" ca="1" si="20"/>
        <v>43544</v>
      </c>
      <c r="AA115" s="80" t="str">
        <f t="shared" ca="1" si="21"/>
        <v>CLJ9</v>
      </c>
      <c r="AB115" s="74">
        <f t="shared" si="29"/>
        <v>43524</v>
      </c>
      <c r="AC115" s="80" t="str">
        <f t="shared" si="22"/>
        <v>LCOJ9</v>
      </c>
      <c r="AD115" s="80" t="str">
        <f t="shared" si="30"/>
        <v>CLJ9</v>
      </c>
      <c r="AE115" s="80" t="str">
        <f t="shared" si="31"/>
        <v>LCOK9</v>
      </c>
      <c r="AF115" s="80" t="str">
        <f t="shared" si="32"/>
        <v>CLK9</v>
      </c>
      <c r="AG115" s="80" t="str">
        <f t="shared" si="33"/>
        <v>LCOM9</v>
      </c>
      <c r="AH115" s="80" t="str">
        <f t="shared" si="34"/>
        <v>LCON9</v>
      </c>
    </row>
    <row r="116" spans="25:34" x14ac:dyDescent="0.35">
      <c r="Y116" s="74">
        <f t="shared" si="35"/>
        <v>43519</v>
      </c>
      <c r="Z116" s="74">
        <f t="shared" ca="1" si="20"/>
        <v>43544</v>
      </c>
      <c r="AA116" s="80" t="str">
        <f t="shared" ca="1" si="21"/>
        <v>CLJ9</v>
      </c>
      <c r="AB116" s="74">
        <f t="shared" si="29"/>
        <v>43524</v>
      </c>
      <c r="AC116" s="80" t="str">
        <f t="shared" si="22"/>
        <v>LCOJ9</v>
      </c>
      <c r="AD116" s="80" t="str">
        <f t="shared" si="30"/>
        <v>CLJ9</v>
      </c>
      <c r="AE116" s="80" t="str">
        <f t="shared" si="31"/>
        <v>LCOK9</v>
      </c>
      <c r="AF116" s="80" t="str">
        <f t="shared" si="32"/>
        <v>CLK9</v>
      </c>
      <c r="AG116" s="80" t="str">
        <f t="shared" si="33"/>
        <v>LCOM9</v>
      </c>
      <c r="AH116" s="80" t="str">
        <f t="shared" si="34"/>
        <v>LCON9</v>
      </c>
    </row>
    <row r="117" spans="25:34" x14ac:dyDescent="0.35">
      <c r="Y117" s="74">
        <f t="shared" si="35"/>
        <v>43520</v>
      </c>
      <c r="Z117" s="74">
        <f t="shared" ca="1" si="20"/>
        <v>43544</v>
      </c>
      <c r="AA117" s="80" t="str">
        <f t="shared" ca="1" si="21"/>
        <v>CLJ9</v>
      </c>
      <c r="AB117" s="74">
        <f t="shared" si="29"/>
        <v>43524</v>
      </c>
      <c r="AC117" s="80" t="str">
        <f t="shared" si="22"/>
        <v>LCOJ9</v>
      </c>
      <c r="AD117" s="80" t="str">
        <f t="shared" si="30"/>
        <v>CLJ9</v>
      </c>
      <c r="AE117" s="80" t="str">
        <f t="shared" si="31"/>
        <v>LCOK9</v>
      </c>
      <c r="AF117" s="80" t="str">
        <f t="shared" si="32"/>
        <v>CLK9</v>
      </c>
      <c r="AG117" s="80" t="str">
        <f t="shared" si="33"/>
        <v>LCOM9</v>
      </c>
      <c r="AH117" s="80" t="str">
        <f t="shared" si="34"/>
        <v>LCON9</v>
      </c>
    </row>
    <row r="118" spans="25:34" x14ac:dyDescent="0.35">
      <c r="Y118" s="74">
        <f t="shared" si="35"/>
        <v>43521</v>
      </c>
      <c r="Z118" s="74">
        <f t="shared" ca="1" si="20"/>
        <v>43544</v>
      </c>
      <c r="AA118" s="80" t="str">
        <f t="shared" ca="1" si="21"/>
        <v>CLJ9</v>
      </c>
      <c r="AB118" s="74">
        <f t="shared" si="29"/>
        <v>43524</v>
      </c>
      <c r="AC118" s="80" t="str">
        <f t="shared" si="22"/>
        <v>LCOJ9</v>
      </c>
      <c r="AD118" s="80" t="str">
        <f t="shared" si="30"/>
        <v>CLJ9</v>
      </c>
      <c r="AE118" s="80" t="str">
        <f t="shared" si="31"/>
        <v>LCOK9</v>
      </c>
      <c r="AF118" s="80" t="str">
        <f t="shared" si="32"/>
        <v>CLK9</v>
      </c>
      <c r="AG118" s="80" t="str">
        <f t="shared" si="33"/>
        <v>LCOM9</v>
      </c>
      <c r="AH118" s="80" t="str">
        <f t="shared" si="34"/>
        <v>LCON9</v>
      </c>
    </row>
    <row r="119" spans="25:34" x14ac:dyDescent="0.35">
      <c r="Y119" s="74">
        <f t="shared" si="35"/>
        <v>43522</v>
      </c>
      <c r="Z119" s="74">
        <f t="shared" ca="1" si="20"/>
        <v>43544</v>
      </c>
      <c r="AA119" s="80" t="str">
        <f t="shared" ca="1" si="21"/>
        <v>CLJ9</v>
      </c>
      <c r="AB119" s="74">
        <f t="shared" si="29"/>
        <v>43524</v>
      </c>
      <c r="AC119" s="80" t="str">
        <f t="shared" si="22"/>
        <v>LCOJ9</v>
      </c>
      <c r="AD119" s="80" t="str">
        <f t="shared" si="30"/>
        <v>CLJ9</v>
      </c>
      <c r="AE119" s="80" t="str">
        <f t="shared" si="31"/>
        <v>LCOK9</v>
      </c>
      <c r="AF119" s="80" t="str">
        <f t="shared" si="32"/>
        <v>CLK9</v>
      </c>
      <c r="AG119" s="80" t="str">
        <f t="shared" si="33"/>
        <v>LCOM9</v>
      </c>
      <c r="AH119" s="80" t="str">
        <f t="shared" si="34"/>
        <v>LCON9</v>
      </c>
    </row>
    <row r="120" spans="25:34" x14ac:dyDescent="0.35">
      <c r="Y120" s="74">
        <f t="shared" si="35"/>
        <v>43523</v>
      </c>
      <c r="Z120" s="74">
        <f t="shared" ca="1" si="20"/>
        <v>43544</v>
      </c>
      <c r="AA120" s="80" t="str">
        <f t="shared" ca="1" si="21"/>
        <v>CLJ9</v>
      </c>
      <c r="AB120" s="74">
        <f t="shared" si="29"/>
        <v>43524</v>
      </c>
      <c r="AC120" s="80" t="str">
        <f t="shared" si="22"/>
        <v>LCOJ9</v>
      </c>
      <c r="AD120" s="80" t="str">
        <f t="shared" si="30"/>
        <v>CLJ9</v>
      </c>
      <c r="AE120" s="80" t="str">
        <f t="shared" si="31"/>
        <v>LCOK9</v>
      </c>
      <c r="AF120" s="80" t="str">
        <f t="shared" si="32"/>
        <v>CLK9</v>
      </c>
      <c r="AG120" s="80" t="str">
        <f t="shared" si="33"/>
        <v>LCOM9</v>
      </c>
      <c r="AH120" s="80" t="str">
        <f t="shared" si="34"/>
        <v>LCON9</v>
      </c>
    </row>
    <row r="121" spans="25:34" x14ac:dyDescent="0.35">
      <c r="Y121" s="74">
        <f t="shared" si="35"/>
        <v>43524</v>
      </c>
      <c r="Z121" s="74">
        <f t="shared" ca="1" si="20"/>
        <v>43544</v>
      </c>
      <c r="AA121" s="80" t="str">
        <f t="shared" ca="1" si="21"/>
        <v>CLJ9</v>
      </c>
      <c r="AB121" s="74">
        <f t="shared" si="29"/>
        <v>43524</v>
      </c>
      <c r="AC121" s="80" t="str">
        <f t="shared" si="22"/>
        <v>LCOJ9</v>
      </c>
      <c r="AD121" s="80" t="str">
        <f t="shared" si="30"/>
        <v>CLJ9</v>
      </c>
      <c r="AE121" s="80" t="str">
        <f t="shared" si="31"/>
        <v>LCOK9</v>
      </c>
      <c r="AF121" s="80" t="str">
        <f t="shared" si="32"/>
        <v>CLK9</v>
      </c>
      <c r="AG121" s="80" t="str">
        <f t="shared" si="33"/>
        <v>LCOM9</v>
      </c>
      <c r="AH121" s="80" t="str">
        <f t="shared" si="34"/>
        <v>LCON9</v>
      </c>
    </row>
    <row r="122" spans="25:34" x14ac:dyDescent="0.35">
      <c r="Y122" s="74">
        <f t="shared" si="35"/>
        <v>43525</v>
      </c>
      <c r="Z122" s="74">
        <f t="shared" ca="1" si="20"/>
        <v>43544</v>
      </c>
      <c r="AA122" s="80" t="str">
        <f t="shared" ca="1" si="21"/>
        <v>CLJ9</v>
      </c>
      <c r="AB122" s="74">
        <f t="shared" si="29"/>
        <v>43553</v>
      </c>
      <c r="AC122" s="80" t="str">
        <f t="shared" si="22"/>
        <v>LCOK9</v>
      </c>
      <c r="AD122" s="80" t="str">
        <f t="shared" si="30"/>
        <v>CLK9</v>
      </c>
      <c r="AE122" s="80" t="str">
        <f t="shared" si="31"/>
        <v>LCOM9</v>
      </c>
      <c r="AF122" s="80" t="str">
        <f t="shared" si="32"/>
        <v>CLM9</v>
      </c>
      <c r="AG122" s="80" t="str">
        <f t="shared" si="33"/>
        <v>LCON9</v>
      </c>
      <c r="AH122" s="80" t="str">
        <f t="shared" si="34"/>
        <v>LCOQ9</v>
      </c>
    </row>
    <row r="123" spans="25:34" x14ac:dyDescent="0.35">
      <c r="Y123" s="74">
        <f t="shared" si="35"/>
        <v>43526</v>
      </c>
      <c r="Z123" s="74">
        <f t="shared" ca="1" si="20"/>
        <v>43544</v>
      </c>
      <c r="AA123" s="80" t="str">
        <f t="shared" ca="1" si="21"/>
        <v>CLJ9</v>
      </c>
      <c r="AB123" s="74">
        <f t="shared" si="29"/>
        <v>43553</v>
      </c>
      <c r="AC123" s="80" t="str">
        <f t="shared" si="22"/>
        <v>LCOK9</v>
      </c>
      <c r="AD123" s="80" t="str">
        <f t="shared" si="30"/>
        <v>CLK9</v>
      </c>
      <c r="AE123" s="80" t="str">
        <f t="shared" si="31"/>
        <v>LCOM9</v>
      </c>
      <c r="AF123" s="80" t="str">
        <f t="shared" si="32"/>
        <v>CLM9</v>
      </c>
      <c r="AG123" s="80" t="str">
        <f t="shared" si="33"/>
        <v>LCON9</v>
      </c>
      <c r="AH123" s="80" t="str">
        <f t="shared" si="34"/>
        <v>LCOQ9</v>
      </c>
    </row>
    <row r="124" spans="25:34" x14ac:dyDescent="0.35">
      <c r="Y124" s="74">
        <f t="shared" si="35"/>
        <v>43527</v>
      </c>
      <c r="Z124" s="74">
        <f t="shared" ca="1" si="20"/>
        <v>43544</v>
      </c>
      <c r="AA124" s="80" t="str">
        <f t="shared" ca="1" si="21"/>
        <v>CLJ9</v>
      </c>
      <c r="AB124" s="74">
        <f t="shared" si="29"/>
        <v>43553</v>
      </c>
      <c r="AC124" s="80" t="str">
        <f t="shared" si="22"/>
        <v>LCOK9</v>
      </c>
      <c r="AD124" s="80" t="str">
        <f t="shared" si="30"/>
        <v>CLK9</v>
      </c>
      <c r="AE124" s="80" t="str">
        <f t="shared" si="31"/>
        <v>LCOM9</v>
      </c>
      <c r="AF124" s="80" t="str">
        <f t="shared" si="32"/>
        <v>CLM9</v>
      </c>
      <c r="AG124" s="80" t="str">
        <f t="shared" si="33"/>
        <v>LCON9</v>
      </c>
      <c r="AH124" s="80" t="str">
        <f t="shared" si="34"/>
        <v>LCOQ9</v>
      </c>
    </row>
    <row r="125" spans="25:34" x14ac:dyDescent="0.35">
      <c r="Y125" s="74">
        <f t="shared" si="35"/>
        <v>43528</v>
      </c>
      <c r="Z125" s="74">
        <f t="shared" ca="1" si="20"/>
        <v>43544</v>
      </c>
      <c r="AA125" s="80" t="str">
        <f t="shared" ca="1" si="21"/>
        <v>CLJ9</v>
      </c>
      <c r="AB125" s="74">
        <f t="shared" si="29"/>
        <v>43553</v>
      </c>
      <c r="AC125" s="80" t="str">
        <f t="shared" si="22"/>
        <v>LCOK9</v>
      </c>
      <c r="AD125" s="80" t="str">
        <f t="shared" si="30"/>
        <v>CLK9</v>
      </c>
      <c r="AE125" s="80" t="str">
        <f t="shared" si="31"/>
        <v>LCOM9</v>
      </c>
      <c r="AF125" s="80" t="str">
        <f t="shared" si="32"/>
        <v>CLM9</v>
      </c>
      <c r="AG125" s="80" t="str">
        <f t="shared" si="33"/>
        <v>LCON9</v>
      </c>
      <c r="AH125" s="80" t="str">
        <f t="shared" si="34"/>
        <v>LCOQ9</v>
      </c>
    </row>
    <row r="126" spans="25:34" x14ac:dyDescent="0.35">
      <c r="Y126" s="74">
        <f t="shared" si="35"/>
        <v>43529</v>
      </c>
      <c r="Z126" s="74">
        <f t="shared" ca="1" si="20"/>
        <v>43544</v>
      </c>
      <c r="AA126" s="80" t="str">
        <f t="shared" ca="1" si="21"/>
        <v>CLJ9</v>
      </c>
      <c r="AB126" s="74">
        <f t="shared" si="29"/>
        <v>43553</v>
      </c>
      <c r="AC126" s="80" t="str">
        <f t="shared" si="22"/>
        <v>LCOK9</v>
      </c>
      <c r="AD126" s="80" t="str">
        <f t="shared" si="30"/>
        <v>CLK9</v>
      </c>
      <c r="AE126" s="80" t="str">
        <f t="shared" si="31"/>
        <v>LCOM9</v>
      </c>
      <c r="AF126" s="80" t="str">
        <f t="shared" si="32"/>
        <v>CLM9</v>
      </c>
      <c r="AG126" s="80" t="str">
        <f t="shared" si="33"/>
        <v>LCON9</v>
      </c>
      <c r="AH126" s="80" t="str">
        <f t="shared" si="34"/>
        <v>LCOQ9</v>
      </c>
    </row>
    <row r="127" spans="25:34" x14ac:dyDescent="0.35">
      <c r="Y127" s="74">
        <f t="shared" si="35"/>
        <v>43530</v>
      </c>
      <c r="Z127" s="74">
        <f t="shared" ca="1" si="20"/>
        <v>43544</v>
      </c>
      <c r="AA127" s="80" t="str">
        <f t="shared" ca="1" si="21"/>
        <v>CLJ9</v>
      </c>
      <c r="AB127" s="74">
        <f t="shared" si="29"/>
        <v>43553</v>
      </c>
      <c r="AC127" s="80" t="str">
        <f t="shared" si="22"/>
        <v>LCOK9</v>
      </c>
      <c r="AD127" s="80" t="str">
        <f t="shared" si="30"/>
        <v>CLK9</v>
      </c>
      <c r="AE127" s="80" t="str">
        <f t="shared" si="31"/>
        <v>LCOM9</v>
      </c>
      <c r="AF127" s="80" t="str">
        <f t="shared" si="32"/>
        <v>CLM9</v>
      </c>
      <c r="AG127" s="80" t="str">
        <f t="shared" si="33"/>
        <v>LCON9</v>
      </c>
      <c r="AH127" s="80" t="str">
        <f t="shared" si="34"/>
        <v>LCOQ9</v>
      </c>
    </row>
    <row r="128" spans="25:34" x14ac:dyDescent="0.35">
      <c r="Y128" s="74">
        <f t="shared" si="35"/>
        <v>43531</v>
      </c>
      <c r="Z128" s="74">
        <f t="shared" ca="1" si="20"/>
        <v>43544</v>
      </c>
      <c r="AA128" s="80" t="str">
        <f t="shared" ca="1" si="21"/>
        <v>CLJ9</v>
      </c>
      <c r="AB128" s="74">
        <f t="shared" si="29"/>
        <v>43553</v>
      </c>
      <c r="AC128" s="80" t="str">
        <f t="shared" si="22"/>
        <v>LCOK9</v>
      </c>
      <c r="AD128" s="80" t="str">
        <f t="shared" si="30"/>
        <v>CLK9</v>
      </c>
      <c r="AE128" s="80" t="str">
        <f t="shared" si="31"/>
        <v>LCOM9</v>
      </c>
      <c r="AF128" s="80" t="str">
        <f t="shared" si="32"/>
        <v>CLM9</v>
      </c>
      <c r="AG128" s="80" t="str">
        <f t="shared" si="33"/>
        <v>LCON9</v>
      </c>
      <c r="AH128" s="80" t="str">
        <f t="shared" si="34"/>
        <v>LCOQ9</v>
      </c>
    </row>
    <row r="129" spans="25:34" x14ac:dyDescent="0.35">
      <c r="Y129" s="74">
        <f t="shared" si="35"/>
        <v>43532</v>
      </c>
      <c r="Z129" s="74">
        <f t="shared" ca="1" si="20"/>
        <v>43544</v>
      </c>
      <c r="AA129" s="80" t="str">
        <f t="shared" ca="1" si="21"/>
        <v>CLJ9</v>
      </c>
      <c r="AB129" s="74">
        <f t="shared" si="29"/>
        <v>43553</v>
      </c>
      <c r="AC129" s="80" t="str">
        <f t="shared" si="22"/>
        <v>LCOK9</v>
      </c>
      <c r="AD129" s="80" t="str">
        <f t="shared" si="30"/>
        <v>CLK9</v>
      </c>
      <c r="AE129" s="80" t="str">
        <f t="shared" si="31"/>
        <v>LCOM9</v>
      </c>
      <c r="AF129" s="80" t="str">
        <f t="shared" si="32"/>
        <v>CLM9</v>
      </c>
      <c r="AG129" s="80" t="str">
        <f t="shared" si="33"/>
        <v>LCON9</v>
      </c>
      <c r="AH129" s="80" t="str">
        <f t="shared" si="34"/>
        <v>LCOQ9</v>
      </c>
    </row>
    <row r="130" spans="25:34" x14ac:dyDescent="0.35">
      <c r="Y130" s="74">
        <f t="shared" si="35"/>
        <v>43533</v>
      </c>
      <c r="Z130" s="74">
        <f t="shared" ref="Z130:Z193" ca="1" si="36">VLOOKUP(AA130,$I$2:$K$39,3,FALSE)</f>
        <v>43544</v>
      </c>
      <c r="AA130" s="80" t="str">
        <f t="shared" ref="AA130:AA193" ca="1" si="37">LOOKUP(2,1/($J$2:$J$700&lt;=$Y130)/($K$2:$K$700&gt;=$Y130),$L$2:$L$700)</f>
        <v>CLJ9</v>
      </c>
      <c r="AB130" s="74">
        <f t="shared" si="29"/>
        <v>43553</v>
      </c>
      <c r="AC130" s="80" t="str">
        <f t="shared" ref="AC130:AC193" si="38">LOOKUP(2,1/($R$2:$R$700&lt;=$Y130)/($S$2:$S$700&gt;=$Y130),$T$2:$T$700)</f>
        <v>LCOK9</v>
      </c>
      <c r="AD130" s="80" t="str">
        <f t="shared" si="30"/>
        <v>CLK9</v>
      </c>
      <c r="AE130" s="80" t="str">
        <f t="shared" si="31"/>
        <v>LCOM9</v>
      </c>
      <c r="AF130" s="80" t="str">
        <f t="shared" si="32"/>
        <v>CLM9</v>
      </c>
      <c r="AG130" s="80" t="str">
        <f t="shared" si="33"/>
        <v>LCON9</v>
      </c>
      <c r="AH130" s="80" t="str">
        <f t="shared" si="34"/>
        <v>LCOQ9</v>
      </c>
    </row>
    <row r="131" spans="25:34" x14ac:dyDescent="0.35">
      <c r="Y131" s="74">
        <f t="shared" si="35"/>
        <v>43534</v>
      </c>
      <c r="Z131" s="74">
        <f t="shared" ca="1" si="36"/>
        <v>43544</v>
      </c>
      <c r="AA131" s="80" t="str">
        <f t="shared" ca="1" si="37"/>
        <v>CLJ9</v>
      </c>
      <c r="AB131" s="74">
        <f t="shared" ref="AB131:AB194" si="39">VLOOKUP(AC131,$Q$2:$S$39,3,FALSE)</f>
        <v>43553</v>
      </c>
      <c r="AC131" s="80" t="str">
        <f t="shared" si="38"/>
        <v>LCOK9</v>
      </c>
      <c r="AD131" s="80" t="str">
        <f t="shared" ref="AD131:AD194" si="40">CONCATENATE("CL",RIGHT(AC131,2))</f>
        <v>CLK9</v>
      </c>
      <c r="AE131" s="80" t="str">
        <f t="shared" ref="AE131:AE194" si="41">LOOKUP(2,1/($R$2:$R$700&lt;=$Y131)/($S$2:$S$700&gt;=$Y131),$U$2:$U$700)</f>
        <v>LCOM9</v>
      </c>
      <c r="AF131" s="80" t="str">
        <f t="shared" ref="AF131:AF194" si="42">CONCATENATE("CL",RIGHT(AE131,2))</f>
        <v>CLM9</v>
      </c>
      <c r="AG131" s="80" t="str">
        <f t="shared" ref="AG131:AG194" si="43">LOOKUP(2,1/($R$2:$R$700&lt;=$Y131)/($S$2:$S$700&gt;=$Y131),$V$2:$V$700)</f>
        <v>LCON9</v>
      </c>
      <c r="AH131" s="80" t="str">
        <f t="shared" ref="AH131:AH194" si="44">LOOKUP(2,1/($R$2:$R$700&lt;=$Y131)/($S$2:$S$700&gt;=$Y131),$W$2:$W$700)</f>
        <v>LCOQ9</v>
      </c>
    </row>
    <row r="132" spans="25:34" x14ac:dyDescent="0.35">
      <c r="Y132" s="74">
        <f t="shared" si="35"/>
        <v>43535</v>
      </c>
      <c r="Z132" s="74">
        <f t="shared" ca="1" si="36"/>
        <v>43544</v>
      </c>
      <c r="AA132" s="80" t="str">
        <f t="shared" ca="1" si="37"/>
        <v>CLJ9</v>
      </c>
      <c r="AB132" s="74">
        <f t="shared" si="39"/>
        <v>43553</v>
      </c>
      <c r="AC132" s="80" t="str">
        <f t="shared" si="38"/>
        <v>LCOK9</v>
      </c>
      <c r="AD132" s="80" t="str">
        <f t="shared" si="40"/>
        <v>CLK9</v>
      </c>
      <c r="AE132" s="80" t="str">
        <f t="shared" si="41"/>
        <v>LCOM9</v>
      </c>
      <c r="AF132" s="80" t="str">
        <f t="shared" si="42"/>
        <v>CLM9</v>
      </c>
      <c r="AG132" s="80" t="str">
        <f t="shared" si="43"/>
        <v>LCON9</v>
      </c>
      <c r="AH132" s="80" t="str">
        <f t="shared" si="44"/>
        <v>LCOQ9</v>
      </c>
    </row>
    <row r="133" spans="25:34" x14ac:dyDescent="0.35">
      <c r="Y133" s="74">
        <f t="shared" si="35"/>
        <v>43536</v>
      </c>
      <c r="Z133" s="74">
        <f t="shared" ca="1" si="36"/>
        <v>43544</v>
      </c>
      <c r="AA133" s="80" t="str">
        <f t="shared" ca="1" si="37"/>
        <v>CLJ9</v>
      </c>
      <c r="AB133" s="74">
        <f t="shared" si="39"/>
        <v>43553</v>
      </c>
      <c r="AC133" s="80" t="str">
        <f t="shared" si="38"/>
        <v>LCOK9</v>
      </c>
      <c r="AD133" s="80" t="str">
        <f t="shared" si="40"/>
        <v>CLK9</v>
      </c>
      <c r="AE133" s="80" t="str">
        <f t="shared" si="41"/>
        <v>LCOM9</v>
      </c>
      <c r="AF133" s="80" t="str">
        <f t="shared" si="42"/>
        <v>CLM9</v>
      </c>
      <c r="AG133" s="80" t="str">
        <f t="shared" si="43"/>
        <v>LCON9</v>
      </c>
      <c r="AH133" s="80" t="str">
        <f t="shared" si="44"/>
        <v>LCOQ9</v>
      </c>
    </row>
    <row r="134" spans="25:34" x14ac:dyDescent="0.35">
      <c r="Y134" s="74">
        <f t="shared" si="35"/>
        <v>43537</v>
      </c>
      <c r="Z134" s="74">
        <f t="shared" ca="1" si="36"/>
        <v>43544</v>
      </c>
      <c r="AA134" s="80" t="str">
        <f t="shared" ca="1" si="37"/>
        <v>CLJ9</v>
      </c>
      <c r="AB134" s="74">
        <f t="shared" si="39"/>
        <v>43553</v>
      </c>
      <c r="AC134" s="80" t="str">
        <f t="shared" si="38"/>
        <v>LCOK9</v>
      </c>
      <c r="AD134" s="80" t="str">
        <f t="shared" si="40"/>
        <v>CLK9</v>
      </c>
      <c r="AE134" s="80" t="str">
        <f t="shared" si="41"/>
        <v>LCOM9</v>
      </c>
      <c r="AF134" s="80" t="str">
        <f t="shared" si="42"/>
        <v>CLM9</v>
      </c>
      <c r="AG134" s="80" t="str">
        <f t="shared" si="43"/>
        <v>LCON9</v>
      </c>
      <c r="AH134" s="80" t="str">
        <f t="shared" si="44"/>
        <v>LCOQ9</v>
      </c>
    </row>
    <row r="135" spans="25:34" x14ac:dyDescent="0.35">
      <c r="Y135" s="74">
        <f t="shared" si="35"/>
        <v>43538</v>
      </c>
      <c r="Z135" s="74">
        <f t="shared" ca="1" si="36"/>
        <v>43544</v>
      </c>
      <c r="AA135" s="80" t="str">
        <f t="shared" ca="1" si="37"/>
        <v>CLJ9</v>
      </c>
      <c r="AB135" s="74">
        <f t="shared" si="39"/>
        <v>43553</v>
      </c>
      <c r="AC135" s="80" t="str">
        <f t="shared" si="38"/>
        <v>LCOK9</v>
      </c>
      <c r="AD135" s="80" t="str">
        <f t="shared" si="40"/>
        <v>CLK9</v>
      </c>
      <c r="AE135" s="80" t="str">
        <f t="shared" si="41"/>
        <v>LCOM9</v>
      </c>
      <c r="AF135" s="80" t="str">
        <f t="shared" si="42"/>
        <v>CLM9</v>
      </c>
      <c r="AG135" s="80" t="str">
        <f t="shared" si="43"/>
        <v>LCON9</v>
      </c>
      <c r="AH135" s="80" t="str">
        <f t="shared" si="44"/>
        <v>LCOQ9</v>
      </c>
    </row>
    <row r="136" spans="25:34" x14ac:dyDescent="0.35">
      <c r="Y136" s="74">
        <f t="shared" si="35"/>
        <v>43539</v>
      </c>
      <c r="Z136" s="74">
        <f t="shared" ca="1" si="36"/>
        <v>43544</v>
      </c>
      <c r="AA136" s="80" t="str">
        <f t="shared" ca="1" si="37"/>
        <v>CLJ9</v>
      </c>
      <c r="AB136" s="74">
        <f t="shared" si="39"/>
        <v>43553</v>
      </c>
      <c r="AC136" s="80" t="str">
        <f t="shared" si="38"/>
        <v>LCOK9</v>
      </c>
      <c r="AD136" s="80" t="str">
        <f t="shared" si="40"/>
        <v>CLK9</v>
      </c>
      <c r="AE136" s="80" t="str">
        <f t="shared" si="41"/>
        <v>LCOM9</v>
      </c>
      <c r="AF136" s="80" t="str">
        <f t="shared" si="42"/>
        <v>CLM9</v>
      </c>
      <c r="AG136" s="80" t="str">
        <f t="shared" si="43"/>
        <v>LCON9</v>
      </c>
      <c r="AH136" s="80" t="str">
        <f t="shared" si="44"/>
        <v>LCOQ9</v>
      </c>
    </row>
    <row r="137" spans="25:34" x14ac:dyDescent="0.35">
      <c r="Y137" s="74">
        <f t="shared" si="35"/>
        <v>43540</v>
      </c>
      <c r="Z137" s="74">
        <f t="shared" ca="1" si="36"/>
        <v>43544</v>
      </c>
      <c r="AA137" s="80" t="str">
        <f t="shared" ca="1" si="37"/>
        <v>CLJ9</v>
      </c>
      <c r="AB137" s="74">
        <f t="shared" si="39"/>
        <v>43553</v>
      </c>
      <c r="AC137" s="80" t="str">
        <f t="shared" si="38"/>
        <v>LCOK9</v>
      </c>
      <c r="AD137" s="80" t="str">
        <f t="shared" si="40"/>
        <v>CLK9</v>
      </c>
      <c r="AE137" s="80" t="str">
        <f t="shared" si="41"/>
        <v>LCOM9</v>
      </c>
      <c r="AF137" s="80" t="str">
        <f t="shared" si="42"/>
        <v>CLM9</v>
      </c>
      <c r="AG137" s="80" t="str">
        <f t="shared" si="43"/>
        <v>LCON9</v>
      </c>
      <c r="AH137" s="80" t="str">
        <f t="shared" si="44"/>
        <v>LCOQ9</v>
      </c>
    </row>
    <row r="138" spans="25:34" x14ac:dyDescent="0.35">
      <c r="Y138" s="74">
        <f t="shared" si="35"/>
        <v>43541</v>
      </c>
      <c r="Z138" s="74">
        <f t="shared" ca="1" si="36"/>
        <v>43544</v>
      </c>
      <c r="AA138" s="80" t="str">
        <f t="shared" ca="1" si="37"/>
        <v>CLJ9</v>
      </c>
      <c r="AB138" s="74">
        <f t="shared" si="39"/>
        <v>43553</v>
      </c>
      <c r="AC138" s="80" t="str">
        <f t="shared" si="38"/>
        <v>LCOK9</v>
      </c>
      <c r="AD138" s="80" t="str">
        <f t="shared" si="40"/>
        <v>CLK9</v>
      </c>
      <c r="AE138" s="80" t="str">
        <f t="shared" si="41"/>
        <v>LCOM9</v>
      </c>
      <c r="AF138" s="80" t="str">
        <f t="shared" si="42"/>
        <v>CLM9</v>
      </c>
      <c r="AG138" s="80" t="str">
        <f t="shared" si="43"/>
        <v>LCON9</v>
      </c>
      <c r="AH138" s="80" t="str">
        <f t="shared" si="44"/>
        <v>LCOQ9</v>
      </c>
    </row>
    <row r="139" spans="25:34" x14ac:dyDescent="0.35">
      <c r="Y139" s="74">
        <f t="shared" si="35"/>
        <v>43542</v>
      </c>
      <c r="Z139" s="74">
        <f t="shared" ca="1" si="36"/>
        <v>43544</v>
      </c>
      <c r="AA139" s="80" t="str">
        <f t="shared" ca="1" si="37"/>
        <v>CLJ9</v>
      </c>
      <c r="AB139" s="74">
        <f t="shared" si="39"/>
        <v>43553</v>
      </c>
      <c r="AC139" s="80" t="str">
        <f t="shared" si="38"/>
        <v>LCOK9</v>
      </c>
      <c r="AD139" s="80" t="str">
        <f t="shared" si="40"/>
        <v>CLK9</v>
      </c>
      <c r="AE139" s="80" t="str">
        <f t="shared" si="41"/>
        <v>LCOM9</v>
      </c>
      <c r="AF139" s="80" t="str">
        <f t="shared" si="42"/>
        <v>CLM9</v>
      </c>
      <c r="AG139" s="80" t="str">
        <f t="shared" si="43"/>
        <v>LCON9</v>
      </c>
      <c r="AH139" s="80" t="str">
        <f t="shared" si="44"/>
        <v>LCOQ9</v>
      </c>
    </row>
    <row r="140" spans="25:34" x14ac:dyDescent="0.35">
      <c r="Y140" s="74">
        <f t="shared" si="35"/>
        <v>43543</v>
      </c>
      <c r="Z140" s="74">
        <f t="shared" ca="1" si="36"/>
        <v>43544</v>
      </c>
      <c r="AA140" s="80" t="str">
        <f t="shared" ca="1" si="37"/>
        <v>CLJ9</v>
      </c>
      <c r="AB140" s="74">
        <f t="shared" si="39"/>
        <v>43553</v>
      </c>
      <c r="AC140" s="80" t="str">
        <f t="shared" si="38"/>
        <v>LCOK9</v>
      </c>
      <c r="AD140" s="80" t="str">
        <f t="shared" si="40"/>
        <v>CLK9</v>
      </c>
      <c r="AE140" s="80" t="str">
        <f t="shared" si="41"/>
        <v>LCOM9</v>
      </c>
      <c r="AF140" s="80" t="str">
        <f t="shared" si="42"/>
        <v>CLM9</v>
      </c>
      <c r="AG140" s="80" t="str">
        <f t="shared" si="43"/>
        <v>LCON9</v>
      </c>
      <c r="AH140" s="80" t="str">
        <f t="shared" si="44"/>
        <v>LCOQ9</v>
      </c>
    </row>
    <row r="141" spans="25:34" x14ac:dyDescent="0.35">
      <c r="Y141" s="74">
        <f t="shared" si="35"/>
        <v>43544</v>
      </c>
      <c r="Z141" s="74">
        <f t="shared" ca="1" si="36"/>
        <v>43544</v>
      </c>
      <c r="AA141" s="80" t="str">
        <f t="shared" ca="1" si="37"/>
        <v>CLJ9</v>
      </c>
      <c r="AB141" s="74">
        <f t="shared" si="39"/>
        <v>43553</v>
      </c>
      <c r="AC141" s="80" t="str">
        <f t="shared" si="38"/>
        <v>LCOK9</v>
      </c>
      <c r="AD141" s="80" t="str">
        <f t="shared" si="40"/>
        <v>CLK9</v>
      </c>
      <c r="AE141" s="80" t="str">
        <f t="shared" si="41"/>
        <v>LCOM9</v>
      </c>
      <c r="AF141" s="80" t="str">
        <f t="shared" si="42"/>
        <v>CLM9</v>
      </c>
      <c r="AG141" s="80" t="str">
        <f t="shared" si="43"/>
        <v>LCON9</v>
      </c>
      <c r="AH141" s="80" t="str">
        <f t="shared" si="44"/>
        <v>LCOQ9</v>
      </c>
    </row>
    <row r="142" spans="25:34" x14ac:dyDescent="0.35">
      <c r="Y142" s="74">
        <f t="shared" si="35"/>
        <v>43545</v>
      </c>
      <c r="Z142" s="74">
        <f t="shared" ca="1" si="36"/>
        <v>43577</v>
      </c>
      <c r="AA142" s="80" t="str">
        <f t="shared" ca="1" si="37"/>
        <v>CLK9</v>
      </c>
      <c r="AB142" s="74">
        <f t="shared" si="39"/>
        <v>43553</v>
      </c>
      <c r="AC142" s="80" t="str">
        <f t="shared" si="38"/>
        <v>LCOK9</v>
      </c>
      <c r="AD142" s="80" t="str">
        <f t="shared" si="40"/>
        <v>CLK9</v>
      </c>
      <c r="AE142" s="80" t="str">
        <f t="shared" si="41"/>
        <v>LCOM9</v>
      </c>
      <c r="AF142" s="80" t="str">
        <f t="shared" si="42"/>
        <v>CLM9</v>
      </c>
      <c r="AG142" s="80" t="str">
        <f t="shared" si="43"/>
        <v>LCON9</v>
      </c>
      <c r="AH142" s="80" t="str">
        <f t="shared" si="44"/>
        <v>LCOQ9</v>
      </c>
    </row>
    <row r="143" spans="25:34" x14ac:dyDescent="0.35">
      <c r="Y143" s="74">
        <f t="shared" si="35"/>
        <v>43546</v>
      </c>
      <c r="Z143" s="74">
        <f t="shared" ca="1" si="36"/>
        <v>43577</v>
      </c>
      <c r="AA143" s="80" t="str">
        <f t="shared" ca="1" si="37"/>
        <v>CLK9</v>
      </c>
      <c r="AB143" s="74">
        <f t="shared" si="39"/>
        <v>43553</v>
      </c>
      <c r="AC143" s="80" t="str">
        <f t="shared" si="38"/>
        <v>LCOK9</v>
      </c>
      <c r="AD143" s="80" t="str">
        <f t="shared" si="40"/>
        <v>CLK9</v>
      </c>
      <c r="AE143" s="80" t="str">
        <f t="shared" si="41"/>
        <v>LCOM9</v>
      </c>
      <c r="AF143" s="80" t="str">
        <f t="shared" si="42"/>
        <v>CLM9</v>
      </c>
      <c r="AG143" s="80" t="str">
        <f t="shared" si="43"/>
        <v>LCON9</v>
      </c>
      <c r="AH143" s="80" t="str">
        <f t="shared" si="44"/>
        <v>LCOQ9</v>
      </c>
    </row>
    <row r="144" spans="25:34" x14ac:dyDescent="0.35">
      <c r="Y144" s="74">
        <f t="shared" si="35"/>
        <v>43547</v>
      </c>
      <c r="Z144" s="74">
        <f t="shared" ca="1" si="36"/>
        <v>43577</v>
      </c>
      <c r="AA144" s="80" t="str">
        <f t="shared" ca="1" si="37"/>
        <v>CLK9</v>
      </c>
      <c r="AB144" s="74">
        <f t="shared" si="39"/>
        <v>43553</v>
      </c>
      <c r="AC144" s="80" t="str">
        <f t="shared" si="38"/>
        <v>LCOK9</v>
      </c>
      <c r="AD144" s="80" t="str">
        <f t="shared" si="40"/>
        <v>CLK9</v>
      </c>
      <c r="AE144" s="80" t="str">
        <f t="shared" si="41"/>
        <v>LCOM9</v>
      </c>
      <c r="AF144" s="80" t="str">
        <f t="shared" si="42"/>
        <v>CLM9</v>
      </c>
      <c r="AG144" s="80" t="str">
        <f t="shared" si="43"/>
        <v>LCON9</v>
      </c>
      <c r="AH144" s="80" t="str">
        <f t="shared" si="44"/>
        <v>LCOQ9</v>
      </c>
    </row>
    <row r="145" spans="25:34" x14ac:dyDescent="0.35">
      <c r="Y145" s="74">
        <f t="shared" si="35"/>
        <v>43548</v>
      </c>
      <c r="Z145" s="74">
        <f t="shared" ca="1" si="36"/>
        <v>43577</v>
      </c>
      <c r="AA145" s="80" t="str">
        <f t="shared" ca="1" si="37"/>
        <v>CLK9</v>
      </c>
      <c r="AB145" s="74">
        <f t="shared" si="39"/>
        <v>43553</v>
      </c>
      <c r="AC145" s="80" t="str">
        <f t="shared" si="38"/>
        <v>LCOK9</v>
      </c>
      <c r="AD145" s="80" t="str">
        <f t="shared" si="40"/>
        <v>CLK9</v>
      </c>
      <c r="AE145" s="80" t="str">
        <f t="shared" si="41"/>
        <v>LCOM9</v>
      </c>
      <c r="AF145" s="80" t="str">
        <f t="shared" si="42"/>
        <v>CLM9</v>
      </c>
      <c r="AG145" s="80" t="str">
        <f t="shared" si="43"/>
        <v>LCON9</v>
      </c>
      <c r="AH145" s="80" t="str">
        <f t="shared" si="44"/>
        <v>LCOQ9</v>
      </c>
    </row>
    <row r="146" spans="25:34" x14ac:dyDescent="0.35">
      <c r="Y146" s="74">
        <f t="shared" si="35"/>
        <v>43549</v>
      </c>
      <c r="Z146" s="74">
        <f t="shared" ca="1" si="36"/>
        <v>43577</v>
      </c>
      <c r="AA146" s="80" t="str">
        <f t="shared" ca="1" si="37"/>
        <v>CLK9</v>
      </c>
      <c r="AB146" s="74">
        <f t="shared" si="39"/>
        <v>43553</v>
      </c>
      <c r="AC146" s="80" t="str">
        <f t="shared" si="38"/>
        <v>LCOK9</v>
      </c>
      <c r="AD146" s="80" t="str">
        <f t="shared" si="40"/>
        <v>CLK9</v>
      </c>
      <c r="AE146" s="80" t="str">
        <f t="shared" si="41"/>
        <v>LCOM9</v>
      </c>
      <c r="AF146" s="80" t="str">
        <f t="shared" si="42"/>
        <v>CLM9</v>
      </c>
      <c r="AG146" s="80" t="str">
        <f t="shared" si="43"/>
        <v>LCON9</v>
      </c>
      <c r="AH146" s="80" t="str">
        <f t="shared" si="44"/>
        <v>LCOQ9</v>
      </c>
    </row>
    <row r="147" spans="25:34" x14ac:dyDescent="0.35">
      <c r="Y147" s="74">
        <f t="shared" si="35"/>
        <v>43550</v>
      </c>
      <c r="Z147" s="74">
        <f t="shared" ca="1" si="36"/>
        <v>43577</v>
      </c>
      <c r="AA147" s="80" t="str">
        <f t="shared" ca="1" si="37"/>
        <v>CLK9</v>
      </c>
      <c r="AB147" s="74">
        <f t="shared" si="39"/>
        <v>43553</v>
      </c>
      <c r="AC147" s="80" t="str">
        <f t="shared" si="38"/>
        <v>LCOK9</v>
      </c>
      <c r="AD147" s="80" t="str">
        <f t="shared" si="40"/>
        <v>CLK9</v>
      </c>
      <c r="AE147" s="80" t="str">
        <f t="shared" si="41"/>
        <v>LCOM9</v>
      </c>
      <c r="AF147" s="80" t="str">
        <f t="shared" si="42"/>
        <v>CLM9</v>
      </c>
      <c r="AG147" s="80" t="str">
        <f t="shared" si="43"/>
        <v>LCON9</v>
      </c>
      <c r="AH147" s="80" t="str">
        <f t="shared" si="44"/>
        <v>LCOQ9</v>
      </c>
    </row>
    <row r="148" spans="25:34" x14ac:dyDescent="0.35">
      <c r="Y148" s="74">
        <f t="shared" si="35"/>
        <v>43551</v>
      </c>
      <c r="Z148" s="74">
        <f t="shared" ca="1" si="36"/>
        <v>43577</v>
      </c>
      <c r="AA148" s="80" t="str">
        <f t="shared" ca="1" si="37"/>
        <v>CLK9</v>
      </c>
      <c r="AB148" s="74">
        <f t="shared" si="39"/>
        <v>43553</v>
      </c>
      <c r="AC148" s="80" t="str">
        <f t="shared" si="38"/>
        <v>LCOK9</v>
      </c>
      <c r="AD148" s="80" t="str">
        <f t="shared" si="40"/>
        <v>CLK9</v>
      </c>
      <c r="AE148" s="80" t="str">
        <f t="shared" si="41"/>
        <v>LCOM9</v>
      </c>
      <c r="AF148" s="80" t="str">
        <f t="shared" si="42"/>
        <v>CLM9</v>
      </c>
      <c r="AG148" s="80" t="str">
        <f t="shared" si="43"/>
        <v>LCON9</v>
      </c>
      <c r="AH148" s="80" t="str">
        <f t="shared" si="44"/>
        <v>LCOQ9</v>
      </c>
    </row>
    <row r="149" spans="25:34" x14ac:dyDescent="0.35">
      <c r="Y149" s="74">
        <f t="shared" si="35"/>
        <v>43552</v>
      </c>
      <c r="Z149" s="74">
        <f t="shared" ca="1" si="36"/>
        <v>43577</v>
      </c>
      <c r="AA149" s="80" t="str">
        <f t="shared" ca="1" si="37"/>
        <v>CLK9</v>
      </c>
      <c r="AB149" s="74">
        <f t="shared" si="39"/>
        <v>43553</v>
      </c>
      <c r="AC149" s="80" t="str">
        <f t="shared" si="38"/>
        <v>LCOK9</v>
      </c>
      <c r="AD149" s="80" t="str">
        <f t="shared" si="40"/>
        <v>CLK9</v>
      </c>
      <c r="AE149" s="80" t="str">
        <f t="shared" si="41"/>
        <v>LCOM9</v>
      </c>
      <c r="AF149" s="80" t="str">
        <f t="shared" si="42"/>
        <v>CLM9</v>
      </c>
      <c r="AG149" s="80" t="str">
        <f t="shared" si="43"/>
        <v>LCON9</v>
      </c>
      <c r="AH149" s="80" t="str">
        <f t="shared" si="44"/>
        <v>LCOQ9</v>
      </c>
    </row>
    <row r="150" spans="25:34" x14ac:dyDescent="0.35">
      <c r="Y150" s="74">
        <f t="shared" si="35"/>
        <v>43553</v>
      </c>
      <c r="Z150" s="74">
        <f t="shared" ca="1" si="36"/>
        <v>43577</v>
      </c>
      <c r="AA150" s="80" t="str">
        <f t="shared" ca="1" si="37"/>
        <v>CLK9</v>
      </c>
      <c r="AB150" s="74">
        <f t="shared" si="39"/>
        <v>43553</v>
      </c>
      <c r="AC150" s="80" t="str">
        <f t="shared" si="38"/>
        <v>LCOK9</v>
      </c>
      <c r="AD150" s="80" t="str">
        <f t="shared" si="40"/>
        <v>CLK9</v>
      </c>
      <c r="AE150" s="80" t="str">
        <f t="shared" si="41"/>
        <v>LCOM9</v>
      </c>
      <c r="AF150" s="80" t="str">
        <f t="shared" si="42"/>
        <v>CLM9</v>
      </c>
      <c r="AG150" s="80" t="str">
        <f t="shared" si="43"/>
        <v>LCON9</v>
      </c>
      <c r="AH150" s="80" t="str">
        <f t="shared" si="44"/>
        <v>LCOQ9</v>
      </c>
    </row>
    <row r="151" spans="25:34" x14ac:dyDescent="0.35">
      <c r="Y151" s="74">
        <f t="shared" si="35"/>
        <v>43554</v>
      </c>
      <c r="Z151" s="74">
        <f t="shared" ca="1" si="36"/>
        <v>43577</v>
      </c>
      <c r="AA151" s="80" t="str">
        <f t="shared" ca="1" si="37"/>
        <v>CLK9</v>
      </c>
      <c r="AB151" s="74">
        <f t="shared" si="39"/>
        <v>43585</v>
      </c>
      <c r="AC151" s="80" t="str">
        <f t="shared" si="38"/>
        <v>LCOM9</v>
      </c>
      <c r="AD151" s="80" t="str">
        <f t="shared" si="40"/>
        <v>CLM9</v>
      </c>
      <c r="AE151" s="80" t="str">
        <f t="shared" si="41"/>
        <v>LCON9</v>
      </c>
      <c r="AF151" s="80" t="str">
        <f t="shared" si="42"/>
        <v>CLN9</v>
      </c>
      <c r="AG151" s="80" t="str">
        <f t="shared" si="43"/>
        <v>LCOQ9</v>
      </c>
      <c r="AH151" s="80" t="str">
        <f t="shared" si="44"/>
        <v>LCOU9</v>
      </c>
    </row>
    <row r="152" spans="25:34" x14ac:dyDescent="0.35">
      <c r="Y152" s="74">
        <f t="shared" si="35"/>
        <v>43555</v>
      </c>
      <c r="Z152" s="74">
        <f t="shared" ca="1" si="36"/>
        <v>43577</v>
      </c>
      <c r="AA152" s="80" t="str">
        <f t="shared" ca="1" si="37"/>
        <v>CLK9</v>
      </c>
      <c r="AB152" s="74">
        <f t="shared" si="39"/>
        <v>43585</v>
      </c>
      <c r="AC152" s="80" t="str">
        <f t="shared" si="38"/>
        <v>LCOM9</v>
      </c>
      <c r="AD152" s="80" t="str">
        <f t="shared" si="40"/>
        <v>CLM9</v>
      </c>
      <c r="AE152" s="80" t="str">
        <f t="shared" si="41"/>
        <v>LCON9</v>
      </c>
      <c r="AF152" s="80" t="str">
        <f t="shared" si="42"/>
        <v>CLN9</v>
      </c>
      <c r="AG152" s="80" t="str">
        <f t="shared" si="43"/>
        <v>LCOQ9</v>
      </c>
      <c r="AH152" s="80" t="str">
        <f t="shared" si="44"/>
        <v>LCOU9</v>
      </c>
    </row>
    <row r="153" spans="25:34" x14ac:dyDescent="0.35">
      <c r="Y153" s="74">
        <f t="shared" si="35"/>
        <v>43556</v>
      </c>
      <c r="Z153" s="74">
        <f t="shared" ca="1" si="36"/>
        <v>43577</v>
      </c>
      <c r="AA153" s="80" t="str">
        <f t="shared" ca="1" si="37"/>
        <v>CLK9</v>
      </c>
      <c r="AB153" s="74">
        <f t="shared" si="39"/>
        <v>43585</v>
      </c>
      <c r="AC153" s="80" t="str">
        <f t="shared" si="38"/>
        <v>LCOM9</v>
      </c>
      <c r="AD153" s="80" t="str">
        <f t="shared" si="40"/>
        <v>CLM9</v>
      </c>
      <c r="AE153" s="80" t="str">
        <f t="shared" si="41"/>
        <v>LCON9</v>
      </c>
      <c r="AF153" s="80" t="str">
        <f t="shared" si="42"/>
        <v>CLN9</v>
      </c>
      <c r="AG153" s="80" t="str">
        <f t="shared" si="43"/>
        <v>LCOQ9</v>
      </c>
      <c r="AH153" s="80" t="str">
        <f t="shared" si="44"/>
        <v>LCOU9</v>
      </c>
    </row>
    <row r="154" spans="25:34" x14ac:dyDescent="0.35">
      <c r="Y154" s="74">
        <f t="shared" si="35"/>
        <v>43557</v>
      </c>
      <c r="Z154" s="74">
        <f t="shared" ca="1" si="36"/>
        <v>43577</v>
      </c>
      <c r="AA154" s="80" t="str">
        <f t="shared" ca="1" si="37"/>
        <v>CLK9</v>
      </c>
      <c r="AB154" s="74">
        <f t="shared" si="39"/>
        <v>43585</v>
      </c>
      <c r="AC154" s="80" t="str">
        <f t="shared" si="38"/>
        <v>LCOM9</v>
      </c>
      <c r="AD154" s="80" t="str">
        <f t="shared" si="40"/>
        <v>CLM9</v>
      </c>
      <c r="AE154" s="80" t="str">
        <f t="shared" si="41"/>
        <v>LCON9</v>
      </c>
      <c r="AF154" s="80" t="str">
        <f t="shared" si="42"/>
        <v>CLN9</v>
      </c>
      <c r="AG154" s="80" t="str">
        <f t="shared" si="43"/>
        <v>LCOQ9</v>
      </c>
      <c r="AH154" s="80" t="str">
        <f t="shared" si="44"/>
        <v>LCOU9</v>
      </c>
    </row>
    <row r="155" spans="25:34" x14ac:dyDescent="0.35">
      <c r="Y155" s="74">
        <f t="shared" si="35"/>
        <v>43558</v>
      </c>
      <c r="Z155" s="74">
        <f t="shared" ca="1" si="36"/>
        <v>43577</v>
      </c>
      <c r="AA155" s="80" t="str">
        <f t="shared" ca="1" si="37"/>
        <v>CLK9</v>
      </c>
      <c r="AB155" s="74">
        <f t="shared" si="39"/>
        <v>43585</v>
      </c>
      <c r="AC155" s="80" t="str">
        <f t="shared" si="38"/>
        <v>LCOM9</v>
      </c>
      <c r="AD155" s="80" t="str">
        <f t="shared" si="40"/>
        <v>CLM9</v>
      </c>
      <c r="AE155" s="80" t="str">
        <f t="shared" si="41"/>
        <v>LCON9</v>
      </c>
      <c r="AF155" s="80" t="str">
        <f t="shared" si="42"/>
        <v>CLN9</v>
      </c>
      <c r="AG155" s="80" t="str">
        <f t="shared" si="43"/>
        <v>LCOQ9</v>
      </c>
      <c r="AH155" s="80" t="str">
        <f t="shared" si="44"/>
        <v>LCOU9</v>
      </c>
    </row>
    <row r="156" spans="25:34" x14ac:dyDescent="0.35">
      <c r="Y156" s="74">
        <f t="shared" si="35"/>
        <v>43559</v>
      </c>
      <c r="Z156" s="74">
        <f t="shared" ca="1" si="36"/>
        <v>43577</v>
      </c>
      <c r="AA156" s="80" t="str">
        <f t="shared" ca="1" si="37"/>
        <v>CLK9</v>
      </c>
      <c r="AB156" s="74">
        <f t="shared" si="39"/>
        <v>43585</v>
      </c>
      <c r="AC156" s="80" t="str">
        <f t="shared" si="38"/>
        <v>LCOM9</v>
      </c>
      <c r="AD156" s="80" t="str">
        <f t="shared" si="40"/>
        <v>CLM9</v>
      </c>
      <c r="AE156" s="80" t="str">
        <f t="shared" si="41"/>
        <v>LCON9</v>
      </c>
      <c r="AF156" s="80" t="str">
        <f t="shared" si="42"/>
        <v>CLN9</v>
      </c>
      <c r="AG156" s="80" t="str">
        <f t="shared" si="43"/>
        <v>LCOQ9</v>
      </c>
      <c r="AH156" s="80" t="str">
        <f t="shared" si="44"/>
        <v>LCOU9</v>
      </c>
    </row>
    <row r="157" spans="25:34" x14ac:dyDescent="0.35">
      <c r="Y157" s="74">
        <f t="shared" si="35"/>
        <v>43560</v>
      </c>
      <c r="Z157" s="74">
        <f t="shared" ca="1" si="36"/>
        <v>43577</v>
      </c>
      <c r="AA157" s="80" t="str">
        <f t="shared" ca="1" si="37"/>
        <v>CLK9</v>
      </c>
      <c r="AB157" s="74">
        <f t="shared" si="39"/>
        <v>43585</v>
      </c>
      <c r="AC157" s="80" t="str">
        <f t="shared" si="38"/>
        <v>LCOM9</v>
      </c>
      <c r="AD157" s="80" t="str">
        <f t="shared" si="40"/>
        <v>CLM9</v>
      </c>
      <c r="AE157" s="80" t="str">
        <f t="shared" si="41"/>
        <v>LCON9</v>
      </c>
      <c r="AF157" s="80" t="str">
        <f t="shared" si="42"/>
        <v>CLN9</v>
      </c>
      <c r="AG157" s="80" t="str">
        <f t="shared" si="43"/>
        <v>LCOQ9</v>
      </c>
      <c r="AH157" s="80" t="str">
        <f t="shared" si="44"/>
        <v>LCOU9</v>
      </c>
    </row>
    <row r="158" spans="25:34" x14ac:dyDescent="0.35">
      <c r="Y158" s="74">
        <f t="shared" si="35"/>
        <v>43561</v>
      </c>
      <c r="Z158" s="74">
        <f t="shared" ca="1" si="36"/>
        <v>43577</v>
      </c>
      <c r="AA158" s="80" t="str">
        <f t="shared" ca="1" si="37"/>
        <v>CLK9</v>
      </c>
      <c r="AB158" s="74">
        <f t="shared" si="39"/>
        <v>43585</v>
      </c>
      <c r="AC158" s="80" t="str">
        <f t="shared" si="38"/>
        <v>LCOM9</v>
      </c>
      <c r="AD158" s="80" t="str">
        <f t="shared" si="40"/>
        <v>CLM9</v>
      </c>
      <c r="AE158" s="80" t="str">
        <f t="shared" si="41"/>
        <v>LCON9</v>
      </c>
      <c r="AF158" s="80" t="str">
        <f t="shared" si="42"/>
        <v>CLN9</v>
      </c>
      <c r="AG158" s="80" t="str">
        <f t="shared" si="43"/>
        <v>LCOQ9</v>
      </c>
      <c r="AH158" s="80" t="str">
        <f t="shared" si="44"/>
        <v>LCOU9</v>
      </c>
    </row>
    <row r="159" spans="25:34" x14ac:dyDescent="0.35">
      <c r="Y159" s="74">
        <f t="shared" si="35"/>
        <v>43562</v>
      </c>
      <c r="Z159" s="74">
        <f t="shared" ca="1" si="36"/>
        <v>43577</v>
      </c>
      <c r="AA159" s="80" t="str">
        <f t="shared" ca="1" si="37"/>
        <v>CLK9</v>
      </c>
      <c r="AB159" s="74">
        <f t="shared" si="39"/>
        <v>43585</v>
      </c>
      <c r="AC159" s="80" t="str">
        <f t="shared" si="38"/>
        <v>LCOM9</v>
      </c>
      <c r="AD159" s="80" t="str">
        <f t="shared" si="40"/>
        <v>CLM9</v>
      </c>
      <c r="AE159" s="80" t="str">
        <f t="shared" si="41"/>
        <v>LCON9</v>
      </c>
      <c r="AF159" s="80" t="str">
        <f t="shared" si="42"/>
        <v>CLN9</v>
      </c>
      <c r="AG159" s="80" t="str">
        <f t="shared" si="43"/>
        <v>LCOQ9</v>
      </c>
      <c r="AH159" s="80" t="str">
        <f t="shared" si="44"/>
        <v>LCOU9</v>
      </c>
    </row>
    <row r="160" spans="25:34" x14ac:dyDescent="0.35">
      <c r="Y160" s="74">
        <f t="shared" si="35"/>
        <v>43563</v>
      </c>
      <c r="Z160" s="74">
        <f t="shared" ca="1" si="36"/>
        <v>43577</v>
      </c>
      <c r="AA160" s="80" t="str">
        <f t="shared" ca="1" si="37"/>
        <v>CLK9</v>
      </c>
      <c r="AB160" s="74">
        <f t="shared" si="39"/>
        <v>43585</v>
      </c>
      <c r="AC160" s="80" t="str">
        <f t="shared" si="38"/>
        <v>LCOM9</v>
      </c>
      <c r="AD160" s="80" t="str">
        <f t="shared" si="40"/>
        <v>CLM9</v>
      </c>
      <c r="AE160" s="80" t="str">
        <f t="shared" si="41"/>
        <v>LCON9</v>
      </c>
      <c r="AF160" s="80" t="str">
        <f t="shared" si="42"/>
        <v>CLN9</v>
      </c>
      <c r="AG160" s="80" t="str">
        <f t="shared" si="43"/>
        <v>LCOQ9</v>
      </c>
      <c r="AH160" s="80" t="str">
        <f t="shared" si="44"/>
        <v>LCOU9</v>
      </c>
    </row>
    <row r="161" spans="25:34" x14ac:dyDescent="0.35">
      <c r="Y161" s="74">
        <f t="shared" ref="Y161:Y224" si="45">Y160+1</f>
        <v>43564</v>
      </c>
      <c r="Z161" s="74">
        <f t="shared" ca="1" si="36"/>
        <v>43577</v>
      </c>
      <c r="AA161" s="80" t="str">
        <f t="shared" ca="1" si="37"/>
        <v>CLK9</v>
      </c>
      <c r="AB161" s="74">
        <f t="shared" si="39"/>
        <v>43585</v>
      </c>
      <c r="AC161" s="80" t="str">
        <f t="shared" si="38"/>
        <v>LCOM9</v>
      </c>
      <c r="AD161" s="80" t="str">
        <f t="shared" si="40"/>
        <v>CLM9</v>
      </c>
      <c r="AE161" s="80" t="str">
        <f t="shared" si="41"/>
        <v>LCON9</v>
      </c>
      <c r="AF161" s="80" t="str">
        <f t="shared" si="42"/>
        <v>CLN9</v>
      </c>
      <c r="AG161" s="80" t="str">
        <f t="shared" si="43"/>
        <v>LCOQ9</v>
      </c>
      <c r="AH161" s="80" t="str">
        <f t="shared" si="44"/>
        <v>LCOU9</v>
      </c>
    </row>
    <row r="162" spans="25:34" x14ac:dyDescent="0.35">
      <c r="Y162" s="74">
        <f t="shared" si="45"/>
        <v>43565</v>
      </c>
      <c r="Z162" s="74">
        <f t="shared" ca="1" si="36"/>
        <v>43577</v>
      </c>
      <c r="AA162" s="80" t="str">
        <f t="shared" ca="1" si="37"/>
        <v>CLK9</v>
      </c>
      <c r="AB162" s="74">
        <f t="shared" si="39"/>
        <v>43585</v>
      </c>
      <c r="AC162" s="80" t="str">
        <f t="shared" si="38"/>
        <v>LCOM9</v>
      </c>
      <c r="AD162" s="80" t="str">
        <f t="shared" si="40"/>
        <v>CLM9</v>
      </c>
      <c r="AE162" s="80" t="str">
        <f t="shared" si="41"/>
        <v>LCON9</v>
      </c>
      <c r="AF162" s="80" t="str">
        <f t="shared" si="42"/>
        <v>CLN9</v>
      </c>
      <c r="AG162" s="80" t="str">
        <f t="shared" si="43"/>
        <v>LCOQ9</v>
      </c>
      <c r="AH162" s="80" t="str">
        <f t="shared" si="44"/>
        <v>LCOU9</v>
      </c>
    </row>
    <row r="163" spans="25:34" x14ac:dyDescent="0.35">
      <c r="Y163" s="74">
        <f t="shared" si="45"/>
        <v>43566</v>
      </c>
      <c r="Z163" s="74">
        <f t="shared" ca="1" si="36"/>
        <v>43577</v>
      </c>
      <c r="AA163" s="80" t="str">
        <f t="shared" ca="1" si="37"/>
        <v>CLK9</v>
      </c>
      <c r="AB163" s="74">
        <f t="shared" si="39"/>
        <v>43585</v>
      </c>
      <c r="AC163" s="80" t="str">
        <f t="shared" si="38"/>
        <v>LCOM9</v>
      </c>
      <c r="AD163" s="80" t="str">
        <f t="shared" si="40"/>
        <v>CLM9</v>
      </c>
      <c r="AE163" s="80" t="str">
        <f t="shared" si="41"/>
        <v>LCON9</v>
      </c>
      <c r="AF163" s="80" t="str">
        <f t="shared" si="42"/>
        <v>CLN9</v>
      </c>
      <c r="AG163" s="80" t="str">
        <f t="shared" si="43"/>
        <v>LCOQ9</v>
      </c>
      <c r="AH163" s="80" t="str">
        <f t="shared" si="44"/>
        <v>LCOU9</v>
      </c>
    </row>
    <row r="164" spans="25:34" x14ac:dyDescent="0.35">
      <c r="Y164" s="74">
        <f t="shared" si="45"/>
        <v>43567</v>
      </c>
      <c r="Z164" s="74">
        <f t="shared" ca="1" si="36"/>
        <v>43577</v>
      </c>
      <c r="AA164" s="80" t="str">
        <f t="shared" ca="1" si="37"/>
        <v>CLK9</v>
      </c>
      <c r="AB164" s="74">
        <f t="shared" si="39"/>
        <v>43585</v>
      </c>
      <c r="AC164" s="80" t="str">
        <f t="shared" si="38"/>
        <v>LCOM9</v>
      </c>
      <c r="AD164" s="80" t="str">
        <f t="shared" si="40"/>
        <v>CLM9</v>
      </c>
      <c r="AE164" s="80" t="str">
        <f t="shared" si="41"/>
        <v>LCON9</v>
      </c>
      <c r="AF164" s="80" t="str">
        <f t="shared" si="42"/>
        <v>CLN9</v>
      </c>
      <c r="AG164" s="80" t="str">
        <f t="shared" si="43"/>
        <v>LCOQ9</v>
      </c>
      <c r="AH164" s="80" t="str">
        <f t="shared" si="44"/>
        <v>LCOU9</v>
      </c>
    </row>
    <row r="165" spans="25:34" x14ac:dyDescent="0.35">
      <c r="Y165" s="74">
        <f t="shared" si="45"/>
        <v>43568</v>
      </c>
      <c r="Z165" s="74">
        <f t="shared" ca="1" si="36"/>
        <v>43577</v>
      </c>
      <c r="AA165" s="80" t="str">
        <f t="shared" ca="1" si="37"/>
        <v>CLK9</v>
      </c>
      <c r="AB165" s="74">
        <f t="shared" si="39"/>
        <v>43585</v>
      </c>
      <c r="AC165" s="80" t="str">
        <f t="shared" si="38"/>
        <v>LCOM9</v>
      </c>
      <c r="AD165" s="80" t="str">
        <f t="shared" si="40"/>
        <v>CLM9</v>
      </c>
      <c r="AE165" s="80" t="str">
        <f t="shared" si="41"/>
        <v>LCON9</v>
      </c>
      <c r="AF165" s="80" t="str">
        <f t="shared" si="42"/>
        <v>CLN9</v>
      </c>
      <c r="AG165" s="80" t="str">
        <f t="shared" si="43"/>
        <v>LCOQ9</v>
      </c>
      <c r="AH165" s="80" t="str">
        <f t="shared" si="44"/>
        <v>LCOU9</v>
      </c>
    </row>
    <row r="166" spans="25:34" x14ac:dyDescent="0.35">
      <c r="Y166" s="74">
        <f t="shared" si="45"/>
        <v>43569</v>
      </c>
      <c r="Z166" s="74">
        <f t="shared" ca="1" si="36"/>
        <v>43577</v>
      </c>
      <c r="AA166" s="80" t="str">
        <f t="shared" ca="1" si="37"/>
        <v>CLK9</v>
      </c>
      <c r="AB166" s="74">
        <f t="shared" si="39"/>
        <v>43585</v>
      </c>
      <c r="AC166" s="80" t="str">
        <f t="shared" si="38"/>
        <v>LCOM9</v>
      </c>
      <c r="AD166" s="80" t="str">
        <f t="shared" si="40"/>
        <v>CLM9</v>
      </c>
      <c r="AE166" s="80" t="str">
        <f t="shared" si="41"/>
        <v>LCON9</v>
      </c>
      <c r="AF166" s="80" t="str">
        <f t="shared" si="42"/>
        <v>CLN9</v>
      </c>
      <c r="AG166" s="80" t="str">
        <f t="shared" si="43"/>
        <v>LCOQ9</v>
      </c>
      <c r="AH166" s="80" t="str">
        <f t="shared" si="44"/>
        <v>LCOU9</v>
      </c>
    </row>
    <row r="167" spans="25:34" x14ac:dyDescent="0.35">
      <c r="Y167" s="74">
        <f t="shared" si="45"/>
        <v>43570</v>
      </c>
      <c r="Z167" s="74">
        <f t="shared" ca="1" si="36"/>
        <v>43577</v>
      </c>
      <c r="AA167" s="80" t="str">
        <f t="shared" ca="1" si="37"/>
        <v>CLK9</v>
      </c>
      <c r="AB167" s="74">
        <f t="shared" si="39"/>
        <v>43585</v>
      </c>
      <c r="AC167" s="80" t="str">
        <f t="shared" si="38"/>
        <v>LCOM9</v>
      </c>
      <c r="AD167" s="80" t="str">
        <f t="shared" si="40"/>
        <v>CLM9</v>
      </c>
      <c r="AE167" s="80" t="str">
        <f t="shared" si="41"/>
        <v>LCON9</v>
      </c>
      <c r="AF167" s="80" t="str">
        <f t="shared" si="42"/>
        <v>CLN9</v>
      </c>
      <c r="AG167" s="80" t="str">
        <f t="shared" si="43"/>
        <v>LCOQ9</v>
      </c>
      <c r="AH167" s="80" t="str">
        <f t="shared" si="44"/>
        <v>LCOU9</v>
      </c>
    </row>
    <row r="168" spans="25:34" x14ac:dyDescent="0.35">
      <c r="Y168" s="74">
        <f t="shared" si="45"/>
        <v>43571</v>
      </c>
      <c r="Z168" s="74">
        <f t="shared" ca="1" si="36"/>
        <v>43577</v>
      </c>
      <c r="AA168" s="80" t="str">
        <f t="shared" ca="1" si="37"/>
        <v>CLK9</v>
      </c>
      <c r="AB168" s="74">
        <f t="shared" si="39"/>
        <v>43585</v>
      </c>
      <c r="AC168" s="80" t="str">
        <f t="shared" si="38"/>
        <v>LCOM9</v>
      </c>
      <c r="AD168" s="80" t="str">
        <f t="shared" si="40"/>
        <v>CLM9</v>
      </c>
      <c r="AE168" s="80" t="str">
        <f t="shared" si="41"/>
        <v>LCON9</v>
      </c>
      <c r="AF168" s="80" t="str">
        <f t="shared" si="42"/>
        <v>CLN9</v>
      </c>
      <c r="AG168" s="80" t="str">
        <f t="shared" si="43"/>
        <v>LCOQ9</v>
      </c>
      <c r="AH168" s="80" t="str">
        <f t="shared" si="44"/>
        <v>LCOU9</v>
      </c>
    </row>
    <row r="169" spans="25:34" x14ac:dyDescent="0.35">
      <c r="Y169" s="74">
        <f t="shared" si="45"/>
        <v>43572</v>
      </c>
      <c r="Z169" s="74">
        <f t="shared" ca="1" si="36"/>
        <v>43577</v>
      </c>
      <c r="AA169" s="80" t="str">
        <f t="shared" ca="1" si="37"/>
        <v>CLK9</v>
      </c>
      <c r="AB169" s="74">
        <f t="shared" si="39"/>
        <v>43585</v>
      </c>
      <c r="AC169" s="80" t="str">
        <f t="shared" si="38"/>
        <v>LCOM9</v>
      </c>
      <c r="AD169" s="80" t="str">
        <f t="shared" si="40"/>
        <v>CLM9</v>
      </c>
      <c r="AE169" s="80" t="str">
        <f t="shared" si="41"/>
        <v>LCON9</v>
      </c>
      <c r="AF169" s="80" t="str">
        <f t="shared" si="42"/>
        <v>CLN9</v>
      </c>
      <c r="AG169" s="80" t="str">
        <f t="shared" si="43"/>
        <v>LCOQ9</v>
      </c>
      <c r="AH169" s="80" t="str">
        <f t="shared" si="44"/>
        <v>LCOU9</v>
      </c>
    </row>
    <row r="170" spans="25:34" x14ac:dyDescent="0.35">
      <c r="Y170" s="74">
        <f t="shared" si="45"/>
        <v>43573</v>
      </c>
      <c r="Z170" s="74">
        <f t="shared" ca="1" si="36"/>
        <v>43577</v>
      </c>
      <c r="AA170" s="80" t="str">
        <f t="shared" ca="1" si="37"/>
        <v>CLK9</v>
      </c>
      <c r="AB170" s="74">
        <f t="shared" si="39"/>
        <v>43585</v>
      </c>
      <c r="AC170" s="80" t="str">
        <f t="shared" si="38"/>
        <v>LCOM9</v>
      </c>
      <c r="AD170" s="80" t="str">
        <f t="shared" si="40"/>
        <v>CLM9</v>
      </c>
      <c r="AE170" s="80" t="str">
        <f t="shared" si="41"/>
        <v>LCON9</v>
      </c>
      <c r="AF170" s="80" t="str">
        <f t="shared" si="42"/>
        <v>CLN9</v>
      </c>
      <c r="AG170" s="80" t="str">
        <f t="shared" si="43"/>
        <v>LCOQ9</v>
      </c>
      <c r="AH170" s="80" t="str">
        <f t="shared" si="44"/>
        <v>LCOU9</v>
      </c>
    </row>
    <row r="171" spans="25:34" x14ac:dyDescent="0.35">
      <c r="Y171" s="74">
        <f t="shared" si="45"/>
        <v>43574</v>
      </c>
      <c r="Z171" s="74">
        <f t="shared" ca="1" si="36"/>
        <v>43577</v>
      </c>
      <c r="AA171" s="80" t="str">
        <f t="shared" ca="1" si="37"/>
        <v>CLK9</v>
      </c>
      <c r="AB171" s="74">
        <f t="shared" si="39"/>
        <v>43585</v>
      </c>
      <c r="AC171" s="80" t="str">
        <f t="shared" si="38"/>
        <v>LCOM9</v>
      </c>
      <c r="AD171" s="80" t="str">
        <f t="shared" si="40"/>
        <v>CLM9</v>
      </c>
      <c r="AE171" s="80" t="str">
        <f t="shared" si="41"/>
        <v>LCON9</v>
      </c>
      <c r="AF171" s="80" t="str">
        <f t="shared" si="42"/>
        <v>CLN9</v>
      </c>
      <c r="AG171" s="80" t="str">
        <f t="shared" si="43"/>
        <v>LCOQ9</v>
      </c>
      <c r="AH171" s="80" t="str">
        <f t="shared" si="44"/>
        <v>LCOU9</v>
      </c>
    </row>
    <row r="172" spans="25:34" x14ac:dyDescent="0.35">
      <c r="Y172" s="74">
        <f t="shared" si="45"/>
        <v>43575</v>
      </c>
      <c r="Z172" s="74">
        <f t="shared" ca="1" si="36"/>
        <v>43577</v>
      </c>
      <c r="AA172" s="80" t="str">
        <f t="shared" ca="1" si="37"/>
        <v>CLK9</v>
      </c>
      <c r="AB172" s="74">
        <f t="shared" si="39"/>
        <v>43585</v>
      </c>
      <c r="AC172" s="80" t="str">
        <f t="shared" si="38"/>
        <v>LCOM9</v>
      </c>
      <c r="AD172" s="80" t="str">
        <f t="shared" si="40"/>
        <v>CLM9</v>
      </c>
      <c r="AE172" s="80" t="str">
        <f t="shared" si="41"/>
        <v>LCON9</v>
      </c>
      <c r="AF172" s="80" t="str">
        <f t="shared" si="42"/>
        <v>CLN9</v>
      </c>
      <c r="AG172" s="80" t="str">
        <f t="shared" si="43"/>
        <v>LCOQ9</v>
      </c>
      <c r="AH172" s="80" t="str">
        <f t="shared" si="44"/>
        <v>LCOU9</v>
      </c>
    </row>
    <row r="173" spans="25:34" x14ac:dyDescent="0.35">
      <c r="Y173" s="74">
        <f t="shared" si="45"/>
        <v>43576</v>
      </c>
      <c r="Z173" s="74">
        <f t="shared" ca="1" si="36"/>
        <v>43577</v>
      </c>
      <c r="AA173" s="80" t="str">
        <f t="shared" ca="1" si="37"/>
        <v>CLK9</v>
      </c>
      <c r="AB173" s="74">
        <f t="shared" si="39"/>
        <v>43585</v>
      </c>
      <c r="AC173" s="80" t="str">
        <f t="shared" si="38"/>
        <v>LCOM9</v>
      </c>
      <c r="AD173" s="80" t="str">
        <f t="shared" si="40"/>
        <v>CLM9</v>
      </c>
      <c r="AE173" s="80" t="str">
        <f t="shared" si="41"/>
        <v>LCON9</v>
      </c>
      <c r="AF173" s="80" t="str">
        <f t="shared" si="42"/>
        <v>CLN9</v>
      </c>
      <c r="AG173" s="80" t="str">
        <f t="shared" si="43"/>
        <v>LCOQ9</v>
      </c>
      <c r="AH173" s="80" t="str">
        <f t="shared" si="44"/>
        <v>LCOU9</v>
      </c>
    </row>
    <row r="174" spans="25:34" x14ac:dyDescent="0.35">
      <c r="Y174" s="74">
        <f t="shared" si="45"/>
        <v>43577</v>
      </c>
      <c r="Z174" s="74">
        <f t="shared" ca="1" si="36"/>
        <v>43577</v>
      </c>
      <c r="AA174" s="80" t="str">
        <f t="shared" ca="1" si="37"/>
        <v>CLK9</v>
      </c>
      <c r="AB174" s="74">
        <f t="shared" si="39"/>
        <v>43585</v>
      </c>
      <c r="AC174" s="80" t="str">
        <f t="shared" si="38"/>
        <v>LCOM9</v>
      </c>
      <c r="AD174" s="80" t="str">
        <f t="shared" si="40"/>
        <v>CLM9</v>
      </c>
      <c r="AE174" s="80" t="str">
        <f t="shared" si="41"/>
        <v>LCON9</v>
      </c>
      <c r="AF174" s="80" t="str">
        <f t="shared" si="42"/>
        <v>CLN9</v>
      </c>
      <c r="AG174" s="80" t="str">
        <f t="shared" si="43"/>
        <v>LCOQ9</v>
      </c>
      <c r="AH174" s="80" t="str">
        <f t="shared" si="44"/>
        <v>LCOU9</v>
      </c>
    </row>
    <row r="175" spans="25:34" x14ac:dyDescent="0.35">
      <c r="Y175" s="74">
        <f t="shared" si="45"/>
        <v>43578</v>
      </c>
      <c r="Z175" s="74">
        <f t="shared" ca="1" si="36"/>
        <v>43606</v>
      </c>
      <c r="AA175" s="80" t="str">
        <f t="shared" ca="1" si="37"/>
        <v>CLM9</v>
      </c>
      <c r="AB175" s="74">
        <f t="shared" si="39"/>
        <v>43585</v>
      </c>
      <c r="AC175" s="80" t="str">
        <f t="shared" si="38"/>
        <v>LCOM9</v>
      </c>
      <c r="AD175" s="80" t="str">
        <f t="shared" si="40"/>
        <v>CLM9</v>
      </c>
      <c r="AE175" s="80" t="str">
        <f t="shared" si="41"/>
        <v>LCON9</v>
      </c>
      <c r="AF175" s="80" t="str">
        <f t="shared" si="42"/>
        <v>CLN9</v>
      </c>
      <c r="AG175" s="80" t="str">
        <f t="shared" si="43"/>
        <v>LCOQ9</v>
      </c>
      <c r="AH175" s="80" t="str">
        <f t="shared" si="44"/>
        <v>LCOU9</v>
      </c>
    </row>
    <row r="176" spans="25:34" x14ac:dyDescent="0.35">
      <c r="Y176" s="74">
        <f t="shared" si="45"/>
        <v>43579</v>
      </c>
      <c r="Z176" s="74">
        <f t="shared" ca="1" si="36"/>
        <v>43606</v>
      </c>
      <c r="AA176" s="80" t="str">
        <f t="shared" ca="1" si="37"/>
        <v>CLM9</v>
      </c>
      <c r="AB176" s="74">
        <f t="shared" si="39"/>
        <v>43585</v>
      </c>
      <c r="AC176" s="80" t="str">
        <f t="shared" si="38"/>
        <v>LCOM9</v>
      </c>
      <c r="AD176" s="80" t="str">
        <f t="shared" si="40"/>
        <v>CLM9</v>
      </c>
      <c r="AE176" s="80" t="str">
        <f t="shared" si="41"/>
        <v>LCON9</v>
      </c>
      <c r="AF176" s="80" t="str">
        <f t="shared" si="42"/>
        <v>CLN9</v>
      </c>
      <c r="AG176" s="80" t="str">
        <f t="shared" si="43"/>
        <v>LCOQ9</v>
      </c>
      <c r="AH176" s="80" t="str">
        <f t="shared" si="44"/>
        <v>LCOU9</v>
      </c>
    </row>
    <row r="177" spans="25:34" x14ac:dyDescent="0.35">
      <c r="Y177" s="74">
        <f t="shared" si="45"/>
        <v>43580</v>
      </c>
      <c r="Z177" s="74">
        <f t="shared" ca="1" si="36"/>
        <v>43606</v>
      </c>
      <c r="AA177" s="80" t="str">
        <f t="shared" ca="1" si="37"/>
        <v>CLM9</v>
      </c>
      <c r="AB177" s="74">
        <f t="shared" si="39"/>
        <v>43585</v>
      </c>
      <c r="AC177" s="80" t="str">
        <f t="shared" si="38"/>
        <v>LCOM9</v>
      </c>
      <c r="AD177" s="80" t="str">
        <f t="shared" si="40"/>
        <v>CLM9</v>
      </c>
      <c r="AE177" s="80" t="str">
        <f t="shared" si="41"/>
        <v>LCON9</v>
      </c>
      <c r="AF177" s="80" t="str">
        <f t="shared" si="42"/>
        <v>CLN9</v>
      </c>
      <c r="AG177" s="80" t="str">
        <f t="shared" si="43"/>
        <v>LCOQ9</v>
      </c>
      <c r="AH177" s="80" t="str">
        <f t="shared" si="44"/>
        <v>LCOU9</v>
      </c>
    </row>
    <row r="178" spans="25:34" x14ac:dyDescent="0.35">
      <c r="Y178" s="74">
        <f t="shared" si="45"/>
        <v>43581</v>
      </c>
      <c r="Z178" s="74">
        <f t="shared" ca="1" si="36"/>
        <v>43606</v>
      </c>
      <c r="AA178" s="80" t="str">
        <f t="shared" ca="1" si="37"/>
        <v>CLM9</v>
      </c>
      <c r="AB178" s="74">
        <f t="shared" si="39"/>
        <v>43585</v>
      </c>
      <c r="AC178" s="80" t="str">
        <f t="shared" si="38"/>
        <v>LCOM9</v>
      </c>
      <c r="AD178" s="80" t="str">
        <f t="shared" si="40"/>
        <v>CLM9</v>
      </c>
      <c r="AE178" s="80" t="str">
        <f t="shared" si="41"/>
        <v>LCON9</v>
      </c>
      <c r="AF178" s="80" t="str">
        <f t="shared" si="42"/>
        <v>CLN9</v>
      </c>
      <c r="AG178" s="80" t="str">
        <f t="shared" si="43"/>
        <v>LCOQ9</v>
      </c>
      <c r="AH178" s="80" t="str">
        <f t="shared" si="44"/>
        <v>LCOU9</v>
      </c>
    </row>
    <row r="179" spans="25:34" x14ac:dyDescent="0.35">
      <c r="Y179" s="74">
        <f t="shared" si="45"/>
        <v>43582</v>
      </c>
      <c r="Z179" s="74">
        <f t="shared" ca="1" si="36"/>
        <v>43606</v>
      </c>
      <c r="AA179" s="80" t="str">
        <f t="shared" ca="1" si="37"/>
        <v>CLM9</v>
      </c>
      <c r="AB179" s="74">
        <f t="shared" si="39"/>
        <v>43585</v>
      </c>
      <c r="AC179" s="80" t="str">
        <f t="shared" si="38"/>
        <v>LCOM9</v>
      </c>
      <c r="AD179" s="80" t="str">
        <f t="shared" si="40"/>
        <v>CLM9</v>
      </c>
      <c r="AE179" s="80" t="str">
        <f t="shared" si="41"/>
        <v>LCON9</v>
      </c>
      <c r="AF179" s="80" t="str">
        <f t="shared" si="42"/>
        <v>CLN9</v>
      </c>
      <c r="AG179" s="80" t="str">
        <f t="shared" si="43"/>
        <v>LCOQ9</v>
      </c>
      <c r="AH179" s="80" t="str">
        <f t="shared" si="44"/>
        <v>LCOU9</v>
      </c>
    </row>
    <row r="180" spans="25:34" x14ac:dyDescent="0.35">
      <c r="Y180" s="74">
        <f t="shared" si="45"/>
        <v>43583</v>
      </c>
      <c r="Z180" s="74">
        <f t="shared" ca="1" si="36"/>
        <v>43606</v>
      </c>
      <c r="AA180" s="80" t="str">
        <f t="shared" ca="1" si="37"/>
        <v>CLM9</v>
      </c>
      <c r="AB180" s="74">
        <f t="shared" si="39"/>
        <v>43585</v>
      </c>
      <c r="AC180" s="80" t="str">
        <f t="shared" si="38"/>
        <v>LCOM9</v>
      </c>
      <c r="AD180" s="80" t="str">
        <f t="shared" si="40"/>
        <v>CLM9</v>
      </c>
      <c r="AE180" s="80" t="str">
        <f t="shared" si="41"/>
        <v>LCON9</v>
      </c>
      <c r="AF180" s="80" t="str">
        <f t="shared" si="42"/>
        <v>CLN9</v>
      </c>
      <c r="AG180" s="80" t="str">
        <f t="shared" si="43"/>
        <v>LCOQ9</v>
      </c>
      <c r="AH180" s="80" t="str">
        <f t="shared" si="44"/>
        <v>LCOU9</v>
      </c>
    </row>
    <row r="181" spans="25:34" x14ac:dyDescent="0.35">
      <c r="Y181" s="74">
        <f t="shared" si="45"/>
        <v>43584</v>
      </c>
      <c r="Z181" s="74">
        <f t="shared" ca="1" si="36"/>
        <v>43606</v>
      </c>
      <c r="AA181" s="80" t="str">
        <f t="shared" ca="1" si="37"/>
        <v>CLM9</v>
      </c>
      <c r="AB181" s="74">
        <f t="shared" si="39"/>
        <v>43585</v>
      </c>
      <c r="AC181" s="80" t="str">
        <f t="shared" si="38"/>
        <v>LCOM9</v>
      </c>
      <c r="AD181" s="80" t="str">
        <f t="shared" si="40"/>
        <v>CLM9</v>
      </c>
      <c r="AE181" s="80" t="str">
        <f t="shared" si="41"/>
        <v>LCON9</v>
      </c>
      <c r="AF181" s="80" t="str">
        <f t="shared" si="42"/>
        <v>CLN9</v>
      </c>
      <c r="AG181" s="80" t="str">
        <f t="shared" si="43"/>
        <v>LCOQ9</v>
      </c>
      <c r="AH181" s="80" t="str">
        <f t="shared" si="44"/>
        <v>LCOU9</v>
      </c>
    </row>
    <row r="182" spans="25:34" x14ac:dyDescent="0.35">
      <c r="Y182" s="74">
        <f t="shared" si="45"/>
        <v>43585</v>
      </c>
      <c r="Z182" s="74">
        <f t="shared" ca="1" si="36"/>
        <v>43606</v>
      </c>
      <c r="AA182" s="80" t="str">
        <f t="shared" ca="1" si="37"/>
        <v>CLM9</v>
      </c>
      <c r="AB182" s="74">
        <f t="shared" si="39"/>
        <v>43585</v>
      </c>
      <c r="AC182" s="80" t="str">
        <f t="shared" si="38"/>
        <v>LCOM9</v>
      </c>
      <c r="AD182" s="80" t="str">
        <f t="shared" si="40"/>
        <v>CLM9</v>
      </c>
      <c r="AE182" s="80" t="str">
        <f t="shared" si="41"/>
        <v>LCON9</v>
      </c>
      <c r="AF182" s="80" t="str">
        <f t="shared" si="42"/>
        <v>CLN9</v>
      </c>
      <c r="AG182" s="80" t="str">
        <f t="shared" si="43"/>
        <v>LCOQ9</v>
      </c>
      <c r="AH182" s="80" t="str">
        <f t="shared" si="44"/>
        <v>LCOU9</v>
      </c>
    </row>
    <row r="183" spans="25:34" x14ac:dyDescent="0.35">
      <c r="Y183" s="74">
        <f t="shared" si="45"/>
        <v>43586</v>
      </c>
      <c r="Z183" s="74">
        <f t="shared" ca="1" si="36"/>
        <v>43606</v>
      </c>
      <c r="AA183" s="80" t="str">
        <f t="shared" ca="1" si="37"/>
        <v>CLM9</v>
      </c>
      <c r="AB183" s="74">
        <f t="shared" si="39"/>
        <v>43616</v>
      </c>
      <c r="AC183" s="80" t="str">
        <f t="shared" si="38"/>
        <v>LCON9</v>
      </c>
      <c r="AD183" s="80" t="str">
        <f t="shared" si="40"/>
        <v>CLN9</v>
      </c>
      <c r="AE183" s="80" t="str">
        <f t="shared" si="41"/>
        <v>LCOQ9</v>
      </c>
      <c r="AF183" s="80" t="str">
        <f t="shared" si="42"/>
        <v>CLQ9</v>
      </c>
      <c r="AG183" s="80" t="str">
        <f t="shared" si="43"/>
        <v>LCOU9</v>
      </c>
      <c r="AH183" s="80" t="str">
        <f t="shared" si="44"/>
        <v>LCOV9</v>
      </c>
    </row>
    <row r="184" spans="25:34" x14ac:dyDescent="0.35">
      <c r="Y184" s="74">
        <f t="shared" si="45"/>
        <v>43587</v>
      </c>
      <c r="Z184" s="74">
        <f t="shared" ca="1" si="36"/>
        <v>43606</v>
      </c>
      <c r="AA184" s="80" t="str">
        <f t="shared" ca="1" si="37"/>
        <v>CLM9</v>
      </c>
      <c r="AB184" s="74">
        <f t="shared" si="39"/>
        <v>43616</v>
      </c>
      <c r="AC184" s="80" t="str">
        <f t="shared" si="38"/>
        <v>LCON9</v>
      </c>
      <c r="AD184" s="80" t="str">
        <f t="shared" si="40"/>
        <v>CLN9</v>
      </c>
      <c r="AE184" s="80" t="str">
        <f t="shared" si="41"/>
        <v>LCOQ9</v>
      </c>
      <c r="AF184" s="80" t="str">
        <f t="shared" si="42"/>
        <v>CLQ9</v>
      </c>
      <c r="AG184" s="80" t="str">
        <f t="shared" si="43"/>
        <v>LCOU9</v>
      </c>
      <c r="AH184" s="80" t="str">
        <f t="shared" si="44"/>
        <v>LCOV9</v>
      </c>
    </row>
    <row r="185" spans="25:34" x14ac:dyDescent="0.35">
      <c r="Y185" s="74">
        <f t="shared" si="45"/>
        <v>43588</v>
      </c>
      <c r="Z185" s="74">
        <f t="shared" ca="1" si="36"/>
        <v>43606</v>
      </c>
      <c r="AA185" s="80" t="str">
        <f t="shared" ca="1" si="37"/>
        <v>CLM9</v>
      </c>
      <c r="AB185" s="74">
        <f t="shared" si="39"/>
        <v>43616</v>
      </c>
      <c r="AC185" s="80" t="str">
        <f t="shared" si="38"/>
        <v>LCON9</v>
      </c>
      <c r="AD185" s="80" t="str">
        <f t="shared" si="40"/>
        <v>CLN9</v>
      </c>
      <c r="AE185" s="80" t="str">
        <f t="shared" si="41"/>
        <v>LCOQ9</v>
      </c>
      <c r="AF185" s="80" t="str">
        <f t="shared" si="42"/>
        <v>CLQ9</v>
      </c>
      <c r="AG185" s="80" t="str">
        <f t="shared" si="43"/>
        <v>LCOU9</v>
      </c>
      <c r="AH185" s="80" t="str">
        <f t="shared" si="44"/>
        <v>LCOV9</v>
      </c>
    </row>
    <row r="186" spans="25:34" x14ac:dyDescent="0.35">
      <c r="Y186" s="74">
        <f t="shared" si="45"/>
        <v>43589</v>
      </c>
      <c r="Z186" s="74">
        <f t="shared" ca="1" si="36"/>
        <v>43606</v>
      </c>
      <c r="AA186" s="80" t="str">
        <f t="shared" ca="1" si="37"/>
        <v>CLM9</v>
      </c>
      <c r="AB186" s="74">
        <f t="shared" si="39"/>
        <v>43616</v>
      </c>
      <c r="AC186" s="80" t="str">
        <f t="shared" si="38"/>
        <v>LCON9</v>
      </c>
      <c r="AD186" s="80" t="str">
        <f t="shared" si="40"/>
        <v>CLN9</v>
      </c>
      <c r="AE186" s="80" t="str">
        <f t="shared" si="41"/>
        <v>LCOQ9</v>
      </c>
      <c r="AF186" s="80" t="str">
        <f t="shared" si="42"/>
        <v>CLQ9</v>
      </c>
      <c r="AG186" s="80" t="str">
        <f t="shared" si="43"/>
        <v>LCOU9</v>
      </c>
      <c r="AH186" s="80" t="str">
        <f t="shared" si="44"/>
        <v>LCOV9</v>
      </c>
    </row>
    <row r="187" spans="25:34" x14ac:dyDescent="0.35">
      <c r="Y187" s="74">
        <f t="shared" si="45"/>
        <v>43590</v>
      </c>
      <c r="Z187" s="74">
        <f t="shared" ca="1" si="36"/>
        <v>43606</v>
      </c>
      <c r="AA187" s="80" t="str">
        <f t="shared" ca="1" si="37"/>
        <v>CLM9</v>
      </c>
      <c r="AB187" s="74">
        <f t="shared" si="39"/>
        <v>43616</v>
      </c>
      <c r="AC187" s="80" t="str">
        <f t="shared" si="38"/>
        <v>LCON9</v>
      </c>
      <c r="AD187" s="80" t="str">
        <f t="shared" si="40"/>
        <v>CLN9</v>
      </c>
      <c r="AE187" s="80" t="str">
        <f t="shared" si="41"/>
        <v>LCOQ9</v>
      </c>
      <c r="AF187" s="80" t="str">
        <f t="shared" si="42"/>
        <v>CLQ9</v>
      </c>
      <c r="AG187" s="80" t="str">
        <f t="shared" si="43"/>
        <v>LCOU9</v>
      </c>
      <c r="AH187" s="80" t="str">
        <f t="shared" si="44"/>
        <v>LCOV9</v>
      </c>
    </row>
    <row r="188" spans="25:34" x14ac:dyDescent="0.35">
      <c r="Y188" s="74">
        <f t="shared" si="45"/>
        <v>43591</v>
      </c>
      <c r="Z188" s="74">
        <f t="shared" ca="1" si="36"/>
        <v>43606</v>
      </c>
      <c r="AA188" s="80" t="str">
        <f t="shared" ca="1" si="37"/>
        <v>CLM9</v>
      </c>
      <c r="AB188" s="74">
        <f t="shared" si="39"/>
        <v>43616</v>
      </c>
      <c r="AC188" s="80" t="str">
        <f t="shared" si="38"/>
        <v>LCON9</v>
      </c>
      <c r="AD188" s="80" t="str">
        <f t="shared" si="40"/>
        <v>CLN9</v>
      </c>
      <c r="AE188" s="80" t="str">
        <f t="shared" si="41"/>
        <v>LCOQ9</v>
      </c>
      <c r="AF188" s="80" t="str">
        <f t="shared" si="42"/>
        <v>CLQ9</v>
      </c>
      <c r="AG188" s="80" t="str">
        <f t="shared" si="43"/>
        <v>LCOU9</v>
      </c>
      <c r="AH188" s="80" t="str">
        <f t="shared" si="44"/>
        <v>LCOV9</v>
      </c>
    </row>
    <row r="189" spans="25:34" x14ac:dyDescent="0.35">
      <c r="Y189" s="74">
        <f t="shared" si="45"/>
        <v>43592</v>
      </c>
      <c r="Z189" s="74">
        <f t="shared" ca="1" si="36"/>
        <v>43606</v>
      </c>
      <c r="AA189" s="80" t="str">
        <f t="shared" ca="1" si="37"/>
        <v>CLM9</v>
      </c>
      <c r="AB189" s="74">
        <f t="shared" si="39"/>
        <v>43616</v>
      </c>
      <c r="AC189" s="80" t="str">
        <f t="shared" si="38"/>
        <v>LCON9</v>
      </c>
      <c r="AD189" s="80" t="str">
        <f t="shared" si="40"/>
        <v>CLN9</v>
      </c>
      <c r="AE189" s="80" t="str">
        <f t="shared" si="41"/>
        <v>LCOQ9</v>
      </c>
      <c r="AF189" s="80" t="str">
        <f t="shared" si="42"/>
        <v>CLQ9</v>
      </c>
      <c r="AG189" s="80" t="str">
        <f t="shared" si="43"/>
        <v>LCOU9</v>
      </c>
      <c r="AH189" s="80" t="str">
        <f t="shared" si="44"/>
        <v>LCOV9</v>
      </c>
    </row>
    <row r="190" spans="25:34" x14ac:dyDescent="0.35">
      <c r="Y190" s="74">
        <f t="shared" si="45"/>
        <v>43593</v>
      </c>
      <c r="Z190" s="74">
        <f t="shared" ca="1" si="36"/>
        <v>43606</v>
      </c>
      <c r="AA190" s="80" t="str">
        <f t="shared" ca="1" si="37"/>
        <v>CLM9</v>
      </c>
      <c r="AB190" s="74">
        <f t="shared" si="39"/>
        <v>43616</v>
      </c>
      <c r="AC190" s="80" t="str">
        <f t="shared" si="38"/>
        <v>LCON9</v>
      </c>
      <c r="AD190" s="80" t="str">
        <f t="shared" si="40"/>
        <v>CLN9</v>
      </c>
      <c r="AE190" s="80" t="str">
        <f t="shared" si="41"/>
        <v>LCOQ9</v>
      </c>
      <c r="AF190" s="80" t="str">
        <f t="shared" si="42"/>
        <v>CLQ9</v>
      </c>
      <c r="AG190" s="80" t="str">
        <f t="shared" si="43"/>
        <v>LCOU9</v>
      </c>
      <c r="AH190" s="80" t="str">
        <f t="shared" si="44"/>
        <v>LCOV9</v>
      </c>
    </row>
    <row r="191" spans="25:34" x14ac:dyDescent="0.35">
      <c r="Y191" s="74">
        <f t="shared" si="45"/>
        <v>43594</v>
      </c>
      <c r="Z191" s="74">
        <f t="shared" ca="1" si="36"/>
        <v>43606</v>
      </c>
      <c r="AA191" s="80" t="str">
        <f t="shared" ca="1" si="37"/>
        <v>CLM9</v>
      </c>
      <c r="AB191" s="74">
        <f t="shared" si="39"/>
        <v>43616</v>
      </c>
      <c r="AC191" s="80" t="str">
        <f t="shared" si="38"/>
        <v>LCON9</v>
      </c>
      <c r="AD191" s="80" t="str">
        <f t="shared" si="40"/>
        <v>CLN9</v>
      </c>
      <c r="AE191" s="80" t="str">
        <f t="shared" si="41"/>
        <v>LCOQ9</v>
      </c>
      <c r="AF191" s="80" t="str">
        <f t="shared" si="42"/>
        <v>CLQ9</v>
      </c>
      <c r="AG191" s="80" t="str">
        <f t="shared" si="43"/>
        <v>LCOU9</v>
      </c>
      <c r="AH191" s="80" t="str">
        <f t="shared" si="44"/>
        <v>LCOV9</v>
      </c>
    </row>
    <row r="192" spans="25:34" x14ac:dyDescent="0.35">
      <c r="Y192" s="74">
        <f t="shared" si="45"/>
        <v>43595</v>
      </c>
      <c r="Z192" s="74">
        <f t="shared" ca="1" si="36"/>
        <v>43606</v>
      </c>
      <c r="AA192" s="80" t="str">
        <f t="shared" ca="1" si="37"/>
        <v>CLM9</v>
      </c>
      <c r="AB192" s="74">
        <f t="shared" si="39"/>
        <v>43616</v>
      </c>
      <c r="AC192" s="80" t="str">
        <f t="shared" si="38"/>
        <v>LCON9</v>
      </c>
      <c r="AD192" s="80" t="str">
        <f t="shared" si="40"/>
        <v>CLN9</v>
      </c>
      <c r="AE192" s="80" t="str">
        <f t="shared" si="41"/>
        <v>LCOQ9</v>
      </c>
      <c r="AF192" s="80" t="str">
        <f t="shared" si="42"/>
        <v>CLQ9</v>
      </c>
      <c r="AG192" s="80" t="str">
        <f t="shared" si="43"/>
        <v>LCOU9</v>
      </c>
      <c r="AH192" s="80" t="str">
        <f t="shared" si="44"/>
        <v>LCOV9</v>
      </c>
    </row>
    <row r="193" spans="25:34" x14ac:dyDescent="0.35">
      <c r="Y193" s="74">
        <f t="shared" si="45"/>
        <v>43596</v>
      </c>
      <c r="Z193" s="74">
        <f t="shared" ca="1" si="36"/>
        <v>43606</v>
      </c>
      <c r="AA193" s="80" t="str">
        <f t="shared" ca="1" si="37"/>
        <v>CLM9</v>
      </c>
      <c r="AB193" s="74">
        <f t="shared" si="39"/>
        <v>43616</v>
      </c>
      <c r="AC193" s="80" t="str">
        <f t="shared" si="38"/>
        <v>LCON9</v>
      </c>
      <c r="AD193" s="80" t="str">
        <f t="shared" si="40"/>
        <v>CLN9</v>
      </c>
      <c r="AE193" s="80" t="str">
        <f t="shared" si="41"/>
        <v>LCOQ9</v>
      </c>
      <c r="AF193" s="80" t="str">
        <f t="shared" si="42"/>
        <v>CLQ9</v>
      </c>
      <c r="AG193" s="80" t="str">
        <f t="shared" si="43"/>
        <v>LCOU9</v>
      </c>
      <c r="AH193" s="80" t="str">
        <f t="shared" si="44"/>
        <v>LCOV9</v>
      </c>
    </row>
    <row r="194" spans="25:34" x14ac:dyDescent="0.35">
      <c r="Y194" s="74">
        <f t="shared" si="45"/>
        <v>43597</v>
      </c>
      <c r="Z194" s="74">
        <f t="shared" ref="Z194:Z257" ca="1" si="46">VLOOKUP(AA194,$I$2:$K$39,3,FALSE)</f>
        <v>43606</v>
      </c>
      <c r="AA194" s="80" t="str">
        <f t="shared" ref="AA194:AA257" ca="1" si="47">LOOKUP(2,1/($J$2:$J$700&lt;=$Y194)/($K$2:$K$700&gt;=$Y194),$L$2:$L$700)</f>
        <v>CLM9</v>
      </c>
      <c r="AB194" s="74">
        <f t="shared" si="39"/>
        <v>43616</v>
      </c>
      <c r="AC194" s="80" t="str">
        <f t="shared" ref="AC194:AC257" si="48">LOOKUP(2,1/($R$2:$R$700&lt;=$Y194)/($S$2:$S$700&gt;=$Y194),$T$2:$T$700)</f>
        <v>LCON9</v>
      </c>
      <c r="AD194" s="80" t="str">
        <f t="shared" si="40"/>
        <v>CLN9</v>
      </c>
      <c r="AE194" s="80" t="str">
        <f t="shared" si="41"/>
        <v>LCOQ9</v>
      </c>
      <c r="AF194" s="80" t="str">
        <f t="shared" si="42"/>
        <v>CLQ9</v>
      </c>
      <c r="AG194" s="80" t="str">
        <f t="shared" si="43"/>
        <v>LCOU9</v>
      </c>
      <c r="AH194" s="80" t="str">
        <f t="shared" si="44"/>
        <v>LCOV9</v>
      </c>
    </row>
    <row r="195" spans="25:34" x14ac:dyDescent="0.35">
      <c r="Y195" s="74">
        <f t="shared" si="45"/>
        <v>43598</v>
      </c>
      <c r="Z195" s="74">
        <f t="shared" ca="1" si="46"/>
        <v>43606</v>
      </c>
      <c r="AA195" s="80" t="str">
        <f t="shared" ca="1" si="47"/>
        <v>CLM9</v>
      </c>
      <c r="AB195" s="74">
        <f t="shared" ref="AB195:AB258" si="49">VLOOKUP(AC195,$Q$2:$S$39,3,FALSE)</f>
        <v>43616</v>
      </c>
      <c r="AC195" s="80" t="str">
        <f t="shared" si="48"/>
        <v>LCON9</v>
      </c>
      <c r="AD195" s="80" t="str">
        <f t="shared" ref="AD195:AD258" si="50">CONCATENATE("CL",RIGHT(AC195,2))</f>
        <v>CLN9</v>
      </c>
      <c r="AE195" s="80" t="str">
        <f t="shared" ref="AE195:AE258" si="51">LOOKUP(2,1/($R$2:$R$700&lt;=$Y195)/($S$2:$S$700&gt;=$Y195),$U$2:$U$700)</f>
        <v>LCOQ9</v>
      </c>
      <c r="AF195" s="80" t="str">
        <f t="shared" ref="AF195:AF258" si="52">CONCATENATE("CL",RIGHT(AE195,2))</f>
        <v>CLQ9</v>
      </c>
      <c r="AG195" s="80" t="str">
        <f t="shared" ref="AG195:AG258" si="53">LOOKUP(2,1/($R$2:$R$700&lt;=$Y195)/($S$2:$S$700&gt;=$Y195),$V$2:$V$700)</f>
        <v>LCOU9</v>
      </c>
      <c r="AH195" s="80" t="str">
        <f t="shared" ref="AH195:AH258" si="54">LOOKUP(2,1/($R$2:$R$700&lt;=$Y195)/($S$2:$S$700&gt;=$Y195),$W$2:$W$700)</f>
        <v>LCOV9</v>
      </c>
    </row>
    <row r="196" spans="25:34" x14ac:dyDescent="0.35">
      <c r="Y196" s="74">
        <f t="shared" si="45"/>
        <v>43599</v>
      </c>
      <c r="Z196" s="74">
        <f t="shared" ca="1" si="46"/>
        <v>43606</v>
      </c>
      <c r="AA196" s="80" t="str">
        <f t="shared" ca="1" si="47"/>
        <v>CLM9</v>
      </c>
      <c r="AB196" s="74">
        <f t="shared" si="49"/>
        <v>43616</v>
      </c>
      <c r="AC196" s="80" t="str">
        <f t="shared" si="48"/>
        <v>LCON9</v>
      </c>
      <c r="AD196" s="80" t="str">
        <f t="shared" si="50"/>
        <v>CLN9</v>
      </c>
      <c r="AE196" s="80" t="str">
        <f t="shared" si="51"/>
        <v>LCOQ9</v>
      </c>
      <c r="AF196" s="80" t="str">
        <f t="shared" si="52"/>
        <v>CLQ9</v>
      </c>
      <c r="AG196" s="80" t="str">
        <f t="shared" si="53"/>
        <v>LCOU9</v>
      </c>
      <c r="AH196" s="80" t="str">
        <f t="shared" si="54"/>
        <v>LCOV9</v>
      </c>
    </row>
    <row r="197" spans="25:34" x14ac:dyDescent="0.35">
      <c r="Y197" s="74">
        <f t="shared" si="45"/>
        <v>43600</v>
      </c>
      <c r="Z197" s="74">
        <f t="shared" ca="1" si="46"/>
        <v>43606</v>
      </c>
      <c r="AA197" s="80" t="str">
        <f t="shared" ca="1" si="47"/>
        <v>CLM9</v>
      </c>
      <c r="AB197" s="74">
        <f t="shared" si="49"/>
        <v>43616</v>
      </c>
      <c r="AC197" s="80" t="str">
        <f t="shared" si="48"/>
        <v>LCON9</v>
      </c>
      <c r="AD197" s="80" t="str">
        <f t="shared" si="50"/>
        <v>CLN9</v>
      </c>
      <c r="AE197" s="80" t="str">
        <f t="shared" si="51"/>
        <v>LCOQ9</v>
      </c>
      <c r="AF197" s="80" t="str">
        <f t="shared" si="52"/>
        <v>CLQ9</v>
      </c>
      <c r="AG197" s="80" t="str">
        <f t="shared" si="53"/>
        <v>LCOU9</v>
      </c>
      <c r="AH197" s="80" t="str">
        <f t="shared" si="54"/>
        <v>LCOV9</v>
      </c>
    </row>
    <row r="198" spans="25:34" x14ac:dyDescent="0.35">
      <c r="Y198" s="74">
        <f t="shared" si="45"/>
        <v>43601</v>
      </c>
      <c r="Z198" s="74">
        <f t="shared" ca="1" si="46"/>
        <v>43606</v>
      </c>
      <c r="AA198" s="80" t="str">
        <f t="shared" ca="1" si="47"/>
        <v>CLM9</v>
      </c>
      <c r="AB198" s="74">
        <f t="shared" si="49"/>
        <v>43616</v>
      </c>
      <c r="AC198" s="80" t="str">
        <f t="shared" si="48"/>
        <v>LCON9</v>
      </c>
      <c r="AD198" s="80" t="str">
        <f t="shared" si="50"/>
        <v>CLN9</v>
      </c>
      <c r="AE198" s="80" t="str">
        <f t="shared" si="51"/>
        <v>LCOQ9</v>
      </c>
      <c r="AF198" s="80" t="str">
        <f t="shared" si="52"/>
        <v>CLQ9</v>
      </c>
      <c r="AG198" s="80" t="str">
        <f t="shared" si="53"/>
        <v>LCOU9</v>
      </c>
      <c r="AH198" s="80" t="str">
        <f t="shared" si="54"/>
        <v>LCOV9</v>
      </c>
    </row>
    <row r="199" spans="25:34" x14ac:dyDescent="0.35">
      <c r="Y199" s="74">
        <f t="shared" si="45"/>
        <v>43602</v>
      </c>
      <c r="Z199" s="74">
        <f t="shared" ca="1" si="46"/>
        <v>43606</v>
      </c>
      <c r="AA199" s="80" t="str">
        <f t="shared" ca="1" si="47"/>
        <v>CLM9</v>
      </c>
      <c r="AB199" s="74">
        <f t="shared" si="49"/>
        <v>43616</v>
      </c>
      <c r="AC199" s="80" t="str">
        <f t="shared" si="48"/>
        <v>LCON9</v>
      </c>
      <c r="AD199" s="80" t="str">
        <f t="shared" si="50"/>
        <v>CLN9</v>
      </c>
      <c r="AE199" s="80" t="str">
        <f t="shared" si="51"/>
        <v>LCOQ9</v>
      </c>
      <c r="AF199" s="80" t="str">
        <f t="shared" si="52"/>
        <v>CLQ9</v>
      </c>
      <c r="AG199" s="80" t="str">
        <f t="shared" si="53"/>
        <v>LCOU9</v>
      </c>
      <c r="AH199" s="80" t="str">
        <f t="shared" si="54"/>
        <v>LCOV9</v>
      </c>
    </row>
    <row r="200" spans="25:34" x14ac:dyDescent="0.35">
      <c r="Y200" s="74">
        <f t="shared" si="45"/>
        <v>43603</v>
      </c>
      <c r="Z200" s="74">
        <f t="shared" ca="1" si="46"/>
        <v>43606</v>
      </c>
      <c r="AA200" s="80" t="str">
        <f t="shared" ca="1" si="47"/>
        <v>CLM9</v>
      </c>
      <c r="AB200" s="74">
        <f t="shared" si="49"/>
        <v>43616</v>
      </c>
      <c r="AC200" s="80" t="str">
        <f t="shared" si="48"/>
        <v>LCON9</v>
      </c>
      <c r="AD200" s="80" t="str">
        <f t="shared" si="50"/>
        <v>CLN9</v>
      </c>
      <c r="AE200" s="80" t="str">
        <f t="shared" si="51"/>
        <v>LCOQ9</v>
      </c>
      <c r="AF200" s="80" t="str">
        <f t="shared" si="52"/>
        <v>CLQ9</v>
      </c>
      <c r="AG200" s="80" t="str">
        <f t="shared" si="53"/>
        <v>LCOU9</v>
      </c>
      <c r="AH200" s="80" t="str">
        <f t="shared" si="54"/>
        <v>LCOV9</v>
      </c>
    </row>
    <row r="201" spans="25:34" x14ac:dyDescent="0.35">
      <c r="Y201" s="74">
        <f t="shared" si="45"/>
        <v>43604</v>
      </c>
      <c r="Z201" s="74">
        <f t="shared" ca="1" si="46"/>
        <v>43606</v>
      </c>
      <c r="AA201" s="80" t="str">
        <f t="shared" ca="1" si="47"/>
        <v>CLM9</v>
      </c>
      <c r="AB201" s="74">
        <f t="shared" si="49"/>
        <v>43616</v>
      </c>
      <c r="AC201" s="80" t="str">
        <f t="shared" si="48"/>
        <v>LCON9</v>
      </c>
      <c r="AD201" s="80" t="str">
        <f t="shared" si="50"/>
        <v>CLN9</v>
      </c>
      <c r="AE201" s="80" t="str">
        <f t="shared" si="51"/>
        <v>LCOQ9</v>
      </c>
      <c r="AF201" s="80" t="str">
        <f t="shared" si="52"/>
        <v>CLQ9</v>
      </c>
      <c r="AG201" s="80" t="str">
        <f t="shared" si="53"/>
        <v>LCOU9</v>
      </c>
      <c r="AH201" s="80" t="str">
        <f t="shared" si="54"/>
        <v>LCOV9</v>
      </c>
    </row>
    <row r="202" spans="25:34" x14ac:dyDescent="0.35">
      <c r="Y202" s="74">
        <f t="shared" si="45"/>
        <v>43605</v>
      </c>
      <c r="Z202" s="74">
        <f t="shared" ca="1" si="46"/>
        <v>43606</v>
      </c>
      <c r="AA202" s="80" t="str">
        <f t="shared" ca="1" si="47"/>
        <v>CLM9</v>
      </c>
      <c r="AB202" s="74">
        <f t="shared" si="49"/>
        <v>43616</v>
      </c>
      <c r="AC202" s="80" t="str">
        <f t="shared" si="48"/>
        <v>LCON9</v>
      </c>
      <c r="AD202" s="80" t="str">
        <f t="shared" si="50"/>
        <v>CLN9</v>
      </c>
      <c r="AE202" s="80" t="str">
        <f t="shared" si="51"/>
        <v>LCOQ9</v>
      </c>
      <c r="AF202" s="80" t="str">
        <f t="shared" si="52"/>
        <v>CLQ9</v>
      </c>
      <c r="AG202" s="80" t="str">
        <f t="shared" si="53"/>
        <v>LCOU9</v>
      </c>
      <c r="AH202" s="80" t="str">
        <f t="shared" si="54"/>
        <v>LCOV9</v>
      </c>
    </row>
    <row r="203" spans="25:34" x14ac:dyDescent="0.35">
      <c r="Y203" s="74">
        <f t="shared" si="45"/>
        <v>43606</v>
      </c>
      <c r="Z203" s="74">
        <f t="shared" ca="1" si="46"/>
        <v>43606</v>
      </c>
      <c r="AA203" s="80" t="str">
        <f t="shared" ca="1" si="47"/>
        <v>CLM9</v>
      </c>
      <c r="AB203" s="74">
        <f t="shared" si="49"/>
        <v>43616</v>
      </c>
      <c r="AC203" s="80" t="str">
        <f t="shared" si="48"/>
        <v>LCON9</v>
      </c>
      <c r="AD203" s="80" t="str">
        <f t="shared" si="50"/>
        <v>CLN9</v>
      </c>
      <c r="AE203" s="80" t="str">
        <f t="shared" si="51"/>
        <v>LCOQ9</v>
      </c>
      <c r="AF203" s="80" t="str">
        <f t="shared" si="52"/>
        <v>CLQ9</v>
      </c>
      <c r="AG203" s="80" t="str">
        <f t="shared" si="53"/>
        <v>LCOU9</v>
      </c>
      <c r="AH203" s="80" t="str">
        <f t="shared" si="54"/>
        <v>LCOV9</v>
      </c>
    </row>
    <row r="204" spans="25:34" x14ac:dyDescent="0.35">
      <c r="Y204" s="74">
        <f t="shared" si="45"/>
        <v>43607</v>
      </c>
      <c r="Z204" s="74">
        <f t="shared" ca="1" si="46"/>
        <v>43636</v>
      </c>
      <c r="AA204" s="80" t="str">
        <f t="shared" ca="1" si="47"/>
        <v>CLN9</v>
      </c>
      <c r="AB204" s="74">
        <f t="shared" si="49"/>
        <v>43616</v>
      </c>
      <c r="AC204" s="80" t="str">
        <f t="shared" si="48"/>
        <v>LCON9</v>
      </c>
      <c r="AD204" s="80" t="str">
        <f t="shared" si="50"/>
        <v>CLN9</v>
      </c>
      <c r="AE204" s="80" t="str">
        <f t="shared" si="51"/>
        <v>LCOQ9</v>
      </c>
      <c r="AF204" s="80" t="str">
        <f t="shared" si="52"/>
        <v>CLQ9</v>
      </c>
      <c r="AG204" s="80" t="str">
        <f t="shared" si="53"/>
        <v>LCOU9</v>
      </c>
      <c r="AH204" s="80" t="str">
        <f t="shared" si="54"/>
        <v>LCOV9</v>
      </c>
    </row>
    <row r="205" spans="25:34" x14ac:dyDescent="0.35">
      <c r="Y205" s="74">
        <f t="shared" si="45"/>
        <v>43608</v>
      </c>
      <c r="Z205" s="74">
        <f t="shared" ca="1" si="46"/>
        <v>43636</v>
      </c>
      <c r="AA205" s="80" t="str">
        <f t="shared" ca="1" si="47"/>
        <v>CLN9</v>
      </c>
      <c r="AB205" s="74">
        <f t="shared" si="49"/>
        <v>43616</v>
      </c>
      <c r="AC205" s="80" t="str">
        <f t="shared" si="48"/>
        <v>LCON9</v>
      </c>
      <c r="AD205" s="80" t="str">
        <f t="shared" si="50"/>
        <v>CLN9</v>
      </c>
      <c r="AE205" s="80" t="str">
        <f t="shared" si="51"/>
        <v>LCOQ9</v>
      </c>
      <c r="AF205" s="80" t="str">
        <f t="shared" si="52"/>
        <v>CLQ9</v>
      </c>
      <c r="AG205" s="80" t="str">
        <f t="shared" si="53"/>
        <v>LCOU9</v>
      </c>
      <c r="AH205" s="80" t="str">
        <f t="shared" si="54"/>
        <v>LCOV9</v>
      </c>
    </row>
    <row r="206" spans="25:34" x14ac:dyDescent="0.35">
      <c r="Y206" s="74">
        <f t="shared" si="45"/>
        <v>43609</v>
      </c>
      <c r="Z206" s="74">
        <f t="shared" ca="1" si="46"/>
        <v>43636</v>
      </c>
      <c r="AA206" s="80" t="str">
        <f t="shared" ca="1" si="47"/>
        <v>CLN9</v>
      </c>
      <c r="AB206" s="74">
        <f t="shared" si="49"/>
        <v>43616</v>
      </c>
      <c r="AC206" s="80" t="str">
        <f t="shared" si="48"/>
        <v>LCON9</v>
      </c>
      <c r="AD206" s="80" t="str">
        <f t="shared" si="50"/>
        <v>CLN9</v>
      </c>
      <c r="AE206" s="80" t="str">
        <f t="shared" si="51"/>
        <v>LCOQ9</v>
      </c>
      <c r="AF206" s="80" t="str">
        <f t="shared" si="52"/>
        <v>CLQ9</v>
      </c>
      <c r="AG206" s="80" t="str">
        <f t="shared" si="53"/>
        <v>LCOU9</v>
      </c>
      <c r="AH206" s="80" t="str">
        <f t="shared" si="54"/>
        <v>LCOV9</v>
      </c>
    </row>
    <row r="207" spans="25:34" x14ac:dyDescent="0.35">
      <c r="Y207" s="74">
        <f t="shared" si="45"/>
        <v>43610</v>
      </c>
      <c r="Z207" s="74">
        <f t="shared" ca="1" si="46"/>
        <v>43636</v>
      </c>
      <c r="AA207" s="80" t="str">
        <f t="shared" ca="1" si="47"/>
        <v>CLN9</v>
      </c>
      <c r="AB207" s="74">
        <f t="shared" si="49"/>
        <v>43616</v>
      </c>
      <c r="AC207" s="80" t="str">
        <f t="shared" si="48"/>
        <v>LCON9</v>
      </c>
      <c r="AD207" s="80" t="str">
        <f t="shared" si="50"/>
        <v>CLN9</v>
      </c>
      <c r="AE207" s="80" t="str">
        <f t="shared" si="51"/>
        <v>LCOQ9</v>
      </c>
      <c r="AF207" s="80" t="str">
        <f t="shared" si="52"/>
        <v>CLQ9</v>
      </c>
      <c r="AG207" s="80" t="str">
        <f t="shared" si="53"/>
        <v>LCOU9</v>
      </c>
      <c r="AH207" s="80" t="str">
        <f t="shared" si="54"/>
        <v>LCOV9</v>
      </c>
    </row>
    <row r="208" spans="25:34" x14ac:dyDescent="0.35">
      <c r="Y208" s="74">
        <f t="shared" si="45"/>
        <v>43611</v>
      </c>
      <c r="Z208" s="74">
        <f t="shared" ca="1" si="46"/>
        <v>43636</v>
      </c>
      <c r="AA208" s="80" t="str">
        <f t="shared" ca="1" si="47"/>
        <v>CLN9</v>
      </c>
      <c r="AB208" s="74">
        <f t="shared" si="49"/>
        <v>43616</v>
      </c>
      <c r="AC208" s="80" t="str">
        <f t="shared" si="48"/>
        <v>LCON9</v>
      </c>
      <c r="AD208" s="80" t="str">
        <f t="shared" si="50"/>
        <v>CLN9</v>
      </c>
      <c r="AE208" s="80" t="str">
        <f t="shared" si="51"/>
        <v>LCOQ9</v>
      </c>
      <c r="AF208" s="80" t="str">
        <f t="shared" si="52"/>
        <v>CLQ9</v>
      </c>
      <c r="AG208" s="80" t="str">
        <f t="shared" si="53"/>
        <v>LCOU9</v>
      </c>
      <c r="AH208" s="80" t="str">
        <f t="shared" si="54"/>
        <v>LCOV9</v>
      </c>
    </row>
    <row r="209" spans="25:34" x14ac:dyDescent="0.35">
      <c r="Y209" s="74">
        <f t="shared" si="45"/>
        <v>43612</v>
      </c>
      <c r="Z209" s="74">
        <f t="shared" ca="1" si="46"/>
        <v>43636</v>
      </c>
      <c r="AA209" s="80" t="str">
        <f t="shared" ca="1" si="47"/>
        <v>CLN9</v>
      </c>
      <c r="AB209" s="74">
        <f t="shared" si="49"/>
        <v>43616</v>
      </c>
      <c r="AC209" s="80" t="str">
        <f t="shared" si="48"/>
        <v>LCON9</v>
      </c>
      <c r="AD209" s="80" t="str">
        <f t="shared" si="50"/>
        <v>CLN9</v>
      </c>
      <c r="AE209" s="80" t="str">
        <f t="shared" si="51"/>
        <v>LCOQ9</v>
      </c>
      <c r="AF209" s="80" t="str">
        <f t="shared" si="52"/>
        <v>CLQ9</v>
      </c>
      <c r="AG209" s="80" t="str">
        <f t="shared" si="53"/>
        <v>LCOU9</v>
      </c>
      <c r="AH209" s="80" t="str">
        <f t="shared" si="54"/>
        <v>LCOV9</v>
      </c>
    </row>
    <row r="210" spans="25:34" x14ac:dyDescent="0.35">
      <c r="Y210" s="74">
        <f t="shared" si="45"/>
        <v>43613</v>
      </c>
      <c r="Z210" s="74">
        <f t="shared" ca="1" si="46"/>
        <v>43636</v>
      </c>
      <c r="AA210" s="80" t="str">
        <f t="shared" ca="1" si="47"/>
        <v>CLN9</v>
      </c>
      <c r="AB210" s="74">
        <f t="shared" si="49"/>
        <v>43616</v>
      </c>
      <c r="AC210" s="80" t="str">
        <f t="shared" si="48"/>
        <v>LCON9</v>
      </c>
      <c r="AD210" s="80" t="str">
        <f t="shared" si="50"/>
        <v>CLN9</v>
      </c>
      <c r="AE210" s="80" t="str">
        <f t="shared" si="51"/>
        <v>LCOQ9</v>
      </c>
      <c r="AF210" s="80" t="str">
        <f t="shared" si="52"/>
        <v>CLQ9</v>
      </c>
      <c r="AG210" s="80" t="str">
        <f t="shared" si="53"/>
        <v>LCOU9</v>
      </c>
      <c r="AH210" s="80" t="str">
        <f t="shared" si="54"/>
        <v>LCOV9</v>
      </c>
    </row>
    <row r="211" spans="25:34" x14ac:dyDescent="0.35">
      <c r="Y211" s="74">
        <f t="shared" si="45"/>
        <v>43614</v>
      </c>
      <c r="Z211" s="74">
        <f t="shared" ca="1" si="46"/>
        <v>43636</v>
      </c>
      <c r="AA211" s="80" t="str">
        <f t="shared" ca="1" si="47"/>
        <v>CLN9</v>
      </c>
      <c r="AB211" s="74">
        <f t="shared" si="49"/>
        <v>43616</v>
      </c>
      <c r="AC211" s="80" t="str">
        <f t="shared" si="48"/>
        <v>LCON9</v>
      </c>
      <c r="AD211" s="80" t="str">
        <f t="shared" si="50"/>
        <v>CLN9</v>
      </c>
      <c r="AE211" s="80" t="str">
        <f t="shared" si="51"/>
        <v>LCOQ9</v>
      </c>
      <c r="AF211" s="80" t="str">
        <f t="shared" si="52"/>
        <v>CLQ9</v>
      </c>
      <c r="AG211" s="80" t="str">
        <f t="shared" si="53"/>
        <v>LCOU9</v>
      </c>
      <c r="AH211" s="80" t="str">
        <f t="shared" si="54"/>
        <v>LCOV9</v>
      </c>
    </row>
    <row r="212" spans="25:34" x14ac:dyDescent="0.35">
      <c r="Y212" s="74">
        <f t="shared" si="45"/>
        <v>43615</v>
      </c>
      <c r="Z212" s="74">
        <f t="shared" ca="1" si="46"/>
        <v>43636</v>
      </c>
      <c r="AA212" s="80" t="str">
        <f t="shared" ca="1" si="47"/>
        <v>CLN9</v>
      </c>
      <c r="AB212" s="74">
        <f t="shared" si="49"/>
        <v>43616</v>
      </c>
      <c r="AC212" s="80" t="str">
        <f t="shared" si="48"/>
        <v>LCON9</v>
      </c>
      <c r="AD212" s="80" t="str">
        <f t="shared" si="50"/>
        <v>CLN9</v>
      </c>
      <c r="AE212" s="80" t="str">
        <f t="shared" si="51"/>
        <v>LCOQ9</v>
      </c>
      <c r="AF212" s="80" t="str">
        <f t="shared" si="52"/>
        <v>CLQ9</v>
      </c>
      <c r="AG212" s="80" t="str">
        <f t="shared" si="53"/>
        <v>LCOU9</v>
      </c>
      <c r="AH212" s="80" t="str">
        <f t="shared" si="54"/>
        <v>LCOV9</v>
      </c>
    </row>
    <row r="213" spans="25:34" x14ac:dyDescent="0.35">
      <c r="Y213" s="74">
        <f t="shared" si="45"/>
        <v>43616</v>
      </c>
      <c r="Z213" s="74">
        <f t="shared" ca="1" si="46"/>
        <v>43636</v>
      </c>
      <c r="AA213" s="80" t="str">
        <f t="shared" ca="1" si="47"/>
        <v>CLN9</v>
      </c>
      <c r="AB213" s="74">
        <f t="shared" si="49"/>
        <v>43616</v>
      </c>
      <c r="AC213" s="80" t="str">
        <f t="shared" si="48"/>
        <v>LCON9</v>
      </c>
      <c r="AD213" s="80" t="str">
        <f t="shared" si="50"/>
        <v>CLN9</v>
      </c>
      <c r="AE213" s="80" t="str">
        <f t="shared" si="51"/>
        <v>LCOQ9</v>
      </c>
      <c r="AF213" s="80" t="str">
        <f t="shared" si="52"/>
        <v>CLQ9</v>
      </c>
      <c r="AG213" s="80" t="str">
        <f t="shared" si="53"/>
        <v>LCOU9</v>
      </c>
      <c r="AH213" s="80" t="str">
        <f t="shared" si="54"/>
        <v>LCOV9</v>
      </c>
    </row>
    <row r="214" spans="25:34" x14ac:dyDescent="0.35">
      <c r="Y214" s="74">
        <f t="shared" si="45"/>
        <v>43617</v>
      </c>
      <c r="Z214" s="74">
        <f t="shared" ca="1" si="46"/>
        <v>43636</v>
      </c>
      <c r="AA214" s="80" t="str">
        <f t="shared" ca="1" si="47"/>
        <v>CLN9</v>
      </c>
      <c r="AB214" s="74">
        <f t="shared" si="49"/>
        <v>43644</v>
      </c>
      <c r="AC214" s="80" t="str">
        <f t="shared" si="48"/>
        <v>LCOQ9</v>
      </c>
      <c r="AD214" s="80" t="str">
        <f t="shared" si="50"/>
        <v>CLQ9</v>
      </c>
      <c r="AE214" s="80" t="str">
        <f t="shared" si="51"/>
        <v>LCOU9</v>
      </c>
      <c r="AF214" s="80" t="str">
        <f t="shared" si="52"/>
        <v>CLU9</v>
      </c>
      <c r="AG214" s="80" t="str">
        <f t="shared" si="53"/>
        <v>LCOV9</v>
      </c>
      <c r="AH214" s="80" t="str">
        <f t="shared" si="54"/>
        <v>LCOX9</v>
      </c>
    </row>
    <row r="215" spans="25:34" x14ac:dyDescent="0.35">
      <c r="Y215" s="74">
        <f t="shared" si="45"/>
        <v>43618</v>
      </c>
      <c r="Z215" s="74">
        <f t="shared" ca="1" si="46"/>
        <v>43636</v>
      </c>
      <c r="AA215" s="80" t="str">
        <f t="shared" ca="1" si="47"/>
        <v>CLN9</v>
      </c>
      <c r="AB215" s="74">
        <f t="shared" si="49"/>
        <v>43644</v>
      </c>
      <c r="AC215" s="80" t="str">
        <f t="shared" si="48"/>
        <v>LCOQ9</v>
      </c>
      <c r="AD215" s="80" t="str">
        <f t="shared" si="50"/>
        <v>CLQ9</v>
      </c>
      <c r="AE215" s="80" t="str">
        <f t="shared" si="51"/>
        <v>LCOU9</v>
      </c>
      <c r="AF215" s="80" t="str">
        <f t="shared" si="52"/>
        <v>CLU9</v>
      </c>
      <c r="AG215" s="80" t="str">
        <f t="shared" si="53"/>
        <v>LCOV9</v>
      </c>
      <c r="AH215" s="80" t="str">
        <f t="shared" si="54"/>
        <v>LCOX9</v>
      </c>
    </row>
    <row r="216" spans="25:34" x14ac:dyDescent="0.35">
      <c r="Y216" s="74">
        <f t="shared" si="45"/>
        <v>43619</v>
      </c>
      <c r="Z216" s="74">
        <f t="shared" ca="1" si="46"/>
        <v>43636</v>
      </c>
      <c r="AA216" s="80" t="str">
        <f t="shared" ca="1" si="47"/>
        <v>CLN9</v>
      </c>
      <c r="AB216" s="74">
        <f t="shared" si="49"/>
        <v>43644</v>
      </c>
      <c r="AC216" s="80" t="str">
        <f t="shared" si="48"/>
        <v>LCOQ9</v>
      </c>
      <c r="AD216" s="80" t="str">
        <f t="shared" si="50"/>
        <v>CLQ9</v>
      </c>
      <c r="AE216" s="80" t="str">
        <f t="shared" si="51"/>
        <v>LCOU9</v>
      </c>
      <c r="AF216" s="80" t="str">
        <f t="shared" si="52"/>
        <v>CLU9</v>
      </c>
      <c r="AG216" s="80" t="str">
        <f t="shared" si="53"/>
        <v>LCOV9</v>
      </c>
      <c r="AH216" s="80" t="str">
        <f t="shared" si="54"/>
        <v>LCOX9</v>
      </c>
    </row>
    <row r="217" spans="25:34" x14ac:dyDescent="0.35">
      <c r="Y217" s="74">
        <f t="shared" si="45"/>
        <v>43620</v>
      </c>
      <c r="Z217" s="74">
        <f t="shared" ca="1" si="46"/>
        <v>43636</v>
      </c>
      <c r="AA217" s="80" t="str">
        <f t="shared" ca="1" si="47"/>
        <v>CLN9</v>
      </c>
      <c r="AB217" s="74">
        <f t="shared" si="49"/>
        <v>43644</v>
      </c>
      <c r="AC217" s="80" t="str">
        <f t="shared" si="48"/>
        <v>LCOQ9</v>
      </c>
      <c r="AD217" s="80" t="str">
        <f t="shared" si="50"/>
        <v>CLQ9</v>
      </c>
      <c r="AE217" s="80" t="str">
        <f t="shared" si="51"/>
        <v>LCOU9</v>
      </c>
      <c r="AF217" s="80" t="str">
        <f t="shared" si="52"/>
        <v>CLU9</v>
      </c>
      <c r="AG217" s="80" t="str">
        <f t="shared" si="53"/>
        <v>LCOV9</v>
      </c>
      <c r="AH217" s="80" t="str">
        <f t="shared" si="54"/>
        <v>LCOX9</v>
      </c>
    </row>
    <row r="218" spans="25:34" x14ac:dyDescent="0.35">
      <c r="Y218" s="74">
        <f t="shared" si="45"/>
        <v>43621</v>
      </c>
      <c r="Z218" s="74">
        <f t="shared" ca="1" si="46"/>
        <v>43636</v>
      </c>
      <c r="AA218" s="80" t="str">
        <f t="shared" ca="1" si="47"/>
        <v>CLN9</v>
      </c>
      <c r="AB218" s="74">
        <f t="shared" si="49"/>
        <v>43644</v>
      </c>
      <c r="AC218" s="80" t="str">
        <f t="shared" si="48"/>
        <v>LCOQ9</v>
      </c>
      <c r="AD218" s="80" t="str">
        <f t="shared" si="50"/>
        <v>CLQ9</v>
      </c>
      <c r="AE218" s="80" t="str">
        <f t="shared" si="51"/>
        <v>LCOU9</v>
      </c>
      <c r="AF218" s="80" t="str">
        <f t="shared" si="52"/>
        <v>CLU9</v>
      </c>
      <c r="AG218" s="80" t="str">
        <f t="shared" si="53"/>
        <v>LCOV9</v>
      </c>
      <c r="AH218" s="80" t="str">
        <f t="shared" si="54"/>
        <v>LCOX9</v>
      </c>
    </row>
    <row r="219" spans="25:34" x14ac:dyDescent="0.35">
      <c r="Y219" s="74">
        <f t="shared" si="45"/>
        <v>43622</v>
      </c>
      <c r="Z219" s="74">
        <f t="shared" ca="1" si="46"/>
        <v>43636</v>
      </c>
      <c r="AA219" s="80" t="str">
        <f t="shared" ca="1" si="47"/>
        <v>CLN9</v>
      </c>
      <c r="AB219" s="74">
        <f t="shared" si="49"/>
        <v>43644</v>
      </c>
      <c r="AC219" s="80" t="str">
        <f t="shared" si="48"/>
        <v>LCOQ9</v>
      </c>
      <c r="AD219" s="80" t="str">
        <f t="shared" si="50"/>
        <v>CLQ9</v>
      </c>
      <c r="AE219" s="80" t="str">
        <f t="shared" si="51"/>
        <v>LCOU9</v>
      </c>
      <c r="AF219" s="80" t="str">
        <f t="shared" si="52"/>
        <v>CLU9</v>
      </c>
      <c r="AG219" s="80" t="str">
        <f t="shared" si="53"/>
        <v>LCOV9</v>
      </c>
      <c r="AH219" s="80" t="str">
        <f t="shared" si="54"/>
        <v>LCOX9</v>
      </c>
    </row>
    <row r="220" spans="25:34" x14ac:dyDescent="0.35">
      <c r="Y220" s="74">
        <f t="shared" si="45"/>
        <v>43623</v>
      </c>
      <c r="Z220" s="74">
        <f t="shared" ca="1" si="46"/>
        <v>43636</v>
      </c>
      <c r="AA220" s="80" t="str">
        <f t="shared" ca="1" si="47"/>
        <v>CLN9</v>
      </c>
      <c r="AB220" s="74">
        <f t="shared" si="49"/>
        <v>43644</v>
      </c>
      <c r="AC220" s="80" t="str">
        <f t="shared" si="48"/>
        <v>LCOQ9</v>
      </c>
      <c r="AD220" s="80" t="str">
        <f t="shared" si="50"/>
        <v>CLQ9</v>
      </c>
      <c r="AE220" s="80" t="str">
        <f t="shared" si="51"/>
        <v>LCOU9</v>
      </c>
      <c r="AF220" s="80" t="str">
        <f t="shared" si="52"/>
        <v>CLU9</v>
      </c>
      <c r="AG220" s="80" t="str">
        <f t="shared" si="53"/>
        <v>LCOV9</v>
      </c>
      <c r="AH220" s="80" t="str">
        <f t="shared" si="54"/>
        <v>LCOX9</v>
      </c>
    </row>
    <row r="221" spans="25:34" x14ac:dyDescent="0.35">
      <c r="Y221" s="74">
        <f t="shared" si="45"/>
        <v>43624</v>
      </c>
      <c r="Z221" s="74">
        <f t="shared" ca="1" si="46"/>
        <v>43636</v>
      </c>
      <c r="AA221" s="80" t="str">
        <f t="shared" ca="1" si="47"/>
        <v>CLN9</v>
      </c>
      <c r="AB221" s="74">
        <f t="shared" si="49"/>
        <v>43644</v>
      </c>
      <c r="AC221" s="80" t="str">
        <f t="shared" si="48"/>
        <v>LCOQ9</v>
      </c>
      <c r="AD221" s="80" t="str">
        <f t="shared" si="50"/>
        <v>CLQ9</v>
      </c>
      <c r="AE221" s="80" t="str">
        <f t="shared" si="51"/>
        <v>LCOU9</v>
      </c>
      <c r="AF221" s="80" t="str">
        <f t="shared" si="52"/>
        <v>CLU9</v>
      </c>
      <c r="AG221" s="80" t="str">
        <f t="shared" si="53"/>
        <v>LCOV9</v>
      </c>
      <c r="AH221" s="80" t="str">
        <f t="shared" si="54"/>
        <v>LCOX9</v>
      </c>
    </row>
    <row r="222" spans="25:34" x14ac:dyDescent="0.35">
      <c r="Y222" s="74">
        <f t="shared" si="45"/>
        <v>43625</v>
      </c>
      <c r="Z222" s="74">
        <f t="shared" ca="1" si="46"/>
        <v>43636</v>
      </c>
      <c r="AA222" s="80" t="str">
        <f t="shared" ca="1" si="47"/>
        <v>CLN9</v>
      </c>
      <c r="AB222" s="74">
        <f t="shared" si="49"/>
        <v>43644</v>
      </c>
      <c r="AC222" s="80" t="str">
        <f t="shared" si="48"/>
        <v>LCOQ9</v>
      </c>
      <c r="AD222" s="80" t="str">
        <f t="shared" si="50"/>
        <v>CLQ9</v>
      </c>
      <c r="AE222" s="80" t="str">
        <f t="shared" si="51"/>
        <v>LCOU9</v>
      </c>
      <c r="AF222" s="80" t="str">
        <f t="shared" si="52"/>
        <v>CLU9</v>
      </c>
      <c r="AG222" s="80" t="str">
        <f t="shared" si="53"/>
        <v>LCOV9</v>
      </c>
      <c r="AH222" s="80" t="str">
        <f t="shared" si="54"/>
        <v>LCOX9</v>
      </c>
    </row>
    <row r="223" spans="25:34" x14ac:dyDescent="0.35">
      <c r="Y223" s="74">
        <f t="shared" si="45"/>
        <v>43626</v>
      </c>
      <c r="Z223" s="74">
        <f t="shared" ca="1" si="46"/>
        <v>43636</v>
      </c>
      <c r="AA223" s="80" t="str">
        <f t="shared" ca="1" si="47"/>
        <v>CLN9</v>
      </c>
      <c r="AB223" s="74">
        <f t="shared" si="49"/>
        <v>43644</v>
      </c>
      <c r="AC223" s="80" t="str">
        <f t="shared" si="48"/>
        <v>LCOQ9</v>
      </c>
      <c r="AD223" s="80" t="str">
        <f t="shared" si="50"/>
        <v>CLQ9</v>
      </c>
      <c r="AE223" s="80" t="str">
        <f t="shared" si="51"/>
        <v>LCOU9</v>
      </c>
      <c r="AF223" s="80" t="str">
        <f t="shared" si="52"/>
        <v>CLU9</v>
      </c>
      <c r="AG223" s="80" t="str">
        <f t="shared" si="53"/>
        <v>LCOV9</v>
      </c>
      <c r="AH223" s="80" t="str">
        <f t="shared" si="54"/>
        <v>LCOX9</v>
      </c>
    </row>
    <row r="224" spans="25:34" x14ac:dyDescent="0.35">
      <c r="Y224" s="74">
        <f t="shared" si="45"/>
        <v>43627</v>
      </c>
      <c r="Z224" s="74">
        <f t="shared" ca="1" si="46"/>
        <v>43636</v>
      </c>
      <c r="AA224" s="80" t="str">
        <f t="shared" ca="1" si="47"/>
        <v>CLN9</v>
      </c>
      <c r="AB224" s="74">
        <f t="shared" si="49"/>
        <v>43644</v>
      </c>
      <c r="AC224" s="80" t="str">
        <f t="shared" si="48"/>
        <v>LCOQ9</v>
      </c>
      <c r="AD224" s="80" t="str">
        <f t="shared" si="50"/>
        <v>CLQ9</v>
      </c>
      <c r="AE224" s="80" t="str">
        <f t="shared" si="51"/>
        <v>LCOU9</v>
      </c>
      <c r="AF224" s="80" t="str">
        <f t="shared" si="52"/>
        <v>CLU9</v>
      </c>
      <c r="AG224" s="80" t="str">
        <f t="shared" si="53"/>
        <v>LCOV9</v>
      </c>
      <c r="AH224" s="80" t="str">
        <f t="shared" si="54"/>
        <v>LCOX9</v>
      </c>
    </row>
    <row r="225" spans="25:34" x14ac:dyDescent="0.35">
      <c r="Y225" s="74">
        <f t="shared" ref="Y225:Y288" si="55">Y224+1</f>
        <v>43628</v>
      </c>
      <c r="Z225" s="74">
        <f t="shared" ca="1" si="46"/>
        <v>43636</v>
      </c>
      <c r="AA225" s="80" t="str">
        <f t="shared" ca="1" si="47"/>
        <v>CLN9</v>
      </c>
      <c r="AB225" s="74">
        <f t="shared" si="49"/>
        <v>43644</v>
      </c>
      <c r="AC225" s="80" t="str">
        <f t="shared" si="48"/>
        <v>LCOQ9</v>
      </c>
      <c r="AD225" s="80" t="str">
        <f t="shared" si="50"/>
        <v>CLQ9</v>
      </c>
      <c r="AE225" s="80" t="str">
        <f t="shared" si="51"/>
        <v>LCOU9</v>
      </c>
      <c r="AF225" s="80" t="str">
        <f t="shared" si="52"/>
        <v>CLU9</v>
      </c>
      <c r="AG225" s="80" t="str">
        <f t="shared" si="53"/>
        <v>LCOV9</v>
      </c>
      <c r="AH225" s="80" t="str">
        <f t="shared" si="54"/>
        <v>LCOX9</v>
      </c>
    </row>
    <row r="226" spans="25:34" x14ac:dyDescent="0.35">
      <c r="Y226" s="74">
        <f t="shared" si="55"/>
        <v>43629</v>
      </c>
      <c r="Z226" s="74">
        <f t="shared" ca="1" si="46"/>
        <v>43636</v>
      </c>
      <c r="AA226" s="80" t="str">
        <f t="shared" ca="1" si="47"/>
        <v>CLN9</v>
      </c>
      <c r="AB226" s="74">
        <f t="shared" si="49"/>
        <v>43644</v>
      </c>
      <c r="AC226" s="80" t="str">
        <f t="shared" si="48"/>
        <v>LCOQ9</v>
      </c>
      <c r="AD226" s="80" t="str">
        <f t="shared" si="50"/>
        <v>CLQ9</v>
      </c>
      <c r="AE226" s="80" t="str">
        <f t="shared" si="51"/>
        <v>LCOU9</v>
      </c>
      <c r="AF226" s="80" t="str">
        <f t="shared" si="52"/>
        <v>CLU9</v>
      </c>
      <c r="AG226" s="80" t="str">
        <f t="shared" si="53"/>
        <v>LCOV9</v>
      </c>
      <c r="AH226" s="80" t="str">
        <f t="shared" si="54"/>
        <v>LCOX9</v>
      </c>
    </row>
    <row r="227" spans="25:34" x14ac:dyDescent="0.35">
      <c r="Y227" s="74">
        <f t="shared" si="55"/>
        <v>43630</v>
      </c>
      <c r="Z227" s="74">
        <f t="shared" ca="1" si="46"/>
        <v>43636</v>
      </c>
      <c r="AA227" s="80" t="str">
        <f t="shared" ca="1" si="47"/>
        <v>CLN9</v>
      </c>
      <c r="AB227" s="74">
        <f t="shared" si="49"/>
        <v>43644</v>
      </c>
      <c r="AC227" s="80" t="str">
        <f t="shared" si="48"/>
        <v>LCOQ9</v>
      </c>
      <c r="AD227" s="80" t="str">
        <f t="shared" si="50"/>
        <v>CLQ9</v>
      </c>
      <c r="AE227" s="80" t="str">
        <f t="shared" si="51"/>
        <v>LCOU9</v>
      </c>
      <c r="AF227" s="80" t="str">
        <f t="shared" si="52"/>
        <v>CLU9</v>
      </c>
      <c r="AG227" s="80" t="str">
        <f t="shared" si="53"/>
        <v>LCOV9</v>
      </c>
      <c r="AH227" s="80" t="str">
        <f t="shared" si="54"/>
        <v>LCOX9</v>
      </c>
    </row>
    <row r="228" spans="25:34" x14ac:dyDescent="0.35">
      <c r="Y228" s="74">
        <f t="shared" si="55"/>
        <v>43631</v>
      </c>
      <c r="Z228" s="74">
        <f t="shared" ca="1" si="46"/>
        <v>43636</v>
      </c>
      <c r="AA228" s="80" t="str">
        <f t="shared" ca="1" si="47"/>
        <v>CLN9</v>
      </c>
      <c r="AB228" s="74">
        <f t="shared" si="49"/>
        <v>43644</v>
      </c>
      <c r="AC228" s="80" t="str">
        <f t="shared" si="48"/>
        <v>LCOQ9</v>
      </c>
      <c r="AD228" s="80" t="str">
        <f t="shared" si="50"/>
        <v>CLQ9</v>
      </c>
      <c r="AE228" s="80" t="str">
        <f t="shared" si="51"/>
        <v>LCOU9</v>
      </c>
      <c r="AF228" s="80" t="str">
        <f t="shared" si="52"/>
        <v>CLU9</v>
      </c>
      <c r="AG228" s="80" t="str">
        <f t="shared" si="53"/>
        <v>LCOV9</v>
      </c>
      <c r="AH228" s="80" t="str">
        <f t="shared" si="54"/>
        <v>LCOX9</v>
      </c>
    </row>
    <row r="229" spans="25:34" x14ac:dyDescent="0.35">
      <c r="Y229" s="74">
        <f t="shared" si="55"/>
        <v>43632</v>
      </c>
      <c r="Z229" s="74">
        <f t="shared" ca="1" si="46"/>
        <v>43636</v>
      </c>
      <c r="AA229" s="80" t="str">
        <f t="shared" ca="1" si="47"/>
        <v>CLN9</v>
      </c>
      <c r="AB229" s="74">
        <f t="shared" si="49"/>
        <v>43644</v>
      </c>
      <c r="AC229" s="80" t="str">
        <f t="shared" si="48"/>
        <v>LCOQ9</v>
      </c>
      <c r="AD229" s="80" t="str">
        <f t="shared" si="50"/>
        <v>CLQ9</v>
      </c>
      <c r="AE229" s="80" t="str">
        <f t="shared" si="51"/>
        <v>LCOU9</v>
      </c>
      <c r="AF229" s="80" t="str">
        <f t="shared" si="52"/>
        <v>CLU9</v>
      </c>
      <c r="AG229" s="80" t="str">
        <f t="shared" si="53"/>
        <v>LCOV9</v>
      </c>
      <c r="AH229" s="80" t="str">
        <f t="shared" si="54"/>
        <v>LCOX9</v>
      </c>
    </row>
    <row r="230" spans="25:34" x14ac:dyDescent="0.35">
      <c r="Y230" s="74">
        <f t="shared" si="55"/>
        <v>43633</v>
      </c>
      <c r="Z230" s="74">
        <f t="shared" ca="1" si="46"/>
        <v>43636</v>
      </c>
      <c r="AA230" s="80" t="str">
        <f t="shared" ca="1" si="47"/>
        <v>CLN9</v>
      </c>
      <c r="AB230" s="74">
        <f t="shared" si="49"/>
        <v>43644</v>
      </c>
      <c r="AC230" s="80" t="str">
        <f t="shared" si="48"/>
        <v>LCOQ9</v>
      </c>
      <c r="AD230" s="80" t="str">
        <f t="shared" si="50"/>
        <v>CLQ9</v>
      </c>
      <c r="AE230" s="80" t="str">
        <f t="shared" si="51"/>
        <v>LCOU9</v>
      </c>
      <c r="AF230" s="80" t="str">
        <f t="shared" si="52"/>
        <v>CLU9</v>
      </c>
      <c r="AG230" s="80" t="str">
        <f t="shared" si="53"/>
        <v>LCOV9</v>
      </c>
      <c r="AH230" s="80" t="str">
        <f t="shared" si="54"/>
        <v>LCOX9</v>
      </c>
    </row>
    <row r="231" spans="25:34" x14ac:dyDescent="0.35">
      <c r="Y231" s="74">
        <f t="shared" si="55"/>
        <v>43634</v>
      </c>
      <c r="Z231" s="74">
        <f t="shared" ca="1" si="46"/>
        <v>43636</v>
      </c>
      <c r="AA231" s="80" t="str">
        <f t="shared" ca="1" si="47"/>
        <v>CLN9</v>
      </c>
      <c r="AB231" s="74">
        <f t="shared" si="49"/>
        <v>43644</v>
      </c>
      <c r="AC231" s="80" t="str">
        <f t="shared" si="48"/>
        <v>LCOQ9</v>
      </c>
      <c r="AD231" s="80" t="str">
        <f t="shared" si="50"/>
        <v>CLQ9</v>
      </c>
      <c r="AE231" s="80" t="str">
        <f t="shared" si="51"/>
        <v>LCOU9</v>
      </c>
      <c r="AF231" s="80" t="str">
        <f t="shared" si="52"/>
        <v>CLU9</v>
      </c>
      <c r="AG231" s="80" t="str">
        <f t="shared" si="53"/>
        <v>LCOV9</v>
      </c>
      <c r="AH231" s="80" t="str">
        <f t="shared" si="54"/>
        <v>LCOX9</v>
      </c>
    </row>
    <row r="232" spans="25:34" x14ac:dyDescent="0.35">
      <c r="Y232" s="74">
        <f t="shared" si="55"/>
        <v>43635</v>
      </c>
      <c r="Z232" s="74">
        <f t="shared" ca="1" si="46"/>
        <v>43636</v>
      </c>
      <c r="AA232" s="80" t="str">
        <f t="shared" ca="1" si="47"/>
        <v>CLN9</v>
      </c>
      <c r="AB232" s="74">
        <f t="shared" si="49"/>
        <v>43644</v>
      </c>
      <c r="AC232" s="80" t="str">
        <f t="shared" si="48"/>
        <v>LCOQ9</v>
      </c>
      <c r="AD232" s="80" t="str">
        <f t="shared" si="50"/>
        <v>CLQ9</v>
      </c>
      <c r="AE232" s="80" t="str">
        <f t="shared" si="51"/>
        <v>LCOU9</v>
      </c>
      <c r="AF232" s="80" t="str">
        <f t="shared" si="52"/>
        <v>CLU9</v>
      </c>
      <c r="AG232" s="80" t="str">
        <f t="shared" si="53"/>
        <v>LCOV9</v>
      </c>
      <c r="AH232" s="80" t="str">
        <f t="shared" si="54"/>
        <v>LCOX9</v>
      </c>
    </row>
    <row r="233" spans="25:34" x14ac:dyDescent="0.35">
      <c r="Y233" s="74">
        <f t="shared" si="55"/>
        <v>43636</v>
      </c>
      <c r="Z233" s="74">
        <f t="shared" ca="1" si="46"/>
        <v>43636</v>
      </c>
      <c r="AA233" s="80" t="str">
        <f t="shared" ca="1" si="47"/>
        <v>CLN9</v>
      </c>
      <c r="AB233" s="74">
        <f t="shared" si="49"/>
        <v>43644</v>
      </c>
      <c r="AC233" s="80" t="str">
        <f t="shared" si="48"/>
        <v>LCOQ9</v>
      </c>
      <c r="AD233" s="80" t="str">
        <f t="shared" si="50"/>
        <v>CLQ9</v>
      </c>
      <c r="AE233" s="80" t="str">
        <f t="shared" si="51"/>
        <v>LCOU9</v>
      </c>
      <c r="AF233" s="80" t="str">
        <f t="shared" si="52"/>
        <v>CLU9</v>
      </c>
      <c r="AG233" s="80" t="str">
        <f t="shared" si="53"/>
        <v>LCOV9</v>
      </c>
      <c r="AH233" s="80" t="str">
        <f t="shared" si="54"/>
        <v>LCOX9</v>
      </c>
    </row>
    <row r="234" spans="25:34" x14ac:dyDescent="0.35">
      <c r="Y234" s="74">
        <f t="shared" si="55"/>
        <v>43637</v>
      </c>
      <c r="Z234" s="74">
        <f t="shared" ca="1" si="46"/>
        <v>43668</v>
      </c>
      <c r="AA234" s="80" t="str">
        <f t="shared" ca="1" si="47"/>
        <v>CLQ9</v>
      </c>
      <c r="AB234" s="74">
        <f t="shared" si="49"/>
        <v>43644</v>
      </c>
      <c r="AC234" s="80" t="str">
        <f t="shared" si="48"/>
        <v>LCOQ9</v>
      </c>
      <c r="AD234" s="80" t="str">
        <f t="shared" si="50"/>
        <v>CLQ9</v>
      </c>
      <c r="AE234" s="80" t="str">
        <f t="shared" si="51"/>
        <v>LCOU9</v>
      </c>
      <c r="AF234" s="80" t="str">
        <f t="shared" si="52"/>
        <v>CLU9</v>
      </c>
      <c r="AG234" s="80" t="str">
        <f t="shared" si="53"/>
        <v>LCOV9</v>
      </c>
      <c r="AH234" s="80" t="str">
        <f t="shared" si="54"/>
        <v>LCOX9</v>
      </c>
    </row>
    <row r="235" spans="25:34" x14ac:dyDescent="0.35">
      <c r="Y235" s="74">
        <f t="shared" si="55"/>
        <v>43638</v>
      </c>
      <c r="Z235" s="74">
        <f t="shared" ca="1" si="46"/>
        <v>43668</v>
      </c>
      <c r="AA235" s="80" t="str">
        <f t="shared" ca="1" si="47"/>
        <v>CLQ9</v>
      </c>
      <c r="AB235" s="74">
        <f t="shared" si="49"/>
        <v>43644</v>
      </c>
      <c r="AC235" s="80" t="str">
        <f t="shared" si="48"/>
        <v>LCOQ9</v>
      </c>
      <c r="AD235" s="80" t="str">
        <f t="shared" si="50"/>
        <v>CLQ9</v>
      </c>
      <c r="AE235" s="80" t="str">
        <f t="shared" si="51"/>
        <v>LCOU9</v>
      </c>
      <c r="AF235" s="80" t="str">
        <f t="shared" si="52"/>
        <v>CLU9</v>
      </c>
      <c r="AG235" s="80" t="str">
        <f t="shared" si="53"/>
        <v>LCOV9</v>
      </c>
      <c r="AH235" s="80" t="str">
        <f t="shared" si="54"/>
        <v>LCOX9</v>
      </c>
    </row>
    <row r="236" spans="25:34" x14ac:dyDescent="0.35">
      <c r="Y236" s="74">
        <f t="shared" si="55"/>
        <v>43639</v>
      </c>
      <c r="Z236" s="74">
        <f t="shared" ca="1" si="46"/>
        <v>43668</v>
      </c>
      <c r="AA236" s="80" t="str">
        <f t="shared" ca="1" si="47"/>
        <v>CLQ9</v>
      </c>
      <c r="AB236" s="74">
        <f t="shared" si="49"/>
        <v>43644</v>
      </c>
      <c r="AC236" s="80" t="str">
        <f t="shared" si="48"/>
        <v>LCOQ9</v>
      </c>
      <c r="AD236" s="80" t="str">
        <f t="shared" si="50"/>
        <v>CLQ9</v>
      </c>
      <c r="AE236" s="80" t="str">
        <f t="shared" si="51"/>
        <v>LCOU9</v>
      </c>
      <c r="AF236" s="80" t="str">
        <f t="shared" si="52"/>
        <v>CLU9</v>
      </c>
      <c r="AG236" s="80" t="str">
        <f t="shared" si="53"/>
        <v>LCOV9</v>
      </c>
      <c r="AH236" s="80" t="str">
        <f t="shared" si="54"/>
        <v>LCOX9</v>
      </c>
    </row>
    <row r="237" spans="25:34" x14ac:dyDescent="0.35">
      <c r="Y237" s="74">
        <f t="shared" si="55"/>
        <v>43640</v>
      </c>
      <c r="Z237" s="74">
        <f t="shared" ca="1" si="46"/>
        <v>43668</v>
      </c>
      <c r="AA237" s="80" t="str">
        <f t="shared" ca="1" si="47"/>
        <v>CLQ9</v>
      </c>
      <c r="AB237" s="74">
        <f t="shared" si="49"/>
        <v>43644</v>
      </c>
      <c r="AC237" s="80" t="str">
        <f t="shared" si="48"/>
        <v>LCOQ9</v>
      </c>
      <c r="AD237" s="80" t="str">
        <f t="shared" si="50"/>
        <v>CLQ9</v>
      </c>
      <c r="AE237" s="80" t="str">
        <f t="shared" si="51"/>
        <v>LCOU9</v>
      </c>
      <c r="AF237" s="80" t="str">
        <f t="shared" si="52"/>
        <v>CLU9</v>
      </c>
      <c r="AG237" s="80" t="str">
        <f t="shared" si="53"/>
        <v>LCOV9</v>
      </c>
      <c r="AH237" s="80" t="str">
        <f t="shared" si="54"/>
        <v>LCOX9</v>
      </c>
    </row>
    <row r="238" spans="25:34" x14ac:dyDescent="0.35">
      <c r="Y238" s="74">
        <f t="shared" si="55"/>
        <v>43641</v>
      </c>
      <c r="Z238" s="74">
        <f t="shared" ca="1" si="46"/>
        <v>43668</v>
      </c>
      <c r="AA238" s="80" t="str">
        <f t="shared" ca="1" si="47"/>
        <v>CLQ9</v>
      </c>
      <c r="AB238" s="74">
        <f t="shared" si="49"/>
        <v>43644</v>
      </c>
      <c r="AC238" s="80" t="str">
        <f t="shared" si="48"/>
        <v>LCOQ9</v>
      </c>
      <c r="AD238" s="80" t="str">
        <f t="shared" si="50"/>
        <v>CLQ9</v>
      </c>
      <c r="AE238" s="80" t="str">
        <f t="shared" si="51"/>
        <v>LCOU9</v>
      </c>
      <c r="AF238" s="80" t="str">
        <f t="shared" si="52"/>
        <v>CLU9</v>
      </c>
      <c r="AG238" s="80" t="str">
        <f t="shared" si="53"/>
        <v>LCOV9</v>
      </c>
      <c r="AH238" s="80" t="str">
        <f t="shared" si="54"/>
        <v>LCOX9</v>
      </c>
    </row>
    <row r="239" spans="25:34" x14ac:dyDescent="0.35">
      <c r="Y239" s="74">
        <f t="shared" si="55"/>
        <v>43642</v>
      </c>
      <c r="Z239" s="74">
        <f t="shared" ca="1" si="46"/>
        <v>43668</v>
      </c>
      <c r="AA239" s="80" t="str">
        <f t="shared" ca="1" si="47"/>
        <v>CLQ9</v>
      </c>
      <c r="AB239" s="74">
        <f t="shared" si="49"/>
        <v>43644</v>
      </c>
      <c r="AC239" s="80" t="str">
        <f t="shared" si="48"/>
        <v>LCOQ9</v>
      </c>
      <c r="AD239" s="80" t="str">
        <f t="shared" si="50"/>
        <v>CLQ9</v>
      </c>
      <c r="AE239" s="80" t="str">
        <f t="shared" si="51"/>
        <v>LCOU9</v>
      </c>
      <c r="AF239" s="80" t="str">
        <f t="shared" si="52"/>
        <v>CLU9</v>
      </c>
      <c r="AG239" s="80" t="str">
        <f t="shared" si="53"/>
        <v>LCOV9</v>
      </c>
      <c r="AH239" s="80" t="str">
        <f t="shared" si="54"/>
        <v>LCOX9</v>
      </c>
    </row>
    <row r="240" spans="25:34" x14ac:dyDescent="0.35">
      <c r="Y240" s="74">
        <f t="shared" si="55"/>
        <v>43643</v>
      </c>
      <c r="Z240" s="74">
        <f t="shared" ca="1" si="46"/>
        <v>43668</v>
      </c>
      <c r="AA240" s="80" t="str">
        <f t="shared" ca="1" si="47"/>
        <v>CLQ9</v>
      </c>
      <c r="AB240" s="74">
        <f t="shared" si="49"/>
        <v>43644</v>
      </c>
      <c r="AC240" s="80" t="str">
        <f t="shared" si="48"/>
        <v>LCOQ9</v>
      </c>
      <c r="AD240" s="80" t="str">
        <f t="shared" si="50"/>
        <v>CLQ9</v>
      </c>
      <c r="AE240" s="80" t="str">
        <f t="shared" si="51"/>
        <v>LCOU9</v>
      </c>
      <c r="AF240" s="80" t="str">
        <f t="shared" si="52"/>
        <v>CLU9</v>
      </c>
      <c r="AG240" s="80" t="str">
        <f t="shared" si="53"/>
        <v>LCOV9</v>
      </c>
      <c r="AH240" s="80" t="str">
        <f t="shared" si="54"/>
        <v>LCOX9</v>
      </c>
    </row>
    <row r="241" spans="25:34" x14ac:dyDescent="0.35">
      <c r="Y241" s="74">
        <f t="shared" si="55"/>
        <v>43644</v>
      </c>
      <c r="Z241" s="74">
        <f t="shared" ca="1" si="46"/>
        <v>43668</v>
      </c>
      <c r="AA241" s="80" t="str">
        <f t="shared" ca="1" si="47"/>
        <v>CLQ9</v>
      </c>
      <c r="AB241" s="74">
        <f t="shared" si="49"/>
        <v>43644</v>
      </c>
      <c r="AC241" s="80" t="str">
        <f t="shared" si="48"/>
        <v>LCOQ9</v>
      </c>
      <c r="AD241" s="80" t="str">
        <f t="shared" si="50"/>
        <v>CLQ9</v>
      </c>
      <c r="AE241" s="80" t="str">
        <f t="shared" si="51"/>
        <v>LCOU9</v>
      </c>
      <c r="AF241" s="80" t="str">
        <f t="shared" si="52"/>
        <v>CLU9</v>
      </c>
      <c r="AG241" s="80" t="str">
        <f t="shared" si="53"/>
        <v>LCOV9</v>
      </c>
      <c r="AH241" s="80" t="str">
        <f t="shared" si="54"/>
        <v>LCOX9</v>
      </c>
    </row>
    <row r="242" spans="25:34" x14ac:dyDescent="0.35">
      <c r="Y242" s="74">
        <f t="shared" si="55"/>
        <v>43645</v>
      </c>
      <c r="Z242" s="74">
        <f t="shared" ca="1" si="46"/>
        <v>43668</v>
      </c>
      <c r="AA242" s="80" t="str">
        <f t="shared" ca="1" si="47"/>
        <v>CLQ9</v>
      </c>
      <c r="AB242" s="74">
        <f t="shared" si="49"/>
        <v>43677</v>
      </c>
      <c r="AC242" s="80" t="str">
        <f t="shared" si="48"/>
        <v>LCOU9</v>
      </c>
      <c r="AD242" s="80" t="str">
        <f t="shared" si="50"/>
        <v>CLU9</v>
      </c>
      <c r="AE242" s="80" t="str">
        <f t="shared" si="51"/>
        <v>LCOV9</v>
      </c>
      <c r="AF242" s="80" t="str">
        <f t="shared" si="52"/>
        <v>CLV9</v>
      </c>
      <c r="AG242" s="80" t="str">
        <f t="shared" si="53"/>
        <v>LCOX9</v>
      </c>
      <c r="AH242" s="80" t="str">
        <f t="shared" si="54"/>
        <v>LCOZ9</v>
      </c>
    </row>
    <row r="243" spans="25:34" x14ac:dyDescent="0.35">
      <c r="Y243" s="74">
        <f t="shared" si="55"/>
        <v>43646</v>
      </c>
      <c r="Z243" s="74">
        <f t="shared" ca="1" si="46"/>
        <v>43668</v>
      </c>
      <c r="AA243" s="80" t="str">
        <f t="shared" ca="1" si="47"/>
        <v>CLQ9</v>
      </c>
      <c r="AB243" s="74">
        <f t="shared" si="49"/>
        <v>43677</v>
      </c>
      <c r="AC243" s="80" t="str">
        <f t="shared" si="48"/>
        <v>LCOU9</v>
      </c>
      <c r="AD243" s="80" t="str">
        <f t="shared" si="50"/>
        <v>CLU9</v>
      </c>
      <c r="AE243" s="80" t="str">
        <f t="shared" si="51"/>
        <v>LCOV9</v>
      </c>
      <c r="AF243" s="80" t="str">
        <f t="shared" si="52"/>
        <v>CLV9</v>
      </c>
      <c r="AG243" s="80" t="str">
        <f t="shared" si="53"/>
        <v>LCOX9</v>
      </c>
      <c r="AH243" s="80" t="str">
        <f t="shared" si="54"/>
        <v>LCOZ9</v>
      </c>
    </row>
    <row r="244" spans="25:34" x14ac:dyDescent="0.35">
      <c r="Y244" s="74">
        <f t="shared" si="55"/>
        <v>43647</v>
      </c>
      <c r="Z244" s="74">
        <f t="shared" ca="1" si="46"/>
        <v>43668</v>
      </c>
      <c r="AA244" s="80" t="str">
        <f t="shared" ca="1" si="47"/>
        <v>CLQ9</v>
      </c>
      <c r="AB244" s="74">
        <f t="shared" si="49"/>
        <v>43677</v>
      </c>
      <c r="AC244" s="80" t="str">
        <f t="shared" si="48"/>
        <v>LCOU9</v>
      </c>
      <c r="AD244" s="80" t="str">
        <f t="shared" si="50"/>
        <v>CLU9</v>
      </c>
      <c r="AE244" s="80" t="str">
        <f t="shared" si="51"/>
        <v>LCOV9</v>
      </c>
      <c r="AF244" s="80" t="str">
        <f t="shared" si="52"/>
        <v>CLV9</v>
      </c>
      <c r="AG244" s="80" t="str">
        <f t="shared" si="53"/>
        <v>LCOX9</v>
      </c>
      <c r="AH244" s="80" t="str">
        <f t="shared" si="54"/>
        <v>LCOZ9</v>
      </c>
    </row>
    <row r="245" spans="25:34" x14ac:dyDescent="0.35">
      <c r="Y245" s="74">
        <f t="shared" si="55"/>
        <v>43648</v>
      </c>
      <c r="Z245" s="74">
        <f t="shared" ca="1" si="46"/>
        <v>43668</v>
      </c>
      <c r="AA245" s="80" t="str">
        <f t="shared" ca="1" si="47"/>
        <v>CLQ9</v>
      </c>
      <c r="AB245" s="74">
        <f t="shared" si="49"/>
        <v>43677</v>
      </c>
      <c r="AC245" s="80" t="str">
        <f t="shared" si="48"/>
        <v>LCOU9</v>
      </c>
      <c r="AD245" s="80" t="str">
        <f t="shared" si="50"/>
        <v>CLU9</v>
      </c>
      <c r="AE245" s="80" t="str">
        <f t="shared" si="51"/>
        <v>LCOV9</v>
      </c>
      <c r="AF245" s="80" t="str">
        <f t="shared" si="52"/>
        <v>CLV9</v>
      </c>
      <c r="AG245" s="80" t="str">
        <f t="shared" si="53"/>
        <v>LCOX9</v>
      </c>
      <c r="AH245" s="80" t="str">
        <f t="shared" si="54"/>
        <v>LCOZ9</v>
      </c>
    </row>
    <row r="246" spans="25:34" x14ac:dyDescent="0.35">
      <c r="Y246" s="74">
        <f t="shared" si="55"/>
        <v>43649</v>
      </c>
      <c r="Z246" s="74">
        <f t="shared" ca="1" si="46"/>
        <v>43668</v>
      </c>
      <c r="AA246" s="80" t="str">
        <f t="shared" ca="1" si="47"/>
        <v>CLQ9</v>
      </c>
      <c r="AB246" s="74">
        <f t="shared" si="49"/>
        <v>43677</v>
      </c>
      <c r="AC246" s="80" t="str">
        <f t="shared" si="48"/>
        <v>LCOU9</v>
      </c>
      <c r="AD246" s="80" t="str">
        <f t="shared" si="50"/>
        <v>CLU9</v>
      </c>
      <c r="AE246" s="80" t="str">
        <f t="shared" si="51"/>
        <v>LCOV9</v>
      </c>
      <c r="AF246" s="80" t="str">
        <f t="shared" si="52"/>
        <v>CLV9</v>
      </c>
      <c r="AG246" s="80" t="str">
        <f t="shared" si="53"/>
        <v>LCOX9</v>
      </c>
      <c r="AH246" s="80" t="str">
        <f t="shared" si="54"/>
        <v>LCOZ9</v>
      </c>
    </row>
    <row r="247" spans="25:34" x14ac:dyDescent="0.35">
      <c r="Y247" s="74">
        <f t="shared" si="55"/>
        <v>43650</v>
      </c>
      <c r="Z247" s="74">
        <f t="shared" ca="1" si="46"/>
        <v>43668</v>
      </c>
      <c r="AA247" s="80" t="str">
        <f t="shared" ca="1" si="47"/>
        <v>CLQ9</v>
      </c>
      <c r="AB247" s="74">
        <f t="shared" si="49"/>
        <v>43677</v>
      </c>
      <c r="AC247" s="80" t="str">
        <f t="shared" si="48"/>
        <v>LCOU9</v>
      </c>
      <c r="AD247" s="80" t="str">
        <f t="shared" si="50"/>
        <v>CLU9</v>
      </c>
      <c r="AE247" s="80" t="str">
        <f t="shared" si="51"/>
        <v>LCOV9</v>
      </c>
      <c r="AF247" s="80" t="str">
        <f t="shared" si="52"/>
        <v>CLV9</v>
      </c>
      <c r="AG247" s="80" t="str">
        <f t="shared" si="53"/>
        <v>LCOX9</v>
      </c>
      <c r="AH247" s="80" t="str">
        <f t="shared" si="54"/>
        <v>LCOZ9</v>
      </c>
    </row>
    <row r="248" spans="25:34" x14ac:dyDescent="0.35">
      <c r="Y248" s="74">
        <f t="shared" si="55"/>
        <v>43651</v>
      </c>
      <c r="Z248" s="74">
        <f t="shared" ca="1" si="46"/>
        <v>43668</v>
      </c>
      <c r="AA248" s="80" t="str">
        <f t="shared" ca="1" si="47"/>
        <v>CLQ9</v>
      </c>
      <c r="AB248" s="74">
        <f t="shared" si="49"/>
        <v>43677</v>
      </c>
      <c r="AC248" s="80" t="str">
        <f t="shared" si="48"/>
        <v>LCOU9</v>
      </c>
      <c r="AD248" s="80" t="str">
        <f t="shared" si="50"/>
        <v>CLU9</v>
      </c>
      <c r="AE248" s="80" t="str">
        <f t="shared" si="51"/>
        <v>LCOV9</v>
      </c>
      <c r="AF248" s="80" t="str">
        <f t="shared" si="52"/>
        <v>CLV9</v>
      </c>
      <c r="AG248" s="80" t="str">
        <f t="shared" si="53"/>
        <v>LCOX9</v>
      </c>
      <c r="AH248" s="80" t="str">
        <f t="shared" si="54"/>
        <v>LCOZ9</v>
      </c>
    </row>
    <row r="249" spans="25:34" x14ac:dyDescent="0.35">
      <c r="Y249" s="74">
        <f t="shared" si="55"/>
        <v>43652</v>
      </c>
      <c r="Z249" s="74">
        <f t="shared" ca="1" si="46"/>
        <v>43668</v>
      </c>
      <c r="AA249" s="80" t="str">
        <f t="shared" ca="1" si="47"/>
        <v>CLQ9</v>
      </c>
      <c r="AB249" s="74">
        <f t="shared" si="49"/>
        <v>43677</v>
      </c>
      <c r="AC249" s="80" t="str">
        <f t="shared" si="48"/>
        <v>LCOU9</v>
      </c>
      <c r="AD249" s="80" t="str">
        <f t="shared" si="50"/>
        <v>CLU9</v>
      </c>
      <c r="AE249" s="80" t="str">
        <f t="shared" si="51"/>
        <v>LCOV9</v>
      </c>
      <c r="AF249" s="80" t="str">
        <f t="shared" si="52"/>
        <v>CLV9</v>
      </c>
      <c r="AG249" s="80" t="str">
        <f t="shared" si="53"/>
        <v>LCOX9</v>
      </c>
      <c r="AH249" s="80" t="str">
        <f t="shared" si="54"/>
        <v>LCOZ9</v>
      </c>
    </row>
    <row r="250" spans="25:34" x14ac:dyDescent="0.35">
      <c r="Y250" s="74">
        <f t="shared" si="55"/>
        <v>43653</v>
      </c>
      <c r="Z250" s="74">
        <f t="shared" ca="1" si="46"/>
        <v>43668</v>
      </c>
      <c r="AA250" s="80" t="str">
        <f t="shared" ca="1" si="47"/>
        <v>CLQ9</v>
      </c>
      <c r="AB250" s="74">
        <f t="shared" si="49"/>
        <v>43677</v>
      </c>
      <c r="AC250" s="80" t="str">
        <f t="shared" si="48"/>
        <v>LCOU9</v>
      </c>
      <c r="AD250" s="80" t="str">
        <f t="shared" si="50"/>
        <v>CLU9</v>
      </c>
      <c r="AE250" s="80" t="str">
        <f t="shared" si="51"/>
        <v>LCOV9</v>
      </c>
      <c r="AF250" s="80" t="str">
        <f t="shared" si="52"/>
        <v>CLV9</v>
      </c>
      <c r="AG250" s="80" t="str">
        <f t="shared" si="53"/>
        <v>LCOX9</v>
      </c>
      <c r="AH250" s="80" t="str">
        <f t="shared" si="54"/>
        <v>LCOZ9</v>
      </c>
    </row>
    <row r="251" spans="25:34" x14ac:dyDescent="0.35">
      <c r="Y251" s="74">
        <f t="shared" si="55"/>
        <v>43654</v>
      </c>
      <c r="Z251" s="74">
        <f t="shared" ca="1" si="46"/>
        <v>43668</v>
      </c>
      <c r="AA251" s="80" t="str">
        <f t="shared" ca="1" si="47"/>
        <v>CLQ9</v>
      </c>
      <c r="AB251" s="74">
        <f t="shared" si="49"/>
        <v>43677</v>
      </c>
      <c r="AC251" s="80" t="str">
        <f t="shared" si="48"/>
        <v>LCOU9</v>
      </c>
      <c r="AD251" s="80" t="str">
        <f t="shared" si="50"/>
        <v>CLU9</v>
      </c>
      <c r="AE251" s="80" t="str">
        <f t="shared" si="51"/>
        <v>LCOV9</v>
      </c>
      <c r="AF251" s="80" t="str">
        <f t="shared" si="52"/>
        <v>CLV9</v>
      </c>
      <c r="AG251" s="80" t="str">
        <f t="shared" si="53"/>
        <v>LCOX9</v>
      </c>
      <c r="AH251" s="80" t="str">
        <f t="shared" si="54"/>
        <v>LCOZ9</v>
      </c>
    </row>
    <row r="252" spans="25:34" x14ac:dyDescent="0.35">
      <c r="Y252" s="74">
        <f t="shared" si="55"/>
        <v>43655</v>
      </c>
      <c r="Z252" s="74">
        <f t="shared" ca="1" si="46"/>
        <v>43668</v>
      </c>
      <c r="AA252" s="80" t="str">
        <f t="shared" ca="1" si="47"/>
        <v>CLQ9</v>
      </c>
      <c r="AB252" s="74">
        <f t="shared" si="49"/>
        <v>43677</v>
      </c>
      <c r="AC252" s="80" t="str">
        <f t="shared" si="48"/>
        <v>LCOU9</v>
      </c>
      <c r="AD252" s="80" t="str">
        <f t="shared" si="50"/>
        <v>CLU9</v>
      </c>
      <c r="AE252" s="80" t="str">
        <f t="shared" si="51"/>
        <v>LCOV9</v>
      </c>
      <c r="AF252" s="80" t="str">
        <f t="shared" si="52"/>
        <v>CLV9</v>
      </c>
      <c r="AG252" s="80" t="str">
        <f t="shared" si="53"/>
        <v>LCOX9</v>
      </c>
      <c r="AH252" s="80" t="str">
        <f t="shared" si="54"/>
        <v>LCOZ9</v>
      </c>
    </row>
    <row r="253" spans="25:34" x14ac:dyDescent="0.35">
      <c r="Y253" s="74">
        <f t="shared" si="55"/>
        <v>43656</v>
      </c>
      <c r="Z253" s="74">
        <f t="shared" ca="1" si="46"/>
        <v>43668</v>
      </c>
      <c r="AA253" s="80" t="str">
        <f t="shared" ca="1" si="47"/>
        <v>CLQ9</v>
      </c>
      <c r="AB253" s="74">
        <f t="shared" si="49"/>
        <v>43677</v>
      </c>
      <c r="AC253" s="80" t="str">
        <f t="shared" si="48"/>
        <v>LCOU9</v>
      </c>
      <c r="AD253" s="80" t="str">
        <f t="shared" si="50"/>
        <v>CLU9</v>
      </c>
      <c r="AE253" s="80" t="str">
        <f t="shared" si="51"/>
        <v>LCOV9</v>
      </c>
      <c r="AF253" s="80" t="str">
        <f t="shared" si="52"/>
        <v>CLV9</v>
      </c>
      <c r="AG253" s="80" t="str">
        <f t="shared" si="53"/>
        <v>LCOX9</v>
      </c>
      <c r="AH253" s="80" t="str">
        <f t="shared" si="54"/>
        <v>LCOZ9</v>
      </c>
    </row>
    <row r="254" spans="25:34" x14ac:dyDescent="0.35">
      <c r="Y254" s="74">
        <f t="shared" si="55"/>
        <v>43657</v>
      </c>
      <c r="Z254" s="74">
        <f t="shared" ca="1" si="46"/>
        <v>43668</v>
      </c>
      <c r="AA254" s="80" t="str">
        <f t="shared" ca="1" si="47"/>
        <v>CLQ9</v>
      </c>
      <c r="AB254" s="74">
        <f t="shared" si="49"/>
        <v>43677</v>
      </c>
      <c r="AC254" s="80" t="str">
        <f t="shared" si="48"/>
        <v>LCOU9</v>
      </c>
      <c r="AD254" s="80" t="str">
        <f t="shared" si="50"/>
        <v>CLU9</v>
      </c>
      <c r="AE254" s="80" t="str">
        <f t="shared" si="51"/>
        <v>LCOV9</v>
      </c>
      <c r="AF254" s="80" t="str">
        <f t="shared" si="52"/>
        <v>CLV9</v>
      </c>
      <c r="AG254" s="80" t="str">
        <f t="shared" si="53"/>
        <v>LCOX9</v>
      </c>
      <c r="AH254" s="80" t="str">
        <f t="shared" si="54"/>
        <v>LCOZ9</v>
      </c>
    </row>
    <row r="255" spans="25:34" x14ac:dyDescent="0.35">
      <c r="Y255" s="74">
        <f t="shared" si="55"/>
        <v>43658</v>
      </c>
      <c r="Z255" s="74">
        <f t="shared" ca="1" si="46"/>
        <v>43668</v>
      </c>
      <c r="AA255" s="80" t="str">
        <f t="shared" ca="1" si="47"/>
        <v>CLQ9</v>
      </c>
      <c r="AB255" s="74">
        <f t="shared" si="49"/>
        <v>43677</v>
      </c>
      <c r="AC255" s="80" t="str">
        <f t="shared" si="48"/>
        <v>LCOU9</v>
      </c>
      <c r="AD255" s="80" t="str">
        <f t="shared" si="50"/>
        <v>CLU9</v>
      </c>
      <c r="AE255" s="80" t="str">
        <f t="shared" si="51"/>
        <v>LCOV9</v>
      </c>
      <c r="AF255" s="80" t="str">
        <f t="shared" si="52"/>
        <v>CLV9</v>
      </c>
      <c r="AG255" s="80" t="str">
        <f t="shared" si="53"/>
        <v>LCOX9</v>
      </c>
      <c r="AH255" s="80" t="str">
        <f t="shared" si="54"/>
        <v>LCOZ9</v>
      </c>
    </row>
    <row r="256" spans="25:34" x14ac:dyDescent="0.35">
      <c r="Y256" s="74">
        <f t="shared" si="55"/>
        <v>43659</v>
      </c>
      <c r="Z256" s="74">
        <f t="shared" ca="1" si="46"/>
        <v>43668</v>
      </c>
      <c r="AA256" s="80" t="str">
        <f t="shared" ca="1" si="47"/>
        <v>CLQ9</v>
      </c>
      <c r="AB256" s="74">
        <f t="shared" si="49"/>
        <v>43677</v>
      </c>
      <c r="AC256" s="80" t="str">
        <f t="shared" si="48"/>
        <v>LCOU9</v>
      </c>
      <c r="AD256" s="80" t="str">
        <f t="shared" si="50"/>
        <v>CLU9</v>
      </c>
      <c r="AE256" s="80" t="str">
        <f t="shared" si="51"/>
        <v>LCOV9</v>
      </c>
      <c r="AF256" s="80" t="str">
        <f t="shared" si="52"/>
        <v>CLV9</v>
      </c>
      <c r="AG256" s="80" t="str">
        <f t="shared" si="53"/>
        <v>LCOX9</v>
      </c>
      <c r="AH256" s="80" t="str">
        <f t="shared" si="54"/>
        <v>LCOZ9</v>
      </c>
    </row>
    <row r="257" spans="25:34" x14ac:dyDescent="0.35">
      <c r="Y257" s="74">
        <f t="shared" si="55"/>
        <v>43660</v>
      </c>
      <c r="Z257" s="74">
        <f t="shared" ca="1" si="46"/>
        <v>43668</v>
      </c>
      <c r="AA257" s="80" t="str">
        <f t="shared" ca="1" si="47"/>
        <v>CLQ9</v>
      </c>
      <c r="AB257" s="74">
        <f t="shared" si="49"/>
        <v>43677</v>
      </c>
      <c r="AC257" s="80" t="str">
        <f t="shared" si="48"/>
        <v>LCOU9</v>
      </c>
      <c r="AD257" s="80" t="str">
        <f t="shared" si="50"/>
        <v>CLU9</v>
      </c>
      <c r="AE257" s="80" t="str">
        <f t="shared" si="51"/>
        <v>LCOV9</v>
      </c>
      <c r="AF257" s="80" t="str">
        <f t="shared" si="52"/>
        <v>CLV9</v>
      </c>
      <c r="AG257" s="80" t="str">
        <f t="shared" si="53"/>
        <v>LCOX9</v>
      </c>
      <c r="AH257" s="80" t="str">
        <f t="shared" si="54"/>
        <v>LCOZ9</v>
      </c>
    </row>
    <row r="258" spans="25:34" x14ac:dyDescent="0.35">
      <c r="Y258" s="74">
        <f t="shared" si="55"/>
        <v>43661</v>
      </c>
      <c r="Z258" s="74">
        <f t="shared" ref="Z258:Z321" ca="1" si="56">VLOOKUP(AA258,$I$2:$K$39,3,FALSE)</f>
        <v>43668</v>
      </c>
      <c r="AA258" s="80" t="str">
        <f t="shared" ref="AA258:AA321" ca="1" si="57">LOOKUP(2,1/($J$2:$J$700&lt;=$Y258)/($K$2:$K$700&gt;=$Y258),$L$2:$L$700)</f>
        <v>CLQ9</v>
      </c>
      <c r="AB258" s="74">
        <f t="shared" si="49"/>
        <v>43677</v>
      </c>
      <c r="AC258" s="80" t="str">
        <f t="shared" ref="AC258:AC321" si="58">LOOKUP(2,1/($R$2:$R$700&lt;=$Y258)/($S$2:$S$700&gt;=$Y258),$T$2:$T$700)</f>
        <v>LCOU9</v>
      </c>
      <c r="AD258" s="80" t="str">
        <f t="shared" si="50"/>
        <v>CLU9</v>
      </c>
      <c r="AE258" s="80" t="str">
        <f t="shared" si="51"/>
        <v>LCOV9</v>
      </c>
      <c r="AF258" s="80" t="str">
        <f t="shared" si="52"/>
        <v>CLV9</v>
      </c>
      <c r="AG258" s="80" t="str">
        <f t="shared" si="53"/>
        <v>LCOX9</v>
      </c>
      <c r="AH258" s="80" t="str">
        <f t="shared" si="54"/>
        <v>LCOZ9</v>
      </c>
    </row>
    <row r="259" spans="25:34" x14ac:dyDescent="0.35">
      <c r="Y259" s="74">
        <f t="shared" si="55"/>
        <v>43662</v>
      </c>
      <c r="Z259" s="74">
        <f t="shared" ca="1" si="56"/>
        <v>43668</v>
      </c>
      <c r="AA259" s="80" t="str">
        <f t="shared" ca="1" si="57"/>
        <v>CLQ9</v>
      </c>
      <c r="AB259" s="74">
        <f t="shared" ref="AB259:AB322" si="59">VLOOKUP(AC259,$Q$2:$S$39,3,FALSE)</f>
        <v>43677</v>
      </c>
      <c r="AC259" s="80" t="str">
        <f t="shared" si="58"/>
        <v>LCOU9</v>
      </c>
      <c r="AD259" s="80" t="str">
        <f t="shared" ref="AD259:AD322" si="60">CONCATENATE("CL",RIGHT(AC259,2))</f>
        <v>CLU9</v>
      </c>
      <c r="AE259" s="80" t="str">
        <f t="shared" ref="AE259:AE322" si="61">LOOKUP(2,1/($R$2:$R$700&lt;=$Y259)/($S$2:$S$700&gt;=$Y259),$U$2:$U$700)</f>
        <v>LCOV9</v>
      </c>
      <c r="AF259" s="80" t="str">
        <f t="shared" ref="AF259:AF322" si="62">CONCATENATE("CL",RIGHT(AE259,2))</f>
        <v>CLV9</v>
      </c>
      <c r="AG259" s="80" t="str">
        <f t="shared" ref="AG259:AG322" si="63">LOOKUP(2,1/($R$2:$R$700&lt;=$Y259)/($S$2:$S$700&gt;=$Y259),$V$2:$V$700)</f>
        <v>LCOX9</v>
      </c>
      <c r="AH259" s="80" t="str">
        <f t="shared" ref="AH259:AH322" si="64">LOOKUP(2,1/($R$2:$R$700&lt;=$Y259)/($S$2:$S$700&gt;=$Y259),$W$2:$W$700)</f>
        <v>LCOZ9</v>
      </c>
    </row>
    <row r="260" spans="25:34" x14ac:dyDescent="0.35">
      <c r="Y260" s="74">
        <f t="shared" si="55"/>
        <v>43663</v>
      </c>
      <c r="Z260" s="74">
        <f t="shared" ca="1" si="56"/>
        <v>43668</v>
      </c>
      <c r="AA260" s="80" t="str">
        <f t="shared" ca="1" si="57"/>
        <v>CLQ9</v>
      </c>
      <c r="AB260" s="74">
        <f t="shared" si="59"/>
        <v>43677</v>
      </c>
      <c r="AC260" s="80" t="str">
        <f t="shared" si="58"/>
        <v>LCOU9</v>
      </c>
      <c r="AD260" s="80" t="str">
        <f t="shared" si="60"/>
        <v>CLU9</v>
      </c>
      <c r="AE260" s="80" t="str">
        <f t="shared" si="61"/>
        <v>LCOV9</v>
      </c>
      <c r="AF260" s="80" t="str">
        <f t="shared" si="62"/>
        <v>CLV9</v>
      </c>
      <c r="AG260" s="80" t="str">
        <f t="shared" si="63"/>
        <v>LCOX9</v>
      </c>
      <c r="AH260" s="80" t="str">
        <f t="shared" si="64"/>
        <v>LCOZ9</v>
      </c>
    </row>
    <row r="261" spans="25:34" x14ac:dyDescent="0.35">
      <c r="Y261" s="74">
        <f t="shared" si="55"/>
        <v>43664</v>
      </c>
      <c r="Z261" s="74">
        <f t="shared" ca="1" si="56"/>
        <v>43668</v>
      </c>
      <c r="AA261" s="80" t="str">
        <f t="shared" ca="1" si="57"/>
        <v>CLQ9</v>
      </c>
      <c r="AB261" s="74">
        <f t="shared" si="59"/>
        <v>43677</v>
      </c>
      <c r="AC261" s="80" t="str">
        <f t="shared" si="58"/>
        <v>LCOU9</v>
      </c>
      <c r="AD261" s="80" t="str">
        <f t="shared" si="60"/>
        <v>CLU9</v>
      </c>
      <c r="AE261" s="80" t="str">
        <f t="shared" si="61"/>
        <v>LCOV9</v>
      </c>
      <c r="AF261" s="80" t="str">
        <f t="shared" si="62"/>
        <v>CLV9</v>
      </c>
      <c r="AG261" s="80" t="str">
        <f t="shared" si="63"/>
        <v>LCOX9</v>
      </c>
      <c r="AH261" s="80" t="str">
        <f t="shared" si="64"/>
        <v>LCOZ9</v>
      </c>
    </row>
    <row r="262" spans="25:34" x14ac:dyDescent="0.35">
      <c r="Y262" s="74">
        <f t="shared" si="55"/>
        <v>43665</v>
      </c>
      <c r="Z262" s="74">
        <f t="shared" ca="1" si="56"/>
        <v>43668</v>
      </c>
      <c r="AA262" s="80" t="str">
        <f t="shared" ca="1" si="57"/>
        <v>CLQ9</v>
      </c>
      <c r="AB262" s="74">
        <f t="shared" si="59"/>
        <v>43677</v>
      </c>
      <c r="AC262" s="80" t="str">
        <f t="shared" si="58"/>
        <v>LCOU9</v>
      </c>
      <c r="AD262" s="80" t="str">
        <f t="shared" si="60"/>
        <v>CLU9</v>
      </c>
      <c r="AE262" s="80" t="str">
        <f t="shared" si="61"/>
        <v>LCOV9</v>
      </c>
      <c r="AF262" s="80" t="str">
        <f t="shared" si="62"/>
        <v>CLV9</v>
      </c>
      <c r="AG262" s="80" t="str">
        <f t="shared" si="63"/>
        <v>LCOX9</v>
      </c>
      <c r="AH262" s="80" t="str">
        <f t="shared" si="64"/>
        <v>LCOZ9</v>
      </c>
    </row>
    <row r="263" spans="25:34" x14ac:dyDescent="0.35">
      <c r="Y263" s="74">
        <f t="shared" si="55"/>
        <v>43666</v>
      </c>
      <c r="Z263" s="74">
        <f t="shared" ca="1" si="56"/>
        <v>43668</v>
      </c>
      <c r="AA263" s="80" t="str">
        <f t="shared" ca="1" si="57"/>
        <v>CLQ9</v>
      </c>
      <c r="AB263" s="74">
        <f t="shared" si="59"/>
        <v>43677</v>
      </c>
      <c r="AC263" s="80" t="str">
        <f t="shared" si="58"/>
        <v>LCOU9</v>
      </c>
      <c r="AD263" s="80" t="str">
        <f t="shared" si="60"/>
        <v>CLU9</v>
      </c>
      <c r="AE263" s="80" t="str">
        <f t="shared" si="61"/>
        <v>LCOV9</v>
      </c>
      <c r="AF263" s="80" t="str">
        <f t="shared" si="62"/>
        <v>CLV9</v>
      </c>
      <c r="AG263" s="80" t="str">
        <f t="shared" si="63"/>
        <v>LCOX9</v>
      </c>
      <c r="AH263" s="80" t="str">
        <f t="shared" si="64"/>
        <v>LCOZ9</v>
      </c>
    </row>
    <row r="264" spans="25:34" x14ac:dyDescent="0.35">
      <c r="Y264" s="74">
        <f t="shared" si="55"/>
        <v>43667</v>
      </c>
      <c r="Z264" s="74">
        <f t="shared" ca="1" si="56"/>
        <v>43668</v>
      </c>
      <c r="AA264" s="80" t="str">
        <f t="shared" ca="1" si="57"/>
        <v>CLQ9</v>
      </c>
      <c r="AB264" s="74">
        <f t="shared" si="59"/>
        <v>43677</v>
      </c>
      <c r="AC264" s="80" t="str">
        <f t="shared" si="58"/>
        <v>LCOU9</v>
      </c>
      <c r="AD264" s="80" t="str">
        <f t="shared" si="60"/>
        <v>CLU9</v>
      </c>
      <c r="AE264" s="80" t="str">
        <f t="shared" si="61"/>
        <v>LCOV9</v>
      </c>
      <c r="AF264" s="80" t="str">
        <f t="shared" si="62"/>
        <v>CLV9</v>
      </c>
      <c r="AG264" s="80" t="str">
        <f t="shared" si="63"/>
        <v>LCOX9</v>
      </c>
      <c r="AH264" s="80" t="str">
        <f t="shared" si="64"/>
        <v>LCOZ9</v>
      </c>
    </row>
    <row r="265" spans="25:34" x14ac:dyDescent="0.35">
      <c r="Y265" s="74">
        <f t="shared" si="55"/>
        <v>43668</v>
      </c>
      <c r="Z265" s="74">
        <f t="shared" ca="1" si="56"/>
        <v>43668</v>
      </c>
      <c r="AA265" s="80" t="str">
        <f t="shared" ca="1" si="57"/>
        <v>CLQ9</v>
      </c>
      <c r="AB265" s="74">
        <f t="shared" si="59"/>
        <v>43677</v>
      </c>
      <c r="AC265" s="80" t="str">
        <f t="shared" si="58"/>
        <v>LCOU9</v>
      </c>
      <c r="AD265" s="80" t="str">
        <f t="shared" si="60"/>
        <v>CLU9</v>
      </c>
      <c r="AE265" s="80" t="str">
        <f t="shared" si="61"/>
        <v>LCOV9</v>
      </c>
      <c r="AF265" s="80" t="str">
        <f t="shared" si="62"/>
        <v>CLV9</v>
      </c>
      <c r="AG265" s="80" t="str">
        <f t="shared" si="63"/>
        <v>LCOX9</v>
      </c>
      <c r="AH265" s="80" t="str">
        <f t="shared" si="64"/>
        <v>LCOZ9</v>
      </c>
    </row>
    <row r="266" spans="25:34" x14ac:dyDescent="0.35">
      <c r="Y266" s="74">
        <f t="shared" si="55"/>
        <v>43669</v>
      </c>
      <c r="Z266" s="74">
        <f t="shared" ca="1" si="56"/>
        <v>43697</v>
      </c>
      <c r="AA266" s="80" t="str">
        <f t="shared" ca="1" si="57"/>
        <v>CLU9</v>
      </c>
      <c r="AB266" s="74">
        <f t="shared" si="59"/>
        <v>43677</v>
      </c>
      <c r="AC266" s="80" t="str">
        <f t="shared" si="58"/>
        <v>LCOU9</v>
      </c>
      <c r="AD266" s="80" t="str">
        <f t="shared" si="60"/>
        <v>CLU9</v>
      </c>
      <c r="AE266" s="80" t="str">
        <f t="shared" si="61"/>
        <v>LCOV9</v>
      </c>
      <c r="AF266" s="80" t="str">
        <f t="shared" si="62"/>
        <v>CLV9</v>
      </c>
      <c r="AG266" s="80" t="str">
        <f t="shared" si="63"/>
        <v>LCOX9</v>
      </c>
      <c r="AH266" s="80" t="str">
        <f t="shared" si="64"/>
        <v>LCOZ9</v>
      </c>
    </row>
    <row r="267" spans="25:34" x14ac:dyDescent="0.35">
      <c r="Y267" s="74">
        <f t="shared" si="55"/>
        <v>43670</v>
      </c>
      <c r="Z267" s="74">
        <f t="shared" ca="1" si="56"/>
        <v>43697</v>
      </c>
      <c r="AA267" s="80" t="str">
        <f t="shared" ca="1" si="57"/>
        <v>CLU9</v>
      </c>
      <c r="AB267" s="74">
        <f t="shared" si="59"/>
        <v>43677</v>
      </c>
      <c r="AC267" s="80" t="str">
        <f t="shared" si="58"/>
        <v>LCOU9</v>
      </c>
      <c r="AD267" s="80" t="str">
        <f t="shared" si="60"/>
        <v>CLU9</v>
      </c>
      <c r="AE267" s="80" t="str">
        <f t="shared" si="61"/>
        <v>LCOV9</v>
      </c>
      <c r="AF267" s="80" t="str">
        <f t="shared" si="62"/>
        <v>CLV9</v>
      </c>
      <c r="AG267" s="80" t="str">
        <f t="shared" si="63"/>
        <v>LCOX9</v>
      </c>
      <c r="AH267" s="80" t="str">
        <f t="shared" si="64"/>
        <v>LCOZ9</v>
      </c>
    </row>
    <row r="268" spans="25:34" x14ac:dyDescent="0.35">
      <c r="Y268" s="74">
        <f t="shared" si="55"/>
        <v>43671</v>
      </c>
      <c r="Z268" s="74">
        <f t="shared" ca="1" si="56"/>
        <v>43697</v>
      </c>
      <c r="AA268" s="80" t="str">
        <f t="shared" ca="1" si="57"/>
        <v>CLU9</v>
      </c>
      <c r="AB268" s="74">
        <f t="shared" si="59"/>
        <v>43677</v>
      </c>
      <c r="AC268" s="80" t="str">
        <f t="shared" si="58"/>
        <v>LCOU9</v>
      </c>
      <c r="AD268" s="80" t="str">
        <f t="shared" si="60"/>
        <v>CLU9</v>
      </c>
      <c r="AE268" s="80" t="str">
        <f t="shared" si="61"/>
        <v>LCOV9</v>
      </c>
      <c r="AF268" s="80" t="str">
        <f t="shared" si="62"/>
        <v>CLV9</v>
      </c>
      <c r="AG268" s="80" t="str">
        <f t="shared" si="63"/>
        <v>LCOX9</v>
      </c>
      <c r="AH268" s="80" t="str">
        <f t="shared" si="64"/>
        <v>LCOZ9</v>
      </c>
    </row>
    <row r="269" spans="25:34" x14ac:dyDescent="0.35">
      <c r="Y269" s="74">
        <f t="shared" si="55"/>
        <v>43672</v>
      </c>
      <c r="Z269" s="74">
        <f t="shared" ca="1" si="56"/>
        <v>43697</v>
      </c>
      <c r="AA269" s="80" t="str">
        <f t="shared" ca="1" si="57"/>
        <v>CLU9</v>
      </c>
      <c r="AB269" s="74">
        <f t="shared" si="59"/>
        <v>43677</v>
      </c>
      <c r="AC269" s="80" t="str">
        <f t="shared" si="58"/>
        <v>LCOU9</v>
      </c>
      <c r="AD269" s="80" t="str">
        <f t="shared" si="60"/>
        <v>CLU9</v>
      </c>
      <c r="AE269" s="80" t="str">
        <f t="shared" si="61"/>
        <v>LCOV9</v>
      </c>
      <c r="AF269" s="80" t="str">
        <f t="shared" si="62"/>
        <v>CLV9</v>
      </c>
      <c r="AG269" s="80" t="str">
        <f t="shared" si="63"/>
        <v>LCOX9</v>
      </c>
      <c r="AH269" s="80" t="str">
        <f t="shared" si="64"/>
        <v>LCOZ9</v>
      </c>
    </row>
    <row r="270" spans="25:34" x14ac:dyDescent="0.35">
      <c r="Y270" s="74">
        <f t="shared" si="55"/>
        <v>43673</v>
      </c>
      <c r="Z270" s="74">
        <f t="shared" ca="1" si="56"/>
        <v>43697</v>
      </c>
      <c r="AA270" s="80" t="str">
        <f t="shared" ca="1" si="57"/>
        <v>CLU9</v>
      </c>
      <c r="AB270" s="74">
        <f t="shared" si="59"/>
        <v>43677</v>
      </c>
      <c r="AC270" s="80" t="str">
        <f t="shared" si="58"/>
        <v>LCOU9</v>
      </c>
      <c r="AD270" s="80" t="str">
        <f t="shared" si="60"/>
        <v>CLU9</v>
      </c>
      <c r="AE270" s="80" t="str">
        <f t="shared" si="61"/>
        <v>LCOV9</v>
      </c>
      <c r="AF270" s="80" t="str">
        <f t="shared" si="62"/>
        <v>CLV9</v>
      </c>
      <c r="AG270" s="80" t="str">
        <f t="shared" si="63"/>
        <v>LCOX9</v>
      </c>
      <c r="AH270" s="80" t="str">
        <f t="shared" si="64"/>
        <v>LCOZ9</v>
      </c>
    </row>
    <row r="271" spans="25:34" x14ac:dyDescent="0.35">
      <c r="Y271" s="74">
        <f t="shared" si="55"/>
        <v>43674</v>
      </c>
      <c r="Z271" s="74">
        <f t="shared" ca="1" si="56"/>
        <v>43697</v>
      </c>
      <c r="AA271" s="80" t="str">
        <f t="shared" ca="1" si="57"/>
        <v>CLU9</v>
      </c>
      <c r="AB271" s="74">
        <f t="shared" si="59"/>
        <v>43677</v>
      </c>
      <c r="AC271" s="80" t="str">
        <f t="shared" si="58"/>
        <v>LCOU9</v>
      </c>
      <c r="AD271" s="80" t="str">
        <f t="shared" si="60"/>
        <v>CLU9</v>
      </c>
      <c r="AE271" s="80" t="str">
        <f t="shared" si="61"/>
        <v>LCOV9</v>
      </c>
      <c r="AF271" s="80" t="str">
        <f t="shared" si="62"/>
        <v>CLV9</v>
      </c>
      <c r="AG271" s="80" t="str">
        <f t="shared" si="63"/>
        <v>LCOX9</v>
      </c>
      <c r="AH271" s="80" t="str">
        <f t="shared" si="64"/>
        <v>LCOZ9</v>
      </c>
    </row>
    <row r="272" spans="25:34" x14ac:dyDescent="0.35">
      <c r="Y272" s="74">
        <f t="shared" si="55"/>
        <v>43675</v>
      </c>
      <c r="Z272" s="74">
        <f t="shared" ca="1" si="56"/>
        <v>43697</v>
      </c>
      <c r="AA272" s="80" t="str">
        <f t="shared" ca="1" si="57"/>
        <v>CLU9</v>
      </c>
      <c r="AB272" s="74">
        <f t="shared" si="59"/>
        <v>43677</v>
      </c>
      <c r="AC272" s="80" t="str">
        <f t="shared" si="58"/>
        <v>LCOU9</v>
      </c>
      <c r="AD272" s="80" t="str">
        <f t="shared" si="60"/>
        <v>CLU9</v>
      </c>
      <c r="AE272" s="80" t="str">
        <f t="shared" si="61"/>
        <v>LCOV9</v>
      </c>
      <c r="AF272" s="80" t="str">
        <f t="shared" si="62"/>
        <v>CLV9</v>
      </c>
      <c r="AG272" s="80" t="str">
        <f t="shared" si="63"/>
        <v>LCOX9</v>
      </c>
      <c r="AH272" s="80" t="str">
        <f t="shared" si="64"/>
        <v>LCOZ9</v>
      </c>
    </row>
    <row r="273" spans="25:34" x14ac:dyDescent="0.35">
      <c r="Y273" s="74">
        <f t="shared" si="55"/>
        <v>43676</v>
      </c>
      <c r="Z273" s="74">
        <f t="shared" ca="1" si="56"/>
        <v>43697</v>
      </c>
      <c r="AA273" s="80" t="str">
        <f t="shared" ca="1" si="57"/>
        <v>CLU9</v>
      </c>
      <c r="AB273" s="74">
        <f t="shared" si="59"/>
        <v>43677</v>
      </c>
      <c r="AC273" s="80" t="str">
        <f t="shared" si="58"/>
        <v>LCOU9</v>
      </c>
      <c r="AD273" s="80" t="str">
        <f t="shared" si="60"/>
        <v>CLU9</v>
      </c>
      <c r="AE273" s="80" t="str">
        <f t="shared" si="61"/>
        <v>LCOV9</v>
      </c>
      <c r="AF273" s="80" t="str">
        <f t="shared" si="62"/>
        <v>CLV9</v>
      </c>
      <c r="AG273" s="80" t="str">
        <f t="shared" si="63"/>
        <v>LCOX9</v>
      </c>
      <c r="AH273" s="80" t="str">
        <f t="shared" si="64"/>
        <v>LCOZ9</v>
      </c>
    </row>
    <row r="274" spans="25:34" x14ac:dyDescent="0.35">
      <c r="Y274" s="74">
        <f t="shared" si="55"/>
        <v>43677</v>
      </c>
      <c r="Z274" s="74">
        <f t="shared" ca="1" si="56"/>
        <v>43697</v>
      </c>
      <c r="AA274" s="80" t="str">
        <f t="shared" ca="1" si="57"/>
        <v>CLU9</v>
      </c>
      <c r="AB274" s="74">
        <f t="shared" si="59"/>
        <v>43677</v>
      </c>
      <c r="AC274" s="80" t="str">
        <f t="shared" si="58"/>
        <v>LCOU9</v>
      </c>
      <c r="AD274" s="80" t="str">
        <f t="shared" si="60"/>
        <v>CLU9</v>
      </c>
      <c r="AE274" s="80" t="str">
        <f t="shared" si="61"/>
        <v>LCOV9</v>
      </c>
      <c r="AF274" s="80" t="str">
        <f t="shared" si="62"/>
        <v>CLV9</v>
      </c>
      <c r="AG274" s="80" t="str">
        <f t="shared" si="63"/>
        <v>LCOX9</v>
      </c>
      <c r="AH274" s="80" t="str">
        <f t="shared" si="64"/>
        <v>LCOZ9</v>
      </c>
    </row>
    <row r="275" spans="25:34" x14ac:dyDescent="0.35">
      <c r="Y275" s="74">
        <f t="shared" si="55"/>
        <v>43678</v>
      </c>
      <c r="Z275" s="74">
        <f t="shared" ca="1" si="56"/>
        <v>43697</v>
      </c>
      <c r="AA275" s="80" t="str">
        <f t="shared" ca="1" si="57"/>
        <v>CLU9</v>
      </c>
      <c r="AB275" s="74">
        <f t="shared" si="59"/>
        <v>43707</v>
      </c>
      <c r="AC275" s="80" t="str">
        <f t="shared" si="58"/>
        <v>LCOV9</v>
      </c>
      <c r="AD275" s="80" t="str">
        <f t="shared" si="60"/>
        <v>CLV9</v>
      </c>
      <c r="AE275" s="80" t="str">
        <f t="shared" si="61"/>
        <v>LCOX9</v>
      </c>
      <c r="AF275" s="80" t="str">
        <f t="shared" si="62"/>
        <v>CLX9</v>
      </c>
      <c r="AG275" s="80" t="str">
        <f t="shared" si="63"/>
        <v>LCOZ9</v>
      </c>
      <c r="AH275" s="80" t="str">
        <f t="shared" si="64"/>
        <v>LCOF0</v>
      </c>
    </row>
    <row r="276" spans="25:34" x14ac:dyDescent="0.35">
      <c r="Y276" s="74">
        <f t="shared" si="55"/>
        <v>43679</v>
      </c>
      <c r="Z276" s="74">
        <f t="shared" ca="1" si="56"/>
        <v>43697</v>
      </c>
      <c r="AA276" s="80" t="str">
        <f t="shared" ca="1" si="57"/>
        <v>CLU9</v>
      </c>
      <c r="AB276" s="74">
        <f t="shared" si="59"/>
        <v>43707</v>
      </c>
      <c r="AC276" s="80" t="str">
        <f t="shared" si="58"/>
        <v>LCOV9</v>
      </c>
      <c r="AD276" s="80" t="str">
        <f t="shared" si="60"/>
        <v>CLV9</v>
      </c>
      <c r="AE276" s="80" t="str">
        <f t="shared" si="61"/>
        <v>LCOX9</v>
      </c>
      <c r="AF276" s="80" t="str">
        <f t="shared" si="62"/>
        <v>CLX9</v>
      </c>
      <c r="AG276" s="80" t="str">
        <f t="shared" si="63"/>
        <v>LCOZ9</v>
      </c>
      <c r="AH276" s="80" t="str">
        <f t="shared" si="64"/>
        <v>LCOF0</v>
      </c>
    </row>
    <row r="277" spans="25:34" x14ac:dyDescent="0.35">
      <c r="Y277" s="74">
        <f t="shared" si="55"/>
        <v>43680</v>
      </c>
      <c r="Z277" s="74">
        <f t="shared" ca="1" si="56"/>
        <v>43697</v>
      </c>
      <c r="AA277" s="80" t="str">
        <f t="shared" ca="1" si="57"/>
        <v>CLU9</v>
      </c>
      <c r="AB277" s="74">
        <f t="shared" si="59"/>
        <v>43707</v>
      </c>
      <c r="AC277" s="80" t="str">
        <f t="shared" si="58"/>
        <v>LCOV9</v>
      </c>
      <c r="AD277" s="80" t="str">
        <f t="shared" si="60"/>
        <v>CLV9</v>
      </c>
      <c r="AE277" s="80" t="str">
        <f t="shared" si="61"/>
        <v>LCOX9</v>
      </c>
      <c r="AF277" s="80" t="str">
        <f t="shared" si="62"/>
        <v>CLX9</v>
      </c>
      <c r="AG277" s="80" t="str">
        <f t="shared" si="63"/>
        <v>LCOZ9</v>
      </c>
      <c r="AH277" s="80" t="str">
        <f t="shared" si="64"/>
        <v>LCOF0</v>
      </c>
    </row>
    <row r="278" spans="25:34" x14ac:dyDescent="0.35">
      <c r="Y278" s="74">
        <f t="shared" si="55"/>
        <v>43681</v>
      </c>
      <c r="Z278" s="74">
        <f t="shared" ca="1" si="56"/>
        <v>43697</v>
      </c>
      <c r="AA278" s="80" t="str">
        <f t="shared" ca="1" si="57"/>
        <v>CLU9</v>
      </c>
      <c r="AB278" s="74">
        <f t="shared" si="59"/>
        <v>43707</v>
      </c>
      <c r="AC278" s="80" t="str">
        <f t="shared" si="58"/>
        <v>LCOV9</v>
      </c>
      <c r="AD278" s="80" t="str">
        <f t="shared" si="60"/>
        <v>CLV9</v>
      </c>
      <c r="AE278" s="80" t="str">
        <f t="shared" si="61"/>
        <v>LCOX9</v>
      </c>
      <c r="AF278" s="80" t="str">
        <f t="shared" si="62"/>
        <v>CLX9</v>
      </c>
      <c r="AG278" s="80" t="str">
        <f t="shared" si="63"/>
        <v>LCOZ9</v>
      </c>
      <c r="AH278" s="80" t="str">
        <f t="shared" si="64"/>
        <v>LCOF0</v>
      </c>
    </row>
    <row r="279" spans="25:34" x14ac:dyDescent="0.35">
      <c r="Y279" s="74">
        <f t="shared" si="55"/>
        <v>43682</v>
      </c>
      <c r="Z279" s="74">
        <f t="shared" ca="1" si="56"/>
        <v>43697</v>
      </c>
      <c r="AA279" s="80" t="str">
        <f t="shared" ca="1" si="57"/>
        <v>CLU9</v>
      </c>
      <c r="AB279" s="74">
        <f t="shared" si="59"/>
        <v>43707</v>
      </c>
      <c r="AC279" s="80" t="str">
        <f t="shared" si="58"/>
        <v>LCOV9</v>
      </c>
      <c r="AD279" s="80" t="str">
        <f t="shared" si="60"/>
        <v>CLV9</v>
      </c>
      <c r="AE279" s="80" t="str">
        <f t="shared" si="61"/>
        <v>LCOX9</v>
      </c>
      <c r="AF279" s="80" t="str">
        <f t="shared" si="62"/>
        <v>CLX9</v>
      </c>
      <c r="AG279" s="80" t="str">
        <f t="shared" si="63"/>
        <v>LCOZ9</v>
      </c>
      <c r="AH279" s="80" t="str">
        <f t="shared" si="64"/>
        <v>LCOF0</v>
      </c>
    </row>
    <row r="280" spans="25:34" x14ac:dyDescent="0.35">
      <c r="Y280" s="74">
        <f t="shared" si="55"/>
        <v>43683</v>
      </c>
      <c r="Z280" s="74">
        <f t="shared" ca="1" si="56"/>
        <v>43697</v>
      </c>
      <c r="AA280" s="80" t="str">
        <f t="shared" ca="1" si="57"/>
        <v>CLU9</v>
      </c>
      <c r="AB280" s="74">
        <f t="shared" si="59"/>
        <v>43707</v>
      </c>
      <c r="AC280" s="80" t="str">
        <f t="shared" si="58"/>
        <v>LCOV9</v>
      </c>
      <c r="AD280" s="80" t="str">
        <f t="shared" si="60"/>
        <v>CLV9</v>
      </c>
      <c r="AE280" s="80" t="str">
        <f t="shared" si="61"/>
        <v>LCOX9</v>
      </c>
      <c r="AF280" s="80" t="str">
        <f t="shared" si="62"/>
        <v>CLX9</v>
      </c>
      <c r="AG280" s="80" t="str">
        <f t="shared" si="63"/>
        <v>LCOZ9</v>
      </c>
      <c r="AH280" s="80" t="str">
        <f t="shared" si="64"/>
        <v>LCOF0</v>
      </c>
    </row>
    <row r="281" spans="25:34" x14ac:dyDescent="0.35">
      <c r="Y281" s="74">
        <f t="shared" si="55"/>
        <v>43684</v>
      </c>
      <c r="Z281" s="74">
        <f t="shared" ca="1" si="56"/>
        <v>43697</v>
      </c>
      <c r="AA281" s="80" t="str">
        <f t="shared" ca="1" si="57"/>
        <v>CLU9</v>
      </c>
      <c r="AB281" s="74">
        <f t="shared" si="59"/>
        <v>43707</v>
      </c>
      <c r="AC281" s="80" t="str">
        <f t="shared" si="58"/>
        <v>LCOV9</v>
      </c>
      <c r="AD281" s="80" t="str">
        <f t="shared" si="60"/>
        <v>CLV9</v>
      </c>
      <c r="AE281" s="80" t="str">
        <f t="shared" si="61"/>
        <v>LCOX9</v>
      </c>
      <c r="AF281" s="80" t="str">
        <f t="shared" si="62"/>
        <v>CLX9</v>
      </c>
      <c r="AG281" s="80" t="str">
        <f t="shared" si="63"/>
        <v>LCOZ9</v>
      </c>
      <c r="AH281" s="80" t="str">
        <f t="shared" si="64"/>
        <v>LCOF0</v>
      </c>
    </row>
    <row r="282" spans="25:34" x14ac:dyDescent="0.35">
      <c r="Y282" s="74">
        <f t="shared" si="55"/>
        <v>43685</v>
      </c>
      <c r="Z282" s="74">
        <f t="shared" ca="1" si="56"/>
        <v>43697</v>
      </c>
      <c r="AA282" s="80" t="str">
        <f t="shared" ca="1" si="57"/>
        <v>CLU9</v>
      </c>
      <c r="AB282" s="74">
        <f t="shared" si="59"/>
        <v>43707</v>
      </c>
      <c r="AC282" s="80" t="str">
        <f t="shared" si="58"/>
        <v>LCOV9</v>
      </c>
      <c r="AD282" s="80" t="str">
        <f t="shared" si="60"/>
        <v>CLV9</v>
      </c>
      <c r="AE282" s="80" t="str">
        <f t="shared" si="61"/>
        <v>LCOX9</v>
      </c>
      <c r="AF282" s="80" t="str">
        <f t="shared" si="62"/>
        <v>CLX9</v>
      </c>
      <c r="AG282" s="80" t="str">
        <f t="shared" si="63"/>
        <v>LCOZ9</v>
      </c>
      <c r="AH282" s="80" t="str">
        <f t="shared" si="64"/>
        <v>LCOF0</v>
      </c>
    </row>
    <row r="283" spans="25:34" x14ac:dyDescent="0.35">
      <c r="Y283" s="74">
        <f t="shared" si="55"/>
        <v>43686</v>
      </c>
      <c r="Z283" s="74">
        <f t="shared" ca="1" si="56"/>
        <v>43697</v>
      </c>
      <c r="AA283" s="80" t="str">
        <f t="shared" ca="1" si="57"/>
        <v>CLU9</v>
      </c>
      <c r="AB283" s="74">
        <f t="shared" si="59"/>
        <v>43707</v>
      </c>
      <c r="AC283" s="80" t="str">
        <f t="shared" si="58"/>
        <v>LCOV9</v>
      </c>
      <c r="AD283" s="80" t="str">
        <f t="shared" si="60"/>
        <v>CLV9</v>
      </c>
      <c r="AE283" s="80" t="str">
        <f t="shared" si="61"/>
        <v>LCOX9</v>
      </c>
      <c r="AF283" s="80" t="str">
        <f t="shared" si="62"/>
        <v>CLX9</v>
      </c>
      <c r="AG283" s="80" t="str">
        <f t="shared" si="63"/>
        <v>LCOZ9</v>
      </c>
      <c r="AH283" s="80" t="str">
        <f t="shared" si="64"/>
        <v>LCOF0</v>
      </c>
    </row>
    <row r="284" spans="25:34" x14ac:dyDescent="0.35">
      <c r="Y284" s="74">
        <f t="shared" si="55"/>
        <v>43687</v>
      </c>
      <c r="Z284" s="74">
        <f t="shared" ca="1" si="56"/>
        <v>43697</v>
      </c>
      <c r="AA284" s="80" t="str">
        <f t="shared" ca="1" si="57"/>
        <v>CLU9</v>
      </c>
      <c r="AB284" s="74">
        <f t="shared" si="59"/>
        <v>43707</v>
      </c>
      <c r="AC284" s="80" t="str">
        <f t="shared" si="58"/>
        <v>LCOV9</v>
      </c>
      <c r="AD284" s="80" t="str">
        <f t="shared" si="60"/>
        <v>CLV9</v>
      </c>
      <c r="AE284" s="80" t="str">
        <f t="shared" si="61"/>
        <v>LCOX9</v>
      </c>
      <c r="AF284" s="80" t="str">
        <f t="shared" si="62"/>
        <v>CLX9</v>
      </c>
      <c r="AG284" s="80" t="str">
        <f t="shared" si="63"/>
        <v>LCOZ9</v>
      </c>
      <c r="AH284" s="80" t="str">
        <f t="shared" si="64"/>
        <v>LCOF0</v>
      </c>
    </row>
    <row r="285" spans="25:34" x14ac:dyDescent="0.35">
      <c r="Y285" s="74">
        <f t="shared" si="55"/>
        <v>43688</v>
      </c>
      <c r="Z285" s="74">
        <f t="shared" ca="1" si="56"/>
        <v>43697</v>
      </c>
      <c r="AA285" s="80" t="str">
        <f t="shared" ca="1" si="57"/>
        <v>CLU9</v>
      </c>
      <c r="AB285" s="74">
        <f t="shared" si="59"/>
        <v>43707</v>
      </c>
      <c r="AC285" s="80" t="str">
        <f t="shared" si="58"/>
        <v>LCOV9</v>
      </c>
      <c r="AD285" s="80" t="str">
        <f t="shared" si="60"/>
        <v>CLV9</v>
      </c>
      <c r="AE285" s="80" t="str">
        <f t="shared" si="61"/>
        <v>LCOX9</v>
      </c>
      <c r="AF285" s="80" t="str">
        <f t="shared" si="62"/>
        <v>CLX9</v>
      </c>
      <c r="AG285" s="80" t="str">
        <f t="shared" si="63"/>
        <v>LCOZ9</v>
      </c>
      <c r="AH285" s="80" t="str">
        <f t="shared" si="64"/>
        <v>LCOF0</v>
      </c>
    </row>
    <row r="286" spans="25:34" x14ac:dyDescent="0.35">
      <c r="Y286" s="74">
        <f t="shared" si="55"/>
        <v>43689</v>
      </c>
      <c r="Z286" s="74">
        <f t="shared" ca="1" si="56"/>
        <v>43697</v>
      </c>
      <c r="AA286" s="80" t="str">
        <f t="shared" ca="1" si="57"/>
        <v>CLU9</v>
      </c>
      <c r="AB286" s="74">
        <f t="shared" si="59"/>
        <v>43707</v>
      </c>
      <c r="AC286" s="80" t="str">
        <f t="shared" si="58"/>
        <v>LCOV9</v>
      </c>
      <c r="AD286" s="80" t="str">
        <f t="shared" si="60"/>
        <v>CLV9</v>
      </c>
      <c r="AE286" s="80" t="str">
        <f t="shared" si="61"/>
        <v>LCOX9</v>
      </c>
      <c r="AF286" s="80" t="str">
        <f t="shared" si="62"/>
        <v>CLX9</v>
      </c>
      <c r="AG286" s="80" t="str">
        <f t="shared" si="63"/>
        <v>LCOZ9</v>
      </c>
      <c r="AH286" s="80" t="str">
        <f t="shared" si="64"/>
        <v>LCOF0</v>
      </c>
    </row>
    <row r="287" spans="25:34" x14ac:dyDescent="0.35">
      <c r="Y287" s="74">
        <f t="shared" si="55"/>
        <v>43690</v>
      </c>
      <c r="Z287" s="74">
        <f t="shared" ca="1" si="56"/>
        <v>43697</v>
      </c>
      <c r="AA287" s="80" t="str">
        <f t="shared" ca="1" si="57"/>
        <v>CLU9</v>
      </c>
      <c r="AB287" s="74">
        <f t="shared" si="59"/>
        <v>43707</v>
      </c>
      <c r="AC287" s="80" t="str">
        <f t="shared" si="58"/>
        <v>LCOV9</v>
      </c>
      <c r="AD287" s="80" t="str">
        <f t="shared" si="60"/>
        <v>CLV9</v>
      </c>
      <c r="AE287" s="80" t="str">
        <f t="shared" si="61"/>
        <v>LCOX9</v>
      </c>
      <c r="AF287" s="80" t="str">
        <f t="shared" si="62"/>
        <v>CLX9</v>
      </c>
      <c r="AG287" s="80" t="str">
        <f t="shared" si="63"/>
        <v>LCOZ9</v>
      </c>
      <c r="AH287" s="80" t="str">
        <f t="shared" si="64"/>
        <v>LCOF0</v>
      </c>
    </row>
    <row r="288" spans="25:34" x14ac:dyDescent="0.35">
      <c r="Y288" s="74">
        <f t="shared" si="55"/>
        <v>43691</v>
      </c>
      <c r="Z288" s="74">
        <f t="shared" ca="1" si="56"/>
        <v>43697</v>
      </c>
      <c r="AA288" s="80" t="str">
        <f t="shared" ca="1" si="57"/>
        <v>CLU9</v>
      </c>
      <c r="AB288" s="74">
        <f t="shared" si="59"/>
        <v>43707</v>
      </c>
      <c r="AC288" s="80" t="str">
        <f t="shared" si="58"/>
        <v>LCOV9</v>
      </c>
      <c r="AD288" s="80" t="str">
        <f t="shared" si="60"/>
        <v>CLV9</v>
      </c>
      <c r="AE288" s="80" t="str">
        <f t="shared" si="61"/>
        <v>LCOX9</v>
      </c>
      <c r="AF288" s="80" t="str">
        <f t="shared" si="62"/>
        <v>CLX9</v>
      </c>
      <c r="AG288" s="80" t="str">
        <f t="shared" si="63"/>
        <v>LCOZ9</v>
      </c>
      <c r="AH288" s="80" t="str">
        <f t="shared" si="64"/>
        <v>LCOF0</v>
      </c>
    </row>
    <row r="289" spans="25:34" x14ac:dyDescent="0.35">
      <c r="Y289" s="74">
        <f t="shared" ref="Y289:Y352" si="65">Y288+1</f>
        <v>43692</v>
      </c>
      <c r="Z289" s="74">
        <f t="shared" ca="1" si="56"/>
        <v>43697</v>
      </c>
      <c r="AA289" s="80" t="str">
        <f t="shared" ca="1" si="57"/>
        <v>CLU9</v>
      </c>
      <c r="AB289" s="74">
        <f t="shared" si="59"/>
        <v>43707</v>
      </c>
      <c r="AC289" s="80" t="str">
        <f t="shared" si="58"/>
        <v>LCOV9</v>
      </c>
      <c r="AD289" s="80" t="str">
        <f t="shared" si="60"/>
        <v>CLV9</v>
      </c>
      <c r="AE289" s="80" t="str">
        <f t="shared" si="61"/>
        <v>LCOX9</v>
      </c>
      <c r="AF289" s="80" t="str">
        <f t="shared" si="62"/>
        <v>CLX9</v>
      </c>
      <c r="AG289" s="80" t="str">
        <f t="shared" si="63"/>
        <v>LCOZ9</v>
      </c>
      <c r="AH289" s="80" t="str">
        <f t="shared" si="64"/>
        <v>LCOF0</v>
      </c>
    </row>
    <row r="290" spans="25:34" x14ac:dyDescent="0.35">
      <c r="Y290" s="74">
        <f t="shared" si="65"/>
        <v>43693</v>
      </c>
      <c r="Z290" s="74">
        <f t="shared" ca="1" si="56"/>
        <v>43697</v>
      </c>
      <c r="AA290" s="80" t="str">
        <f t="shared" ca="1" si="57"/>
        <v>CLU9</v>
      </c>
      <c r="AB290" s="74">
        <f t="shared" si="59"/>
        <v>43707</v>
      </c>
      <c r="AC290" s="80" t="str">
        <f t="shared" si="58"/>
        <v>LCOV9</v>
      </c>
      <c r="AD290" s="80" t="str">
        <f t="shared" si="60"/>
        <v>CLV9</v>
      </c>
      <c r="AE290" s="80" t="str">
        <f t="shared" si="61"/>
        <v>LCOX9</v>
      </c>
      <c r="AF290" s="80" t="str">
        <f t="shared" si="62"/>
        <v>CLX9</v>
      </c>
      <c r="AG290" s="80" t="str">
        <f t="shared" si="63"/>
        <v>LCOZ9</v>
      </c>
      <c r="AH290" s="80" t="str">
        <f t="shared" si="64"/>
        <v>LCOF0</v>
      </c>
    </row>
    <row r="291" spans="25:34" x14ac:dyDescent="0.35">
      <c r="Y291" s="74">
        <f t="shared" si="65"/>
        <v>43694</v>
      </c>
      <c r="Z291" s="74">
        <f t="shared" ca="1" si="56"/>
        <v>43697</v>
      </c>
      <c r="AA291" s="80" t="str">
        <f t="shared" ca="1" si="57"/>
        <v>CLU9</v>
      </c>
      <c r="AB291" s="74">
        <f t="shared" si="59"/>
        <v>43707</v>
      </c>
      <c r="AC291" s="80" t="str">
        <f t="shared" si="58"/>
        <v>LCOV9</v>
      </c>
      <c r="AD291" s="80" t="str">
        <f t="shared" si="60"/>
        <v>CLV9</v>
      </c>
      <c r="AE291" s="80" t="str">
        <f t="shared" si="61"/>
        <v>LCOX9</v>
      </c>
      <c r="AF291" s="80" t="str">
        <f t="shared" si="62"/>
        <v>CLX9</v>
      </c>
      <c r="AG291" s="80" t="str">
        <f t="shared" si="63"/>
        <v>LCOZ9</v>
      </c>
      <c r="AH291" s="80" t="str">
        <f t="shared" si="64"/>
        <v>LCOF0</v>
      </c>
    </row>
    <row r="292" spans="25:34" x14ac:dyDescent="0.35">
      <c r="Y292" s="74">
        <f t="shared" si="65"/>
        <v>43695</v>
      </c>
      <c r="Z292" s="74">
        <f t="shared" ca="1" si="56"/>
        <v>43697</v>
      </c>
      <c r="AA292" s="80" t="str">
        <f t="shared" ca="1" si="57"/>
        <v>CLU9</v>
      </c>
      <c r="AB292" s="74">
        <f t="shared" si="59"/>
        <v>43707</v>
      </c>
      <c r="AC292" s="80" t="str">
        <f t="shared" si="58"/>
        <v>LCOV9</v>
      </c>
      <c r="AD292" s="80" t="str">
        <f t="shared" si="60"/>
        <v>CLV9</v>
      </c>
      <c r="AE292" s="80" t="str">
        <f t="shared" si="61"/>
        <v>LCOX9</v>
      </c>
      <c r="AF292" s="80" t="str">
        <f t="shared" si="62"/>
        <v>CLX9</v>
      </c>
      <c r="AG292" s="80" t="str">
        <f t="shared" si="63"/>
        <v>LCOZ9</v>
      </c>
      <c r="AH292" s="80" t="str">
        <f t="shared" si="64"/>
        <v>LCOF0</v>
      </c>
    </row>
    <row r="293" spans="25:34" x14ac:dyDescent="0.35">
      <c r="Y293" s="74">
        <f t="shared" si="65"/>
        <v>43696</v>
      </c>
      <c r="Z293" s="74">
        <f t="shared" ca="1" si="56"/>
        <v>43697</v>
      </c>
      <c r="AA293" s="80" t="str">
        <f t="shared" ca="1" si="57"/>
        <v>CLU9</v>
      </c>
      <c r="AB293" s="74">
        <f t="shared" si="59"/>
        <v>43707</v>
      </c>
      <c r="AC293" s="80" t="str">
        <f t="shared" si="58"/>
        <v>LCOV9</v>
      </c>
      <c r="AD293" s="80" t="str">
        <f t="shared" si="60"/>
        <v>CLV9</v>
      </c>
      <c r="AE293" s="80" t="str">
        <f t="shared" si="61"/>
        <v>LCOX9</v>
      </c>
      <c r="AF293" s="80" t="str">
        <f t="shared" si="62"/>
        <v>CLX9</v>
      </c>
      <c r="AG293" s="80" t="str">
        <f t="shared" si="63"/>
        <v>LCOZ9</v>
      </c>
      <c r="AH293" s="80" t="str">
        <f t="shared" si="64"/>
        <v>LCOF0</v>
      </c>
    </row>
    <row r="294" spans="25:34" x14ac:dyDescent="0.35">
      <c r="Y294" s="74">
        <f t="shared" si="65"/>
        <v>43697</v>
      </c>
      <c r="Z294" s="74">
        <f t="shared" ca="1" si="56"/>
        <v>43697</v>
      </c>
      <c r="AA294" s="80" t="str">
        <f t="shared" ca="1" si="57"/>
        <v>CLU9</v>
      </c>
      <c r="AB294" s="74">
        <f t="shared" si="59"/>
        <v>43707</v>
      </c>
      <c r="AC294" s="80" t="str">
        <f t="shared" si="58"/>
        <v>LCOV9</v>
      </c>
      <c r="AD294" s="80" t="str">
        <f t="shared" si="60"/>
        <v>CLV9</v>
      </c>
      <c r="AE294" s="80" t="str">
        <f t="shared" si="61"/>
        <v>LCOX9</v>
      </c>
      <c r="AF294" s="80" t="str">
        <f t="shared" si="62"/>
        <v>CLX9</v>
      </c>
      <c r="AG294" s="80" t="str">
        <f t="shared" si="63"/>
        <v>LCOZ9</v>
      </c>
      <c r="AH294" s="80" t="str">
        <f t="shared" si="64"/>
        <v>LCOF0</v>
      </c>
    </row>
    <row r="295" spans="25:34" x14ac:dyDescent="0.35">
      <c r="Y295" s="74">
        <f t="shared" si="65"/>
        <v>43698</v>
      </c>
      <c r="Z295" s="74">
        <f t="shared" ca="1" si="56"/>
        <v>43728</v>
      </c>
      <c r="AA295" s="80" t="str">
        <f t="shared" ca="1" si="57"/>
        <v>CLV9</v>
      </c>
      <c r="AB295" s="74">
        <f t="shared" si="59"/>
        <v>43707</v>
      </c>
      <c r="AC295" s="80" t="str">
        <f t="shared" si="58"/>
        <v>LCOV9</v>
      </c>
      <c r="AD295" s="80" t="str">
        <f t="shared" si="60"/>
        <v>CLV9</v>
      </c>
      <c r="AE295" s="80" t="str">
        <f t="shared" si="61"/>
        <v>LCOX9</v>
      </c>
      <c r="AF295" s="80" t="str">
        <f t="shared" si="62"/>
        <v>CLX9</v>
      </c>
      <c r="AG295" s="80" t="str">
        <f t="shared" si="63"/>
        <v>LCOZ9</v>
      </c>
      <c r="AH295" s="80" t="str">
        <f t="shared" si="64"/>
        <v>LCOF0</v>
      </c>
    </row>
    <row r="296" spans="25:34" x14ac:dyDescent="0.35">
      <c r="Y296" s="74">
        <f t="shared" si="65"/>
        <v>43699</v>
      </c>
      <c r="Z296" s="74">
        <f t="shared" ca="1" si="56"/>
        <v>43728</v>
      </c>
      <c r="AA296" s="80" t="str">
        <f t="shared" ca="1" si="57"/>
        <v>CLV9</v>
      </c>
      <c r="AB296" s="74">
        <f t="shared" si="59"/>
        <v>43707</v>
      </c>
      <c r="AC296" s="80" t="str">
        <f t="shared" si="58"/>
        <v>LCOV9</v>
      </c>
      <c r="AD296" s="80" t="str">
        <f t="shared" si="60"/>
        <v>CLV9</v>
      </c>
      <c r="AE296" s="80" t="str">
        <f t="shared" si="61"/>
        <v>LCOX9</v>
      </c>
      <c r="AF296" s="80" t="str">
        <f t="shared" si="62"/>
        <v>CLX9</v>
      </c>
      <c r="AG296" s="80" t="str">
        <f t="shared" si="63"/>
        <v>LCOZ9</v>
      </c>
      <c r="AH296" s="80" t="str">
        <f t="shared" si="64"/>
        <v>LCOF0</v>
      </c>
    </row>
    <row r="297" spans="25:34" x14ac:dyDescent="0.35">
      <c r="Y297" s="74">
        <f t="shared" si="65"/>
        <v>43700</v>
      </c>
      <c r="Z297" s="74">
        <f t="shared" ca="1" si="56"/>
        <v>43728</v>
      </c>
      <c r="AA297" s="80" t="str">
        <f t="shared" ca="1" si="57"/>
        <v>CLV9</v>
      </c>
      <c r="AB297" s="74">
        <f t="shared" si="59"/>
        <v>43707</v>
      </c>
      <c r="AC297" s="80" t="str">
        <f t="shared" si="58"/>
        <v>LCOV9</v>
      </c>
      <c r="AD297" s="80" t="str">
        <f t="shared" si="60"/>
        <v>CLV9</v>
      </c>
      <c r="AE297" s="80" t="str">
        <f t="shared" si="61"/>
        <v>LCOX9</v>
      </c>
      <c r="AF297" s="80" t="str">
        <f t="shared" si="62"/>
        <v>CLX9</v>
      </c>
      <c r="AG297" s="80" t="str">
        <f t="shared" si="63"/>
        <v>LCOZ9</v>
      </c>
      <c r="AH297" s="80" t="str">
        <f t="shared" si="64"/>
        <v>LCOF0</v>
      </c>
    </row>
    <row r="298" spans="25:34" x14ac:dyDescent="0.35">
      <c r="Y298" s="74">
        <f t="shared" si="65"/>
        <v>43701</v>
      </c>
      <c r="Z298" s="74">
        <f t="shared" ca="1" si="56"/>
        <v>43728</v>
      </c>
      <c r="AA298" s="80" t="str">
        <f t="shared" ca="1" si="57"/>
        <v>CLV9</v>
      </c>
      <c r="AB298" s="74">
        <f t="shared" si="59"/>
        <v>43707</v>
      </c>
      <c r="AC298" s="80" t="str">
        <f t="shared" si="58"/>
        <v>LCOV9</v>
      </c>
      <c r="AD298" s="80" t="str">
        <f t="shared" si="60"/>
        <v>CLV9</v>
      </c>
      <c r="AE298" s="80" t="str">
        <f t="shared" si="61"/>
        <v>LCOX9</v>
      </c>
      <c r="AF298" s="80" t="str">
        <f t="shared" si="62"/>
        <v>CLX9</v>
      </c>
      <c r="AG298" s="80" t="str">
        <f t="shared" si="63"/>
        <v>LCOZ9</v>
      </c>
      <c r="AH298" s="80" t="str">
        <f t="shared" si="64"/>
        <v>LCOF0</v>
      </c>
    </row>
    <row r="299" spans="25:34" x14ac:dyDescent="0.35">
      <c r="Y299" s="74">
        <f t="shared" si="65"/>
        <v>43702</v>
      </c>
      <c r="Z299" s="74">
        <f t="shared" ca="1" si="56"/>
        <v>43728</v>
      </c>
      <c r="AA299" s="80" t="str">
        <f t="shared" ca="1" si="57"/>
        <v>CLV9</v>
      </c>
      <c r="AB299" s="74">
        <f t="shared" si="59"/>
        <v>43707</v>
      </c>
      <c r="AC299" s="80" t="str">
        <f t="shared" si="58"/>
        <v>LCOV9</v>
      </c>
      <c r="AD299" s="80" t="str">
        <f t="shared" si="60"/>
        <v>CLV9</v>
      </c>
      <c r="AE299" s="80" t="str">
        <f t="shared" si="61"/>
        <v>LCOX9</v>
      </c>
      <c r="AF299" s="80" t="str">
        <f t="shared" si="62"/>
        <v>CLX9</v>
      </c>
      <c r="AG299" s="80" t="str">
        <f t="shared" si="63"/>
        <v>LCOZ9</v>
      </c>
      <c r="AH299" s="80" t="str">
        <f t="shared" si="64"/>
        <v>LCOF0</v>
      </c>
    </row>
    <row r="300" spans="25:34" x14ac:dyDescent="0.35">
      <c r="Y300" s="74">
        <f t="shared" si="65"/>
        <v>43703</v>
      </c>
      <c r="Z300" s="74">
        <f t="shared" ca="1" si="56"/>
        <v>43728</v>
      </c>
      <c r="AA300" s="80" t="str">
        <f t="shared" ca="1" si="57"/>
        <v>CLV9</v>
      </c>
      <c r="AB300" s="74">
        <f t="shared" si="59"/>
        <v>43707</v>
      </c>
      <c r="AC300" s="80" t="str">
        <f t="shared" si="58"/>
        <v>LCOV9</v>
      </c>
      <c r="AD300" s="80" t="str">
        <f t="shared" si="60"/>
        <v>CLV9</v>
      </c>
      <c r="AE300" s="80" t="str">
        <f t="shared" si="61"/>
        <v>LCOX9</v>
      </c>
      <c r="AF300" s="80" t="str">
        <f t="shared" si="62"/>
        <v>CLX9</v>
      </c>
      <c r="AG300" s="80" t="str">
        <f t="shared" si="63"/>
        <v>LCOZ9</v>
      </c>
      <c r="AH300" s="80" t="str">
        <f t="shared" si="64"/>
        <v>LCOF0</v>
      </c>
    </row>
    <row r="301" spans="25:34" x14ac:dyDescent="0.35">
      <c r="Y301" s="74">
        <f t="shared" si="65"/>
        <v>43704</v>
      </c>
      <c r="Z301" s="74">
        <f t="shared" ca="1" si="56"/>
        <v>43728</v>
      </c>
      <c r="AA301" s="80" t="str">
        <f t="shared" ca="1" si="57"/>
        <v>CLV9</v>
      </c>
      <c r="AB301" s="74">
        <f t="shared" si="59"/>
        <v>43707</v>
      </c>
      <c r="AC301" s="80" t="str">
        <f t="shared" si="58"/>
        <v>LCOV9</v>
      </c>
      <c r="AD301" s="80" t="str">
        <f t="shared" si="60"/>
        <v>CLV9</v>
      </c>
      <c r="AE301" s="80" t="str">
        <f t="shared" si="61"/>
        <v>LCOX9</v>
      </c>
      <c r="AF301" s="80" t="str">
        <f t="shared" si="62"/>
        <v>CLX9</v>
      </c>
      <c r="AG301" s="80" t="str">
        <f t="shared" si="63"/>
        <v>LCOZ9</v>
      </c>
      <c r="AH301" s="80" t="str">
        <f t="shared" si="64"/>
        <v>LCOF0</v>
      </c>
    </row>
    <row r="302" spans="25:34" x14ac:dyDescent="0.35">
      <c r="Y302" s="74">
        <f t="shared" si="65"/>
        <v>43705</v>
      </c>
      <c r="Z302" s="74">
        <f t="shared" ca="1" si="56"/>
        <v>43728</v>
      </c>
      <c r="AA302" s="80" t="str">
        <f t="shared" ca="1" si="57"/>
        <v>CLV9</v>
      </c>
      <c r="AB302" s="74">
        <f t="shared" si="59"/>
        <v>43707</v>
      </c>
      <c r="AC302" s="80" t="str">
        <f t="shared" si="58"/>
        <v>LCOV9</v>
      </c>
      <c r="AD302" s="80" t="str">
        <f t="shared" si="60"/>
        <v>CLV9</v>
      </c>
      <c r="AE302" s="80" t="str">
        <f t="shared" si="61"/>
        <v>LCOX9</v>
      </c>
      <c r="AF302" s="80" t="str">
        <f t="shared" si="62"/>
        <v>CLX9</v>
      </c>
      <c r="AG302" s="80" t="str">
        <f t="shared" si="63"/>
        <v>LCOZ9</v>
      </c>
      <c r="AH302" s="80" t="str">
        <f t="shared" si="64"/>
        <v>LCOF0</v>
      </c>
    </row>
    <row r="303" spans="25:34" x14ac:dyDescent="0.35">
      <c r="Y303" s="74">
        <f t="shared" si="65"/>
        <v>43706</v>
      </c>
      <c r="Z303" s="74">
        <f t="shared" ca="1" si="56"/>
        <v>43728</v>
      </c>
      <c r="AA303" s="80" t="str">
        <f t="shared" ca="1" si="57"/>
        <v>CLV9</v>
      </c>
      <c r="AB303" s="74">
        <f t="shared" si="59"/>
        <v>43707</v>
      </c>
      <c r="AC303" s="80" t="str">
        <f t="shared" si="58"/>
        <v>LCOV9</v>
      </c>
      <c r="AD303" s="80" t="str">
        <f t="shared" si="60"/>
        <v>CLV9</v>
      </c>
      <c r="AE303" s="80" t="str">
        <f t="shared" si="61"/>
        <v>LCOX9</v>
      </c>
      <c r="AF303" s="80" t="str">
        <f t="shared" si="62"/>
        <v>CLX9</v>
      </c>
      <c r="AG303" s="80" t="str">
        <f t="shared" si="63"/>
        <v>LCOZ9</v>
      </c>
      <c r="AH303" s="80" t="str">
        <f t="shared" si="64"/>
        <v>LCOF0</v>
      </c>
    </row>
    <row r="304" spans="25:34" x14ac:dyDescent="0.35">
      <c r="Y304" s="74">
        <f t="shared" si="65"/>
        <v>43707</v>
      </c>
      <c r="Z304" s="74">
        <f t="shared" ca="1" si="56"/>
        <v>43728</v>
      </c>
      <c r="AA304" s="80" t="str">
        <f t="shared" ca="1" si="57"/>
        <v>CLV9</v>
      </c>
      <c r="AB304" s="74">
        <f t="shared" si="59"/>
        <v>43707</v>
      </c>
      <c r="AC304" s="80" t="str">
        <f t="shared" si="58"/>
        <v>LCOV9</v>
      </c>
      <c r="AD304" s="80" t="str">
        <f t="shared" si="60"/>
        <v>CLV9</v>
      </c>
      <c r="AE304" s="80" t="str">
        <f t="shared" si="61"/>
        <v>LCOX9</v>
      </c>
      <c r="AF304" s="80" t="str">
        <f t="shared" si="62"/>
        <v>CLX9</v>
      </c>
      <c r="AG304" s="80" t="str">
        <f t="shared" si="63"/>
        <v>LCOZ9</v>
      </c>
      <c r="AH304" s="80" t="str">
        <f t="shared" si="64"/>
        <v>LCOF0</v>
      </c>
    </row>
    <row r="305" spans="25:34" x14ac:dyDescent="0.35">
      <c r="Y305" s="74">
        <f t="shared" si="65"/>
        <v>43708</v>
      </c>
      <c r="Z305" s="74">
        <f t="shared" ca="1" si="56"/>
        <v>43728</v>
      </c>
      <c r="AA305" s="80" t="str">
        <f t="shared" ca="1" si="57"/>
        <v>CLV9</v>
      </c>
      <c r="AB305" s="74">
        <f t="shared" si="59"/>
        <v>43738</v>
      </c>
      <c r="AC305" s="80" t="str">
        <f t="shared" si="58"/>
        <v>LCOX9</v>
      </c>
      <c r="AD305" s="80" t="str">
        <f t="shared" si="60"/>
        <v>CLX9</v>
      </c>
      <c r="AE305" s="80" t="str">
        <f t="shared" si="61"/>
        <v>LCOZ9</v>
      </c>
      <c r="AF305" s="80" t="str">
        <f t="shared" si="62"/>
        <v>CLZ9</v>
      </c>
      <c r="AG305" s="80" t="str">
        <f t="shared" si="63"/>
        <v>LCOF0</v>
      </c>
      <c r="AH305" s="80" t="str">
        <f t="shared" si="64"/>
        <v>LCOG0</v>
      </c>
    </row>
    <row r="306" spans="25:34" x14ac:dyDescent="0.35">
      <c r="Y306" s="74">
        <f t="shared" si="65"/>
        <v>43709</v>
      </c>
      <c r="Z306" s="74">
        <f t="shared" ca="1" si="56"/>
        <v>43728</v>
      </c>
      <c r="AA306" s="80" t="str">
        <f t="shared" ca="1" si="57"/>
        <v>CLV9</v>
      </c>
      <c r="AB306" s="74">
        <f t="shared" si="59"/>
        <v>43738</v>
      </c>
      <c r="AC306" s="80" t="str">
        <f t="shared" si="58"/>
        <v>LCOX9</v>
      </c>
      <c r="AD306" s="80" t="str">
        <f t="shared" si="60"/>
        <v>CLX9</v>
      </c>
      <c r="AE306" s="80" t="str">
        <f t="shared" si="61"/>
        <v>LCOZ9</v>
      </c>
      <c r="AF306" s="80" t="str">
        <f t="shared" si="62"/>
        <v>CLZ9</v>
      </c>
      <c r="AG306" s="80" t="str">
        <f t="shared" si="63"/>
        <v>LCOF0</v>
      </c>
      <c r="AH306" s="80" t="str">
        <f t="shared" si="64"/>
        <v>LCOG0</v>
      </c>
    </row>
    <row r="307" spans="25:34" x14ac:dyDescent="0.35">
      <c r="Y307" s="74">
        <f t="shared" si="65"/>
        <v>43710</v>
      </c>
      <c r="Z307" s="74">
        <f t="shared" ca="1" si="56"/>
        <v>43728</v>
      </c>
      <c r="AA307" s="80" t="str">
        <f t="shared" ca="1" si="57"/>
        <v>CLV9</v>
      </c>
      <c r="AB307" s="74">
        <f t="shared" si="59"/>
        <v>43738</v>
      </c>
      <c r="AC307" s="80" t="str">
        <f t="shared" si="58"/>
        <v>LCOX9</v>
      </c>
      <c r="AD307" s="80" t="str">
        <f t="shared" si="60"/>
        <v>CLX9</v>
      </c>
      <c r="AE307" s="80" t="str">
        <f t="shared" si="61"/>
        <v>LCOZ9</v>
      </c>
      <c r="AF307" s="80" t="str">
        <f t="shared" si="62"/>
        <v>CLZ9</v>
      </c>
      <c r="AG307" s="80" t="str">
        <f t="shared" si="63"/>
        <v>LCOF0</v>
      </c>
      <c r="AH307" s="80" t="str">
        <f t="shared" si="64"/>
        <v>LCOG0</v>
      </c>
    </row>
    <row r="308" spans="25:34" x14ac:dyDescent="0.35">
      <c r="Y308" s="74">
        <f t="shared" si="65"/>
        <v>43711</v>
      </c>
      <c r="Z308" s="74">
        <f t="shared" ca="1" si="56"/>
        <v>43728</v>
      </c>
      <c r="AA308" s="80" t="str">
        <f t="shared" ca="1" si="57"/>
        <v>CLV9</v>
      </c>
      <c r="AB308" s="74">
        <f t="shared" si="59"/>
        <v>43738</v>
      </c>
      <c r="AC308" s="80" t="str">
        <f t="shared" si="58"/>
        <v>LCOX9</v>
      </c>
      <c r="AD308" s="80" t="str">
        <f t="shared" si="60"/>
        <v>CLX9</v>
      </c>
      <c r="AE308" s="80" t="str">
        <f t="shared" si="61"/>
        <v>LCOZ9</v>
      </c>
      <c r="AF308" s="80" t="str">
        <f t="shared" si="62"/>
        <v>CLZ9</v>
      </c>
      <c r="AG308" s="80" t="str">
        <f t="shared" si="63"/>
        <v>LCOF0</v>
      </c>
      <c r="AH308" s="80" t="str">
        <f t="shared" si="64"/>
        <v>LCOG0</v>
      </c>
    </row>
    <row r="309" spans="25:34" x14ac:dyDescent="0.35">
      <c r="Y309" s="74">
        <f t="shared" si="65"/>
        <v>43712</v>
      </c>
      <c r="Z309" s="74">
        <f t="shared" ca="1" si="56"/>
        <v>43728</v>
      </c>
      <c r="AA309" s="80" t="str">
        <f t="shared" ca="1" si="57"/>
        <v>CLV9</v>
      </c>
      <c r="AB309" s="74">
        <f t="shared" si="59"/>
        <v>43738</v>
      </c>
      <c r="AC309" s="80" t="str">
        <f t="shared" si="58"/>
        <v>LCOX9</v>
      </c>
      <c r="AD309" s="80" t="str">
        <f t="shared" si="60"/>
        <v>CLX9</v>
      </c>
      <c r="AE309" s="80" t="str">
        <f t="shared" si="61"/>
        <v>LCOZ9</v>
      </c>
      <c r="AF309" s="80" t="str">
        <f t="shared" si="62"/>
        <v>CLZ9</v>
      </c>
      <c r="AG309" s="80" t="str">
        <f t="shared" si="63"/>
        <v>LCOF0</v>
      </c>
      <c r="AH309" s="80" t="str">
        <f t="shared" si="64"/>
        <v>LCOG0</v>
      </c>
    </row>
    <row r="310" spans="25:34" x14ac:dyDescent="0.35">
      <c r="Y310" s="74">
        <f t="shared" si="65"/>
        <v>43713</v>
      </c>
      <c r="Z310" s="74">
        <f t="shared" ca="1" si="56"/>
        <v>43728</v>
      </c>
      <c r="AA310" s="80" t="str">
        <f t="shared" ca="1" si="57"/>
        <v>CLV9</v>
      </c>
      <c r="AB310" s="74">
        <f t="shared" si="59"/>
        <v>43738</v>
      </c>
      <c r="AC310" s="80" t="str">
        <f t="shared" si="58"/>
        <v>LCOX9</v>
      </c>
      <c r="AD310" s="80" t="str">
        <f t="shared" si="60"/>
        <v>CLX9</v>
      </c>
      <c r="AE310" s="80" t="str">
        <f t="shared" si="61"/>
        <v>LCOZ9</v>
      </c>
      <c r="AF310" s="80" t="str">
        <f t="shared" si="62"/>
        <v>CLZ9</v>
      </c>
      <c r="AG310" s="80" t="str">
        <f t="shared" si="63"/>
        <v>LCOF0</v>
      </c>
      <c r="AH310" s="80" t="str">
        <f t="shared" si="64"/>
        <v>LCOG0</v>
      </c>
    </row>
    <row r="311" spans="25:34" x14ac:dyDescent="0.35">
      <c r="Y311" s="74">
        <f t="shared" si="65"/>
        <v>43714</v>
      </c>
      <c r="Z311" s="74">
        <f t="shared" ca="1" si="56"/>
        <v>43728</v>
      </c>
      <c r="AA311" s="80" t="str">
        <f t="shared" ca="1" si="57"/>
        <v>CLV9</v>
      </c>
      <c r="AB311" s="74">
        <f t="shared" si="59"/>
        <v>43738</v>
      </c>
      <c r="AC311" s="80" t="str">
        <f t="shared" si="58"/>
        <v>LCOX9</v>
      </c>
      <c r="AD311" s="80" t="str">
        <f t="shared" si="60"/>
        <v>CLX9</v>
      </c>
      <c r="AE311" s="80" t="str">
        <f t="shared" si="61"/>
        <v>LCOZ9</v>
      </c>
      <c r="AF311" s="80" t="str">
        <f t="shared" si="62"/>
        <v>CLZ9</v>
      </c>
      <c r="AG311" s="80" t="str">
        <f t="shared" si="63"/>
        <v>LCOF0</v>
      </c>
      <c r="AH311" s="80" t="str">
        <f t="shared" si="64"/>
        <v>LCOG0</v>
      </c>
    </row>
    <row r="312" spans="25:34" x14ac:dyDescent="0.35">
      <c r="Y312" s="74">
        <f t="shared" si="65"/>
        <v>43715</v>
      </c>
      <c r="Z312" s="74">
        <f t="shared" ca="1" si="56"/>
        <v>43728</v>
      </c>
      <c r="AA312" s="80" t="str">
        <f t="shared" ca="1" si="57"/>
        <v>CLV9</v>
      </c>
      <c r="AB312" s="74">
        <f t="shared" si="59"/>
        <v>43738</v>
      </c>
      <c r="AC312" s="80" t="str">
        <f t="shared" si="58"/>
        <v>LCOX9</v>
      </c>
      <c r="AD312" s="80" t="str">
        <f t="shared" si="60"/>
        <v>CLX9</v>
      </c>
      <c r="AE312" s="80" t="str">
        <f t="shared" si="61"/>
        <v>LCOZ9</v>
      </c>
      <c r="AF312" s="80" t="str">
        <f t="shared" si="62"/>
        <v>CLZ9</v>
      </c>
      <c r="AG312" s="80" t="str">
        <f t="shared" si="63"/>
        <v>LCOF0</v>
      </c>
      <c r="AH312" s="80" t="str">
        <f t="shared" si="64"/>
        <v>LCOG0</v>
      </c>
    </row>
    <row r="313" spans="25:34" x14ac:dyDescent="0.35">
      <c r="Y313" s="74">
        <f t="shared" si="65"/>
        <v>43716</v>
      </c>
      <c r="Z313" s="74">
        <f t="shared" ca="1" si="56"/>
        <v>43728</v>
      </c>
      <c r="AA313" s="80" t="str">
        <f t="shared" ca="1" si="57"/>
        <v>CLV9</v>
      </c>
      <c r="AB313" s="74">
        <f t="shared" si="59"/>
        <v>43738</v>
      </c>
      <c r="AC313" s="80" t="str">
        <f t="shared" si="58"/>
        <v>LCOX9</v>
      </c>
      <c r="AD313" s="80" t="str">
        <f t="shared" si="60"/>
        <v>CLX9</v>
      </c>
      <c r="AE313" s="80" t="str">
        <f t="shared" si="61"/>
        <v>LCOZ9</v>
      </c>
      <c r="AF313" s="80" t="str">
        <f t="shared" si="62"/>
        <v>CLZ9</v>
      </c>
      <c r="AG313" s="80" t="str">
        <f t="shared" si="63"/>
        <v>LCOF0</v>
      </c>
      <c r="AH313" s="80" t="str">
        <f t="shared" si="64"/>
        <v>LCOG0</v>
      </c>
    </row>
    <row r="314" spans="25:34" x14ac:dyDescent="0.35">
      <c r="Y314" s="74">
        <f t="shared" si="65"/>
        <v>43717</v>
      </c>
      <c r="Z314" s="74">
        <f t="shared" ca="1" si="56"/>
        <v>43728</v>
      </c>
      <c r="AA314" s="80" t="str">
        <f t="shared" ca="1" si="57"/>
        <v>CLV9</v>
      </c>
      <c r="AB314" s="74">
        <f t="shared" si="59"/>
        <v>43738</v>
      </c>
      <c r="AC314" s="80" t="str">
        <f t="shared" si="58"/>
        <v>LCOX9</v>
      </c>
      <c r="AD314" s="80" t="str">
        <f t="shared" si="60"/>
        <v>CLX9</v>
      </c>
      <c r="AE314" s="80" t="str">
        <f t="shared" si="61"/>
        <v>LCOZ9</v>
      </c>
      <c r="AF314" s="80" t="str">
        <f t="shared" si="62"/>
        <v>CLZ9</v>
      </c>
      <c r="AG314" s="80" t="str">
        <f t="shared" si="63"/>
        <v>LCOF0</v>
      </c>
      <c r="AH314" s="80" t="str">
        <f t="shared" si="64"/>
        <v>LCOG0</v>
      </c>
    </row>
    <row r="315" spans="25:34" x14ac:dyDescent="0.35">
      <c r="Y315" s="74">
        <f t="shared" si="65"/>
        <v>43718</v>
      </c>
      <c r="Z315" s="74">
        <f t="shared" ca="1" si="56"/>
        <v>43728</v>
      </c>
      <c r="AA315" s="80" t="str">
        <f t="shared" ca="1" si="57"/>
        <v>CLV9</v>
      </c>
      <c r="AB315" s="74">
        <f t="shared" si="59"/>
        <v>43738</v>
      </c>
      <c r="AC315" s="80" t="str">
        <f t="shared" si="58"/>
        <v>LCOX9</v>
      </c>
      <c r="AD315" s="80" t="str">
        <f t="shared" si="60"/>
        <v>CLX9</v>
      </c>
      <c r="AE315" s="80" t="str">
        <f t="shared" si="61"/>
        <v>LCOZ9</v>
      </c>
      <c r="AF315" s="80" t="str">
        <f t="shared" si="62"/>
        <v>CLZ9</v>
      </c>
      <c r="AG315" s="80" t="str">
        <f t="shared" si="63"/>
        <v>LCOF0</v>
      </c>
      <c r="AH315" s="80" t="str">
        <f t="shared" si="64"/>
        <v>LCOG0</v>
      </c>
    </row>
    <row r="316" spans="25:34" x14ac:dyDescent="0.35">
      <c r="Y316" s="74">
        <f t="shared" si="65"/>
        <v>43719</v>
      </c>
      <c r="Z316" s="74">
        <f t="shared" ca="1" si="56"/>
        <v>43728</v>
      </c>
      <c r="AA316" s="80" t="str">
        <f t="shared" ca="1" si="57"/>
        <v>CLV9</v>
      </c>
      <c r="AB316" s="74">
        <f t="shared" si="59"/>
        <v>43738</v>
      </c>
      <c r="AC316" s="80" t="str">
        <f t="shared" si="58"/>
        <v>LCOX9</v>
      </c>
      <c r="AD316" s="80" t="str">
        <f t="shared" si="60"/>
        <v>CLX9</v>
      </c>
      <c r="AE316" s="80" t="str">
        <f t="shared" si="61"/>
        <v>LCOZ9</v>
      </c>
      <c r="AF316" s="80" t="str">
        <f t="shared" si="62"/>
        <v>CLZ9</v>
      </c>
      <c r="AG316" s="80" t="str">
        <f t="shared" si="63"/>
        <v>LCOF0</v>
      </c>
      <c r="AH316" s="80" t="str">
        <f t="shared" si="64"/>
        <v>LCOG0</v>
      </c>
    </row>
    <row r="317" spans="25:34" x14ac:dyDescent="0.35">
      <c r="Y317" s="74">
        <f t="shared" si="65"/>
        <v>43720</v>
      </c>
      <c r="Z317" s="74">
        <f t="shared" ca="1" si="56"/>
        <v>43728</v>
      </c>
      <c r="AA317" s="80" t="str">
        <f t="shared" ca="1" si="57"/>
        <v>CLV9</v>
      </c>
      <c r="AB317" s="74">
        <f t="shared" si="59"/>
        <v>43738</v>
      </c>
      <c r="AC317" s="80" t="str">
        <f t="shared" si="58"/>
        <v>LCOX9</v>
      </c>
      <c r="AD317" s="80" t="str">
        <f t="shared" si="60"/>
        <v>CLX9</v>
      </c>
      <c r="AE317" s="80" t="str">
        <f t="shared" si="61"/>
        <v>LCOZ9</v>
      </c>
      <c r="AF317" s="80" t="str">
        <f t="shared" si="62"/>
        <v>CLZ9</v>
      </c>
      <c r="AG317" s="80" t="str">
        <f t="shared" si="63"/>
        <v>LCOF0</v>
      </c>
      <c r="AH317" s="80" t="str">
        <f t="shared" si="64"/>
        <v>LCOG0</v>
      </c>
    </row>
    <row r="318" spans="25:34" x14ac:dyDescent="0.35">
      <c r="Y318" s="74">
        <f t="shared" si="65"/>
        <v>43721</v>
      </c>
      <c r="Z318" s="74">
        <f t="shared" ca="1" si="56"/>
        <v>43728</v>
      </c>
      <c r="AA318" s="80" t="str">
        <f t="shared" ca="1" si="57"/>
        <v>CLV9</v>
      </c>
      <c r="AB318" s="74">
        <f t="shared" si="59"/>
        <v>43738</v>
      </c>
      <c r="AC318" s="80" t="str">
        <f t="shared" si="58"/>
        <v>LCOX9</v>
      </c>
      <c r="AD318" s="80" t="str">
        <f t="shared" si="60"/>
        <v>CLX9</v>
      </c>
      <c r="AE318" s="80" t="str">
        <f t="shared" si="61"/>
        <v>LCOZ9</v>
      </c>
      <c r="AF318" s="80" t="str">
        <f t="shared" si="62"/>
        <v>CLZ9</v>
      </c>
      <c r="AG318" s="80" t="str">
        <f t="shared" si="63"/>
        <v>LCOF0</v>
      </c>
      <c r="AH318" s="80" t="str">
        <f t="shared" si="64"/>
        <v>LCOG0</v>
      </c>
    </row>
    <row r="319" spans="25:34" x14ac:dyDescent="0.35">
      <c r="Y319" s="74">
        <f t="shared" si="65"/>
        <v>43722</v>
      </c>
      <c r="Z319" s="74">
        <f t="shared" ca="1" si="56"/>
        <v>43728</v>
      </c>
      <c r="AA319" s="80" t="str">
        <f t="shared" ca="1" si="57"/>
        <v>CLV9</v>
      </c>
      <c r="AB319" s="74">
        <f t="shared" si="59"/>
        <v>43738</v>
      </c>
      <c r="AC319" s="80" t="str">
        <f t="shared" si="58"/>
        <v>LCOX9</v>
      </c>
      <c r="AD319" s="80" t="str">
        <f t="shared" si="60"/>
        <v>CLX9</v>
      </c>
      <c r="AE319" s="80" t="str">
        <f t="shared" si="61"/>
        <v>LCOZ9</v>
      </c>
      <c r="AF319" s="80" t="str">
        <f t="shared" si="62"/>
        <v>CLZ9</v>
      </c>
      <c r="AG319" s="80" t="str">
        <f t="shared" si="63"/>
        <v>LCOF0</v>
      </c>
      <c r="AH319" s="80" t="str">
        <f t="shared" si="64"/>
        <v>LCOG0</v>
      </c>
    </row>
    <row r="320" spans="25:34" x14ac:dyDescent="0.35">
      <c r="Y320" s="74">
        <f t="shared" si="65"/>
        <v>43723</v>
      </c>
      <c r="Z320" s="74">
        <f t="shared" ca="1" si="56"/>
        <v>43728</v>
      </c>
      <c r="AA320" s="80" t="str">
        <f t="shared" ca="1" si="57"/>
        <v>CLV9</v>
      </c>
      <c r="AB320" s="74">
        <f t="shared" si="59"/>
        <v>43738</v>
      </c>
      <c r="AC320" s="80" t="str">
        <f t="shared" si="58"/>
        <v>LCOX9</v>
      </c>
      <c r="AD320" s="80" t="str">
        <f t="shared" si="60"/>
        <v>CLX9</v>
      </c>
      <c r="AE320" s="80" t="str">
        <f t="shared" si="61"/>
        <v>LCOZ9</v>
      </c>
      <c r="AF320" s="80" t="str">
        <f t="shared" si="62"/>
        <v>CLZ9</v>
      </c>
      <c r="AG320" s="80" t="str">
        <f t="shared" si="63"/>
        <v>LCOF0</v>
      </c>
      <c r="AH320" s="80" t="str">
        <f t="shared" si="64"/>
        <v>LCOG0</v>
      </c>
    </row>
    <row r="321" spans="25:34" x14ac:dyDescent="0.35">
      <c r="Y321" s="74">
        <f t="shared" si="65"/>
        <v>43724</v>
      </c>
      <c r="Z321" s="74">
        <f t="shared" ca="1" si="56"/>
        <v>43728</v>
      </c>
      <c r="AA321" s="80" t="str">
        <f t="shared" ca="1" si="57"/>
        <v>CLV9</v>
      </c>
      <c r="AB321" s="74">
        <f t="shared" si="59"/>
        <v>43738</v>
      </c>
      <c r="AC321" s="80" t="str">
        <f t="shared" si="58"/>
        <v>LCOX9</v>
      </c>
      <c r="AD321" s="80" t="str">
        <f t="shared" si="60"/>
        <v>CLX9</v>
      </c>
      <c r="AE321" s="80" t="str">
        <f t="shared" si="61"/>
        <v>LCOZ9</v>
      </c>
      <c r="AF321" s="80" t="str">
        <f t="shared" si="62"/>
        <v>CLZ9</v>
      </c>
      <c r="AG321" s="80" t="str">
        <f t="shared" si="63"/>
        <v>LCOF0</v>
      </c>
      <c r="AH321" s="80" t="str">
        <f t="shared" si="64"/>
        <v>LCOG0</v>
      </c>
    </row>
    <row r="322" spans="25:34" x14ac:dyDescent="0.35">
      <c r="Y322" s="74">
        <f t="shared" si="65"/>
        <v>43725</v>
      </c>
      <c r="Z322" s="74">
        <f t="shared" ref="Z322:Z385" ca="1" si="66">VLOOKUP(AA322,$I$2:$K$39,3,FALSE)</f>
        <v>43728</v>
      </c>
      <c r="AA322" s="80" t="str">
        <f t="shared" ref="AA322:AA385" ca="1" si="67">LOOKUP(2,1/($J$2:$J$700&lt;=$Y322)/($K$2:$K$700&gt;=$Y322),$L$2:$L$700)</f>
        <v>CLV9</v>
      </c>
      <c r="AB322" s="74">
        <f t="shared" si="59"/>
        <v>43738</v>
      </c>
      <c r="AC322" s="80" t="str">
        <f t="shared" ref="AC322:AC385" si="68">LOOKUP(2,1/($R$2:$R$700&lt;=$Y322)/($S$2:$S$700&gt;=$Y322),$T$2:$T$700)</f>
        <v>LCOX9</v>
      </c>
      <c r="AD322" s="80" t="str">
        <f t="shared" si="60"/>
        <v>CLX9</v>
      </c>
      <c r="AE322" s="80" t="str">
        <f t="shared" si="61"/>
        <v>LCOZ9</v>
      </c>
      <c r="AF322" s="80" t="str">
        <f t="shared" si="62"/>
        <v>CLZ9</v>
      </c>
      <c r="AG322" s="80" t="str">
        <f t="shared" si="63"/>
        <v>LCOF0</v>
      </c>
      <c r="AH322" s="80" t="str">
        <f t="shared" si="64"/>
        <v>LCOG0</v>
      </c>
    </row>
    <row r="323" spans="25:34" x14ac:dyDescent="0.35">
      <c r="Y323" s="74">
        <f t="shared" si="65"/>
        <v>43726</v>
      </c>
      <c r="Z323" s="74">
        <f t="shared" ca="1" si="66"/>
        <v>43728</v>
      </c>
      <c r="AA323" s="80" t="str">
        <f t="shared" ca="1" si="67"/>
        <v>CLV9</v>
      </c>
      <c r="AB323" s="74">
        <f t="shared" ref="AB323:AB386" si="69">VLOOKUP(AC323,$Q$2:$S$39,3,FALSE)</f>
        <v>43738</v>
      </c>
      <c r="AC323" s="80" t="str">
        <f t="shared" si="68"/>
        <v>LCOX9</v>
      </c>
      <c r="AD323" s="80" t="str">
        <f t="shared" ref="AD323:AD386" si="70">CONCATENATE("CL",RIGHT(AC323,2))</f>
        <v>CLX9</v>
      </c>
      <c r="AE323" s="80" t="str">
        <f t="shared" ref="AE323:AE386" si="71">LOOKUP(2,1/($R$2:$R$700&lt;=$Y323)/($S$2:$S$700&gt;=$Y323),$U$2:$U$700)</f>
        <v>LCOZ9</v>
      </c>
      <c r="AF323" s="80" t="str">
        <f t="shared" ref="AF323:AF386" si="72">CONCATENATE("CL",RIGHT(AE323,2))</f>
        <v>CLZ9</v>
      </c>
      <c r="AG323" s="80" t="str">
        <f t="shared" ref="AG323:AG386" si="73">LOOKUP(2,1/($R$2:$R$700&lt;=$Y323)/($S$2:$S$700&gt;=$Y323),$V$2:$V$700)</f>
        <v>LCOF0</v>
      </c>
      <c r="AH323" s="80" t="str">
        <f t="shared" ref="AH323:AH386" si="74">LOOKUP(2,1/($R$2:$R$700&lt;=$Y323)/($S$2:$S$700&gt;=$Y323),$W$2:$W$700)</f>
        <v>LCOG0</v>
      </c>
    </row>
    <row r="324" spans="25:34" x14ac:dyDescent="0.35">
      <c r="Y324" s="74">
        <f t="shared" si="65"/>
        <v>43727</v>
      </c>
      <c r="Z324" s="74">
        <f t="shared" ca="1" si="66"/>
        <v>43728</v>
      </c>
      <c r="AA324" s="80" t="str">
        <f t="shared" ca="1" si="67"/>
        <v>CLV9</v>
      </c>
      <c r="AB324" s="74">
        <f t="shared" si="69"/>
        <v>43738</v>
      </c>
      <c r="AC324" s="80" t="str">
        <f t="shared" si="68"/>
        <v>LCOX9</v>
      </c>
      <c r="AD324" s="80" t="str">
        <f t="shared" si="70"/>
        <v>CLX9</v>
      </c>
      <c r="AE324" s="80" t="str">
        <f t="shared" si="71"/>
        <v>LCOZ9</v>
      </c>
      <c r="AF324" s="80" t="str">
        <f t="shared" si="72"/>
        <v>CLZ9</v>
      </c>
      <c r="AG324" s="80" t="str">
        <f t="shared" si="73"/>
        <v>LCOF0</v>
      </c>
      <c r="AH324" s="80" t="str">
        <f t="shared" si="74"/>
        <v>LCOG0</v>
      </c>
    </row>
    <row r="325" spans="25:34" x14ac:dyDescent="0.35">
      <c r="Y325" s="74">
        <f t="shared" si="65"/>
        <v>43728</v>
      </c>
      <c r="Z325" s="74">
        <f t="shared" ca="1" si="66"/>
        <v>43728</v>
      </c>
      <c r="AA325" s="80" t="str">
        <f t="shared" ca="1" si="67"/>
        <v>CLV9</v>
      </c>
      <c r="AB325" s="74">
        <f t="shared" si="69"/>
        <v>43738</v>
      </c>
      <c r="AC325" s="80" t="str">
        <f t="shared" si="68"/>
        <v>LCOX9</v>
      </c>
      <c r="AD325" s="80" t="str">
        <f t="shared" si="70"/>
        <v>CLX9</v>
      </c>
      <c r="AE325" s="80" t="str">
        <f t="shared" si="71"/>
        <v>LCOZ9</v>
      </c>
      <c r="AF325" s="80" t="str">
        <f t="shared" si="72"/>
        <v>CLZ9</v>
      </c>
      <c r="AG325" s="80" t="str">
        <f t="shared" si="73"/>
        <v>LCOF0</v>
      </c>
      <c r="AH325" s="80" t="str">
        <f t="shared" si="74"/>
        <v>LCOG0</v>
      </c>
    </row>
    <row r="326" spans="25:34" x14ac:dyDescent="0.35">
      <c r="Y326" s="74">
        <f t="shared" si="65"/>
        <v>43729</v>
      </c>
      <c r="Z326" s="74">
        <f t="shared" ca="1" si="66"/>
        <v>43760</v>
      </c>
      <c r="AA326" s="80" t="str">
        <f t="shared" ca="1" si="67"/>
        <v>CLX9</v>
      </c>
      <c r="AB326" s="74">
        <f t="shared" si="69"/>
        <v>43738</v>
      </c>
      <c r="AC326" s="80" t="str">
        <f t="shared" si="68"/>
        <v>LCOX9</v>
      </c>
      <c r="AD326" s="80" t="str">
        <f t="shared" si="70"/>
        <v>CLX9</v>
      </c>
      <c r="AE326" s="80" t="str">
        <f t="shared" si="71"/>
        <v>LCOZ9</v>
      </c>
      <c r="AF326" s="80" t="str">
        <f t="shared" si="72"/>
        <v>CLZ9</v>
      </c>
      <c r="AG326" s="80" t="str">
        <f t="shared" si="73"/>
        <v>LCOF0</v>
      </c>
      <c r="AH326" s="80" t="str">
        <f t="shared" si="74"/>
        <v>LCOG0</v>
      </c>
    </row>
    <row r="327" spans="25:34" x14ac:dyDescent="0.35">
      <c r="Y327" s="74">
        <f t="shared" si="65"/>
        <v>43730</v>
      </c>
      <c r="Z327" s="74">
        <f t="shared" ca="1" si="66"/>
        <v>43760</v>
      </c>
      <c r="AA327" s="80" t="str">
        <f t="shared" ca="1" si="67"/>
        <v>CLX9</v>
      </c>
      <c r="AB327" s="74">
        <f t="shared" si="69"/>
        <v>43738</v>
      </c>
      <c r="AC327" s="80" t="str">
        <f t="shared" si="68"/>
        <v>LCOX9</v>
      </c>
      <c r="AD327" s="80" t="str">
        <f t="shared" si="70"/>
        <v>CLX9</v>
      </c>
      <c r="AE327" s="80" t="str">
        <f t="shared" si="71"/>
        <v>LCOZ9</v>
      </c>
      <c r="AF327" s="80" t="str">
        <f t="shared" si="72"/>
        <v>CLZ9</v>
      </c>
      <c r="AG327" s="80" t="str">
        <f t="shared" si="73"/>
        <v>LCOF0</v>
      </c>
      <c r="AH327" s="80" t="str">
        <f t="shared" si="74"/>
        <v>LCOG0</v>
      </c>
    </row>
    <row r="328" spans="25:34" x14ac:dyDescent="0.35">
      <c r="Y328" s="74">
        <f t="shared" si="65"/>
        <v>43731</v>
      </c>
      <c r="Z328" s="74">
        <f t="shared" ca="1" si="66"/>
        <v>43760</v>
      </c>
      <c r="AA328" s="80" t="str">
        <f t="shared" ca="1" si="67"/>
        <v>CLX9</v>
      </c>
      <c r="AB328" s="74">
        <f t="shared" si="69"/>
        <v>43738</v>
      </c>
      <c r="AC328" s="80" t="str">
        <f t="shared" si="68"/>
        <v>LCOX9</v>
      </c>
      <c r="AD328" s="80" t="str">
        <f t="shared" si="70"/>
        <v>CLX9</v>
      </c>
      <c r="AE328" s="80" t="str">
        <f t="shared" si="71"/>
        <v>LCOZ9</v>
      </c>
      <c r="AF328" s="80" t="str">
        <f t="shared" si="72"/>
        <v>CLZ9</v>
      </c>
      <c r="AG328" s="80" t="str">
        <f t="shared" si="73"/>
        <v>LCOF0</v>
      </c>
      <c r="AH328" s="80" t="str">
        <f t="shared" si="74"/>
        <v>LCOG0</v>
      </c>
    </row>
    <row r="329" spans="25:34" x14ac:dyDescent="0.35">
      <c r="Y329" s="74">
        <f t="shared" si="65"/>
        <v>43732</v>
      </c>
      <c r="Z329" s="74">
        <f t="shared" ca="1" si="66"/>
        <v>43760</v>
      </c>
      <c r="AA329" s="80" t="str">
        <f t="shared" ca="1" si="67"/>
        <v>CLX9</v>
      </c>
      <c r="AB329" s="74">
        <f t="shared" si="69"/>
        <v>43738</v>
      </c>
      <c r="AC329" s="80" t="str">
        <f t="shared" si="68"/>
        <v>LCOX9</v>
      </c>
      <c r="AD329" s="80" t="str">
        <f t="shared" si="70"/>
        <v>CLX9</v>
      </c>
      <c r="AE329" s="80" t="str">
        <f t="shared" si="71"/>
        <v>LCOZ9</v>
      </c>
      <c r="AF329" s="80" t="str">
        <f t="shared" si="72"/>
        <v>CLZ9</v>
      </c>
      <c r="AG329" s="80" t="str">
        <f t="shared" si="73"/>
        <v>LCOF0</v>
      </c>
      <c r="AH329" s="80" t="str">
        <f t="shared" si="74"/>
        <v>LCOG0</v>
      </c>
    </row>
    <row r="330" spans="25:34" x14ac:dyDescent="0.35">
      <c r="Y330" s="74">
        <f t="shared" si="65"/>
        <v>43733</v>
      </c>
      <c r="Z330" s="74">
        <f t="shared" ca="1" si="66"/>
        <v>43760</v>
      </c>
      <c r="AA330" s="80" t="str">
        <f t="shared" ca="1" si="67"/>
        <v>CLX9</v>
      </c>
      <c r="AB330" s="74">
        <f t="shared" si="69"/>
        <v>43738</v>
      </c>
      <c r="AC330" s="80" t="str">
        <f t="shared" si="68"/>
        <v>LCOX9</v>
      </c>
      <c r="AD330" s="80" t="str">
        <f t="shared" si="70"/>
        <v>CLX9</v>
      </c>
      <c r="AE330" s="80" t="str">
        <f t="shared" si="71"/>
        <v>LCOZ9</v>
      </c>
      <c r="AF330" s="80" t="str">
        <f t="shared" si="72"/>
        <v>CLZ9</v>
      </c>
      <c r="AG330" s="80" t="str">
        <f t="shared" si="73"/>
        <v>LCOF0</v>
      </c>
      <c r="AH330" s="80" t="str">
        <f t="shared" si="74"/>
        <v>LCOG0</v>
      </c>
    </row>
    <row r="331" spans="25:34" x14ac:dyDescent="0.35">
      <c r="Y331" s="74">
        <f t="shared" si="65"/>
        <v>43734</v>
      </c>
      <c r="Z331" s="74">
        <f t="shared" ca="1" si="66"/>
        <v>43760</v>
      </c>
      <c r="AA331" s="80" t="str">
        <f t="shared" ca="1" si="67"/>
        <v>CLX9</v>
      </c>
      <c r="AB331" s="74">
        <f t="shared" si="69"/>
        <v>43738</v>
      </c>
      <c r="AC331" s="80" t="str">
        <f t="shared" si="68"/>
        <v>LCOX9</v>
      </c>
      <c r="AD331" s="80" t="str">
        <f t="shared" si="70"/>
        <v>CLX9</v>
      </c>
      <c r="AE331" s="80" t="str">
        <f t="shared" si="71"/>
        <v>LCOZ9</v>
      </c>
      <c r="AF331" s="80" t="str">
        <f t="shared" si="72"/>
        <v>CLZ9</v>
      </c>
      <c r="AG331" s="80" t="str">
        <f t="shared" si="73"/>
        <v>LCOF0</v>
      </c>
      <c r="AH331" s="80" t="str">
        <f t="shared" si="74"/>
        <v>LCOG0</v>
      </c>
    </row>
    <row r="332" spans="25:34" x14ac:dyDescent="0.35">
      <c r="Y332" s="74">
        <f t="shared" si="65"/>
        <v>43735</v>
      </c>
      <c r="Z332" s="74">
        <f t="shared" ca="1" si="66"/>
        <v>43760</v>
      </c>
      <c r="AA332" s="80" t="str">
        <f t="shared" ca="1" si="67"/>
        <v>CLX9</v>
      </c>
      <c r="AB332" s="74">
        <f t="shared" si="69"/>
        <v>43738</v>
      </c>
      <c r="AC332" s="80" t="str">
        <f t="shared" si="68"/>
        <v>LCOX9</v>
      </c>
      <c r="AD332" s="80" t="str">
        <f t="shared" si="70"/>
        <v>CLX9</v>
      </c>
      <c r="AE332" s="80" t="str">
        <f t="shared" si="71"/>
        <v>LCOZ9</v>
      </c>
      <c r="AF332" s="80" t="str">
        <f t="shared" si="72"/>
        <v>CLZ9</v>
      </c>
      <c r="AG332" s="80" t="str">
        <f t="shared" si="73"/>
        <v>LCOF0</v>
      </c>
      <c r="AH332" s="80" t="str">
        <f t="shared" si="74"/>
        <v>LCOG0</v>
      </c>
    </row>
    <row r="333" spans="25:34" x14ac:dyDescent="0.35">
      <c r="Y333" s="74">
        <f t="shared" si="65"/>
        <v>43736</v>
      </c>
      <c r="Z333" s="74">
        <f t="shared" ca="1" si="66"/>
        <v>43760</v>
      </c>
      <c r="AA333" s="80" t="str">
        <f t="shared" ca="1" si="67"/>
        <v>CLX9</v>
      </c>
      <c r="AB333" s="74">
        <f t="shared" si="69"/>
        <v>43738</v>
      </c>
      <c r="AC333" s="80" t="str">
        <f t="shared" si="68"/>
        <v>LCOX9</v>
      </c>
      <c r="AD333" s="80" t="str">
        <f t="shared" si="70"/>
        <v>CLX9</v>
      </c>
      <c r="AE333" s="80" t="str">
        <f t="shared" si="71"/>
        <v>LCOZ9</v>
      </c>
      <c r="AF333" s="80" t="str">
        <f t="shared" si="72"/>
        <v>CLZ9</v>
      </c>
      <c r="AG333" s="80" t="str">
        <f t="shared" si="73"/>
        <v>LCOF0</v>
      </c>
      <c r="AH333" s="80" t="str">
        <f t="shared" si="74"/>
        <v>LCOG0</v>
      </c>
    </row>
    <row r="334" spans="25:34" x14ac:dyDescent="0.35">
      <c r="Y334" s="74">
        <f t="shared" si="65"/>
        <v>43737</v>
      </c>
      <c r="Z334" s="74">
        <f t="shared" ca="1" si="66"/>
        <v>43760</v>
      </c>
      <c r="AA334" s="80" t="str">
        <f t="shared" ca="1" si="67"/>
        <v>CLX9</v>
      </c>
      <c r="AB334" s="74">
        <f t="shared" si="69"/>
        <v>43738</v>
      </c>
      <c r="AC334" s="80" t="str">
        <f t="shared" si="68"/>
        <v>LCOX9</v>
      </c>
      <c r="AD334" s="80" t="str">
        <f t="shared" si="70"/>
        <v>CLX9</v>
      </c>
      <c r="AE334" s="80" t="str">
        <f t="shared" si="71"/>
        <v>LCOZ9</v>
      </c>
      <c r="AF334" s="80" t="str">
        <f t="shared" si="72"/>
        <v>CLZ9</v>
      </c>
      <c r="AG334" s="80" t="str">
        <f t="shared" si="73"/>
        <v>LCOF0</v>
      </c>
      <c r="AH334" s="80" t="str">
        <f t="shared" si="74"/>
        <v>LCOG0</v>
      </c>
    </row>
    <row r="335" spans="25:34" x14ac:dyDescent="0.35">
      <c r="Y335" s="74">
        <f t="shared" si="65"/>
        <v>43738</v>
      </c>
      <c r="Z335" s="74">
        <f t="shared" ca="1" si="66"/>
        <v>43760</v>
      </c>
      <c r="AA335" s="80" t="str">
        <f t="shared" ca="1" si="67"/>
        <v>CLX9</v>
      </c>
      <c r="AB335" s="74">
        <f t="shared" si="69"/>
        <v>43738</v>
      </c>
      <c r="AC335" s="80" t="str">
        <f t="shared" si="68"/>
        <v>LCOX9</v>
      </c>
      <c r="AD335" s="80" t="str">
        <f t="shared" si="70"/>
        <v>CLX9</v>
      </c>
      <c r="AE335" s="80" t="str">
        <f t="shared" si="71"/>
        <v>LCOZ9</v>
      </c>
      <c r="AF335" s="80" t="str">
        <f t="shared" si="72"/>
        <v>CLZ9</v>
      </c>
      <c r="AG335" s="80" t="str">
        <f t="shared" si="73"/>
        <v>LCOF0</v>
      </c>
      <c r="AH335" s="80" t="str">
        <f t="shared" si="74"/>
        <v>LCOG0</v>
      </c>
    </row>
    <row r="336" spans="25:34" x14ac:dyDescent="0.35">
      <c r="Y336" s="74">
        <f t="shared" si="65"/>
        <v>43739</v>
      </c>
      <c r="Z336" s="74">
        <f t="shared" ca="1" si="66"/>
        <v>43760</v>
      </c>
      <c r="AA336" s="80" t="str">
        <f t="shared" ca="1" si="67"/>
        <v>CLX9</v>
      </c>
      <c r="AB336" s="74">
        <f t="shared" si="69"/>
        <v>43769</v>
      </c>
      <c r="AC336" s="80" t="str">
        <f t="shared" si="68"/>
        <v>LCOZ9</v>
      </c>
      <c r="AD336" s="80" t="str">
        <f t="shared" si="70"/>
        <v>CLZ9</v>
      </c>
      <c r="AE336" s="80" t="str">
        <f t="shared" si="71"/>
        <v>LCOF0</v>
      </c>
      <c r="AF336" s="80" t="str">
        <f t="shared" si="72"/>
        <v>CLF0</v>
      </c>
      <c r="AG336" s="80" t="str">
        <f t="shared" si="73"/>
        <v>LCOG0</v>
      </c>
      <c r="AH336" s="80" t="str">
        <f t="shared" si="74"/>
        <v>LCOH0</v>
      </c>
    </row>
    <row r="337" spans="25:34" x14ac:dyDescent="0.35">
      <c r="Y337" s="74">
        <f t="shared" si="65"/>
        <v>43740</v>
      </c>
      <c r="Z337" s="74">
        <f t="shared" ca="1" si="66"/>
        <v>43760</v>
      </c>
      <c r="AA337" s="80" t="str">
        <f t="shared" ca="1" si="67"/>
        <v>CLX9</v>
      </c>
      <c r="AB337" s="74">
        <f t="shared" si="69"/>
        <v>43769</v>
      </c>
      <c r="AC337" s="80" t="str">
        <f t="shared" si="68"/>
        <v>LCOZ9</v>
      </c>
      <c r="AD337" s="80" t="str">
        <f t="shared" si="70"/>
        <v>CLZ9</v>
      </c>
      <c r="AE337" s="80" t="str">
        <f t="shared" si="71"/>
        <v>LCOF0</v>
      </c>
      <c r="AF337" s="80" t="str">
        <f t="shared" si="72"/>
        <v>CLF0</v>
      </c>
      <c r="AG337" s="80" t="str">
        <f t="shared" si="73"/>
        <v>LCOG0</v>
      </c>
      <c r="AH337" s="80" t="str">
        <f t="shared" si="74"/>
        <v>LCOH0</v>
      </c>
    </row>
    <row r="338" spans="25:34" x14ac:dyDescent="0.35">
      <c r="Y338" s="74">
        <f t="shared" si="65"/>
        <v>43741</v>
      </c>
      <c r="Z338" s="74">
        <f t="shared" ca="1" si="66"/>
        <v>43760</v>
      </c>
      <c r="AA338" s="80" t="str">
        <f t="shared" ca="1" si="67"/>
        <v>CLX9</v>
      </c>
      <c r="AB338" s="74">
        <f t="shared" si="69"/>
        <v>43769</v>
      </c>
      <c r="AC338" s="80" t="str">
        <f t="shared" si="68"/>
        <v>LCOZ9</v>
      </c>
      <c r="AD338" s="80" t="str">
        <f t="shared" si="70"/>
        <v>CLZ9</v>
      </c>
      <c r="AE338" s="80" t="str">
        <f t="shared" si="71"/>
        <v>LCOF0</v>
      </c>
      <c r="AF338" s="80" t="str">
        <f t="shared" si="72"/>
        <v>CLF0</v>
      </c>
      <c r="AG338" s="80" t="str">
        <f t="shared" si="73"/>
        <v>LCOG0</v>
      </c>
      <c r="AH338" s="80" t="str">
        <f t="shared" si="74"/>
        <v>LCOH0</v>
      </c>
    </row>
    <row r="339" spans="25:34" x14ac:dyDescent="0.35">
      <c r="Y339" s="74">
        <f t="shared" si="65"/>
        <v>43742</v>
      </c>
      <c r="Z339" s="74">
        <f t="shared" ca="1" si="66"/>
        <v>43760</v>
      </c>
      <c r="AA339" s="80" t="str">
        <f t="shared" ca="1" si="67"/>
        <v>CLX9</v>
      </c>
      <c r="AB339" s="74">
        <f t="shared" si="69"/>
        <v>43769</v>
      </c>
      <c r="AC339" s="80" t="str">
        <f t="shared" si="68"/>
        <v>LCOZ9</v>
      </c>
      <c r="AD339" s="80" t="str">
        <f t="shared" si="70"/>
        <v>CLZ9</v>
      </c>
      <c r="AE339" s="80" t="str">
        <f t="shared" si="71"/>
        <v>LCOF0</v>
      </c>
      <c r="AF339" s="80" t="str">
        <f t="shared" si="72"/>
        <v>CLF0</v>
      </c>
      <c r="AG339" s="80" t="str">
        <f t="shared" si="73"/>
        <v>LCOG0</v>
      </c>
      <c r="AH339" s="80" t="str">
        <f t="shared" si="74"/>
        <v>LCOH0</v>
      </c>
    </row>
    <row r="340" spans="25:34" x14ac:dyDescent="0.35">
      <c r="Y340" s="74">
        <f t="shared" si="65"/>
        <v>43743</v>
      </c>
      <c r="Z340" s="74">
        <f t="shared" ca="1" si="66"/>
        <v>43760</v>
      </c>
      <c r="AA340" s="80" t="str">
        <f t="shared" ca="1" si="67"/>
        <v>CLX9</v>
      </c>
      <c r="AB340" s="74">
        <f t="shared" si="69"/>
        <v>43769</v>
      </c>
      <c r="AC340" s="80" t="str">
        <f t="shared" si="68"/>
        <v>LCOZ9</v>
      </c>
      <c r="AD340" s="80" t="str">
        <f t="shared" si="70"/>
        <v>CLZ9</v>
      </c>
      <c r="AE340" s="80" t="str">
        <f t="shared" si="71"/>
        <v>LCOF0</v>
      </c>
      <c r="AF340" s="80" t="str">
        <f t="shared" si="72"/>
        <v>CLF0</v>
      </c>
      <c r="AG340" s="80" t="str">
        <f t="shared" si="73"/>
        <v>LCOG0</v>
      </c>
      <c r="AH340" s="80" t="str">
        <f t="shared" si="74"/>
        <v>LCOH0</v>
      </c>
    </row>
    <row r="341" spans="25:34" x14ac:dyDescent="0.35">
      <c r="Y341" s="74">
        <f t="shared" si="65"/>
        <v>43744</v>
      </c>
      <c r="Z341" s="74">
        <f t="shared" ca="1" si="66"/>
        <v>43760</v>
      </c>
      <c r="AA341" s="80" t="str">
        <f t="shared" ca="1" si="67"/>
        <v>CLX9</v>
      </c>
      <c r="AB341" s="74">
        <f t="shared" si="69"/>
        <v>43769</v>
      </c>
      <c r="AC341" s="80" t="str">
        <f t="shared" si="68"/>
        <v>LCOZ9</v>
      </c>
      <c r="AD341" s="80" t="str">
        <f t="shared" si="70"/>
        <v>CLZ9</v>
      </c>
      <c r="AE341" s="80" t="str">
        <f t="shared" si="71"/>
        <v>LCOF0</v>
      </c>
      <c r="AF341" s="80" t="str">
        <f t="shared" si="72"/>
        <v>CLF0</v>
      </c>
      <c r="AG341" s="80" t="str">
        <f t="shared" si="73"/>
        <v>LCOG0</v>
      </c>
      <c r="AH341" s="80" t="str">
        <f t="shared" si="74"/>
        <v>LCOH0</v>
      </c>
    </row>
    <row r="342" spans="25:34" x14ac:dyDescent="0.35">
      <c r="Y342" s="74">
        <f t="shared" si="65"/>
        <v>43745</v>
      </c>
      <c r="Z342" s="74">
        <f t="shared" ca="1" si="66"/>
        <v>43760</v>
      </c>
      <c r="AA342" s="80" t="str">
        <f t="shared" ca="1" si="67"/>
        <v>CLX9</v>
      </c>
      <c r="AB342" s="74">
        <f t="shared" si="69"/>
        <v>43769</v>
      </c>
      <c r="AC342" s="80" t="str">
        <f t="shared" si="68"/>
        <v>LCOZ9</v>
      </c>
      <c r="AD342" s="80" t="str">
        <f t="shared" si="70"/>
        <v>CLZ9</v>
      </c>
      <c r="AE342" s="80" t="str">
        <f t="shared" si="71"/>
        <v>LCOF0</v>
      </c>
      <c r="AF342" s="80" t="str">
        <f t="shared" si="72"/>
        <v>CLF0</v>
      </c>
      <c r="AG342" s="80" t="str">
        <f t="shared" si="73"/>
        <v>LCOG0</v>
      </c>
      <c r="AH342" s="80" t="str">
        <f t="shared" si="74"/>
        <v>LCOH0</v>
      </c>
    </row>
    <row r="343" spans="25:34" x14ac:dyDescent="0.35">
      <c r="Y343" s="74">
        <f t="shared" si="65"/>
        <v>43746</v>
      </c>
      <c r="Z343" s="74">
        <f t="shared" ca="1" si="66"/>
        <v>43760</v>
      </c>
      <c r="AA343" s="80" t="str">
        <f t="shared" ca="1" si="67"/>
        <v>CLX9</v>
      </c>
      <c r="AB343" s="74">
        <f t="shared" si="69"/>
        <v>43769</v>
      </c>
      <c r="AC343" s="80" t="str">
        <f t="shared" si="68"/>
        <v>LCOZ9</v>
      </c>
      <c r="AD343" s="80" t="str">
        <f t="shared" si="70"/>
        <v>CLZ9</v>
      </c>
      <c r="AE343" s="80" t="str">
        <f t="shared" si="71"/>
        <v>LCOF0</v>
      </c>
      <c r="AF343" s="80" t="str">
        <f t="shared" si="72"/>
        <v>CLF0</v>
      </c>
      <c r="AG343" s="80" t="str">
        <f t="shared" si="73"/>
        <v>LCOG0</v>
      </c>
      <c r="AH343" s="80" t="str">
        <f t="shared" si="74"/>
        <v>LCOH0</v>
      </c>
    </row>
    <row r="344" spans="25:34" x14ac:dyDescent="0.35">
      <c r="Y344" s="74">
        <f t="shared" si="65"/>
        <v>43747</v>
      </c>
      <c r="Z344" s="74">
        <f t="shared" ca="1" si="66"/>
        <v>43760</v>
      </c>
      <c r="AA344" s="80" t="str">
        <f t="shared" ca="1" si="67"/>
        <v>CLX9</v>
      </c>
      <c r="AB344" s="74">
        <f t="shared" si="69"/>
        <v>43769</v>
      </c>
      <c r="AC344" s="80" t="str">
        <f t="shared" si="68"/>
        <v>LCOZ9</v>
      </c>
      <c r="AD344" s="80" t="str">
        <f t="shared" si="70"/>
        <v>CLZ9</v>
      </c>
      <c r="AE344" s="80" t="str">
        <f t="shared" si="71"/>
        <v>LCOF0</v>
      </c>
      <c r="AF344" s="80" t="str">
        <f t="shared" si="72"/>
        <v>CLF0</v>
      </c>
      <c r="AG344" s="80" t="str">
        <f t="shared" si="73"/>
        <v>LCOG0</v>
      </c>
      <c r="AH344" s="80" t="str">
        <f t="shared" si="74"/>
        <v>LCOH0</v>
      </c>
    </row>
    <row r="345" spans="25:34" x14ac:dyDescent="0.35">
      <c r="Y345" s="74">
        <f t="shared" si="65"/>
        <v>43748</v>
      </c>
      <c r="Z345" s="74">
        <f t="shared" ca="1" si="66"/>
        <v>43760</v>
      </c>
      <c r="AA345" s="80" t="str">
        <f t="shared" ca="1" si="67"/>
        <v>CLX9</v>
      </c>
      <c r="AB345" s="74">
        <f t="shared" si="69"/>
        <v>43769</v>
      </c>
      <c r="AC345" s="80" t="str">
        <f t="shared" si="68"/>
        <v>LCOZ9</v>
      </c>
      <c r="AD345" s="80" t="str">
        <f t="shared" si="70"/>
        <v>CLZ9</v>
      </c>
      <c r="AE345" s="80" t="str">
        <f t="shared" si="71"/>
        <v>LCOF0</v>
      </c>
      <c r="AF345" s="80" t="str">
        <f t="shared" si="72"/>
        <v>CLF0</v>
      </c>
      <c r="AG345" s="80" t="str">
        <f t="shared" si="73"/>
        <v>LCOG0</v>
      </c>
      <c r="AH345" s="80" t="str">
        <f t="shared" si="74"/>
        <v>LCOH0</v>
      </c>
    </row>
    <row r="346" spans="25:34" x14ac:dyDescent="0.35">
      <c r="Y346" s="74">
        <f t="shared" si="65"/>
        <v>43749</v>
      </c>
      <c r="Z346" s="74">
        <f t="shared" ca="1" si="66"/>
        <v>43760</v>
      </c>
      <c r="AA346" s="80" t="str">
        <f t="shared" ca="1" si="67"/>
        <v>CLX9</v>
      </c>
      <c r="AB346" s="74">
        <f t="shared" si="69"/>
        <v>43769</v>
      </c>
      <c r="AC346" s="80" t="str">
        <f t="shared" si="68"/>
        <v>LCOZ9</v>
      </c>
      <c r="AD346" s="80" t="str">
        <f t="shared" si="70"/>
        <v>CLZ9</v>
      </c>
      <c r="AE346" s="80" t="str">
        <f t="shared" si="71"/>
        <v>LCOF0</v>
      </c>
      <c r="AF346" s="80" t="str">
        <f t="shared" si="72"/>
        <v>CLF0</v>
      </c>
      <c r="AG346" s="80" t="str">
        <f t="shared" si="73"/>
        <v>LCOG0</v>
      </c>
      <c r="AH346" s="80" t="str">
        <f t="shared" si="74"/>
        <v>LCOH0</v>
      </c>
    </row>
    <row r="347" spans="25:34" x14ac:dyDescent="0.35">
      <c r="Y347" s="74">
        <f t="shared" si="65"/>
        <v>43750</v>
      </c>
      <c r="Z347" s="74">
        <f t="shared" ca="1" si="66"/>
        <v>43760</v>
      </c>
      <c r="AA347" s="80" t="str">
        <f t="shared" ca="1" si="67"/>
        <v>CLX9</v>
      </c>
      <c r="AB347" s="74">
        <f t="shared" si="69"/>
        <v>43769</v>
      </c>
      <c r="AC347" s="80" t="str">
        <f t="shared" si="68"/>
        <v>LCOZ9</v>
      </c>
      <c r="AD347" s="80" t="str">
        <f t="shared" si="70"/>
        <v>CLZ9</v>
      </c>
      <c r="AE347" s="80" t="str">
        <f t="shared" si="71"/>
        <v>LCOF0</v>
      </c>
      <c r="AF347" s="80" t="str">
        <f t="shared" si="72"/>
        <v>CLF0</v>
      </c>
      <c r="AG347" s="80" t="str">
        <f t="shared" si="73"/>
        <v>LCOG0</v>
      </c>
      <c r="AH347" s="80" t="str">
        <f t="shared" si="74"/>
        <v>LCOH0</v>
      </c>
    </row>
    <row r="348" spans="25:34" x14ac:dyDescent="0.35">
      <c r="Y348" s="74">
        <f t="shared" si="65"/>
        <v>43751</v>
      </c>
      <c r="Z348" s="74">
        <f t="shared" ca="1" si="66"/>
        <v>43760</v>
      </c>
      <c r="AA348" s="80" t="str">
        <f t="shared" ca="1" si="67"/>
        <v>CLX9</v>
      </c>
      <c r="AB348" s="74">
        <f t="shared" si="69"/>
        <v>43769</v>
      </c>
      <c r="AC348" s="80" t="str">
        <f t="shared" si="68"/>
        <v>LCOZ9</v>
      </c>
      <c r="AD348" s="80" t="str">
        <f t="shared" si="70"/>
        <v>CLZ9</v>
      </c>
      <c r="AE348" s="80" t="str">
        <f t="shared" si="71"/>
        <v>LCOF0</v>
      </c>
      <c r="AF348" s="80" t="str">
        <f t="shared" si="72"/>
        <v>CLF0</v>
      </c>
      <c r="AG348" s="80" t="str">
        <f t="shared" si="73"/>
        <v>LCOG0</v>
      </c>
      <c r="AH348" s="80" t="str">
        <f t="shared" si="74"/>
        <v>LCOH0</v>
      </c>
    </row>
    <row r="349" spans="25:34" x14ac:dyDescent="0.35">
      <c r="Y349" s="74">
        <f t="shared" si="65"/>
        <v>43752</v>
      </c>
      <c r="Z349" s="74">
        <f t="shared" ca="1" si="66"/>
        <v>43760</v>
      </c>
      <c r="AA349" s="80" t="str">
        <f t="shared" ca="1" si="67"/>
        <v>CLX9</v>
      </c>
      <c r="AB349" s="74">
        <f t="shared" si="69"/>
        <v>43769</v>
      </c>
      <c r="AC349" s="80" t="str">
        <f t="shared" si="68"/>
        <v>LCOZ9</v>
      </c>
      <c r="AD349" s="80" t="str">
        <f t="shared" si="70"/>
        <v>CLZ9</v>
      </c>
      <c r="AE349" s="80" t="str">
        <f t="shared" si="71"/>
        <v>LCOF0</v>
      </c>
      <c r="AF349" s="80" t="str">
        <f t="shared" si="72"/>
        <v>CLF0</v>
      </c>
      <c r="AG349" s="80" t="str">
        <f t="shared" si="73"/>
        <v>LCOG0</v>
      </c>
      <c r="AH349" s="80" t="str">
        <f t="shared" si="74"/>
        <v>LCOH0</v>
      </c>
    </row>
    <row r="350" spans="25:34" x14ac:dyDescent="0.35">
      <c r="Y350" s="74">
        <f t="shared" si="65"/>
        <v>43753</v>
      </c>
      <c r="Z350" s="74">
        <f t="shared" ca="1" si="66"/>
        <v>43760</v>
      </c>
      <c r="AA350" s="80" t="str">
        <f t="shared" ca="1" si="67"/>
        <v>CLX9</v>
      </c>
      <c r="AB350" s="74">
        <f t="shared" si="69"/>
        <v>43769</v>
      </c>
      <c r="AC350" s="80" t="str">
        <f t="shared" si="68"/>
        <v>LCOZ9</v>
      </c>
      <c r="AD350" s="80" t="str">
        <f t="shared" si="70"/>
        <v>CLZ9</v>
      </c>
      <c r="AE350" s="80" t="str">
        <f t="shared" si="71"/>
        <v>LCOF0</v>
      </c>
      <c r="AF350" s="80" t="str">
        <f t="shared" si="72"/>
        <v>CLF0</v>
      </c>
      <c r="AG350" s="80" t="str">
        <f t="shared" si="73"/>
        <v>LCOG0</v>
      </c>
      <c r="AH350" s="80" t="str">
        <f t="shared" si="74"/>
        <v>LCOH0</v>
      </c>
    </row>
    <row r="351" spans="25:34" x14ac:dyDescent="0.35">
      <c r="Y351" s="74">
        <f t="shared" si="65"/>
        <v>43754</v>
      </c>
      <c r="Z351" s="74">
        <f t="shared" ca="1" si="66"/>
        <v>43760</v>
      </c>
      <c r="AA351" s="80" t="str">
        <f t="shared" ca="1" si="67"/>
        <v>CLX9</v>
      </c>
      <c r="AB351" s="74">
        <f t="shared" si="69"/>
        <v>43769</v>
      </c>
      <c r="AC351" s="80" t="str">
        <f t="shared" si="68"/>
        <v>LCOZ9</v>
      </c>
      <c r="AD351" s="80" t="str">
        <f t="shared" si="70"/>
        <v>CLZ9</v>
      </c>
      <c r="AE351" s="80" t="str">
        <f t="shared" si="71"/>
        <v>LCOF0</v>
      </c>
      <c r="AF351" s="80" t="str">
        <f t="shared" si="72"/>
        <v>CLF0</v>
      </c>
      <c r="AG351" s="80" t="str">
        <f t="shared" si="73"/>
        <v>LCOG0</v>
      </c>
      <c r="AH351" s="80" t="str">
        <f t="shared" si="74"/>
        <v>LCOH0</v>
      </c>
    </row>
    <row r="352" spans="25:34" x14ac:dyDescent="0.35">
      <c r="Y352" s="74">
        <f t="shared" si="65"/>
        <v>43755</v>
      </c>
      <c r="Z352" s="74">
        <f t="shared" ca="1" si="66"/>
        <v>43760</v>
      </c>
      <c r="AA352" s="80" t="str">
        <f t="shared" ca="1" si="67"/>
        <v>CLX9</v>
      </c>
      <c r="AB352" s="74">
        <f t="shared" si="69"/>
        <v>43769</v>
      </c>
      <c r="AC352" s="80" t="str">
        <f t="shared" si="68"/>
        <v>LCOZ9</v>
      </c>
      <c r="AD352" s="80" t="str">
        <f t="shared" si="70"/>
        <v>CLZ9</v>
      </c>
      <c r="AE352" s="80" t="str">
        <f t="shared" si="71"/>
        <v>LCOF0</v>
      </c>
      <c r="AF352" s="80" t="str">
        <f t="shared" si="72"/>
        <v>CLF0</v>
      </c>
      <c r="AG352" s="80" t="str">
        <f t="shared" si="73"/>
        <v>LCOG0</v>
      </c>
      <c r="AH352" s="80" t="str">
        <f t="shared" si="74"/>
        <v>LCOH0</v>
      </c>
    </row>
    <row r="353" spans="25:34" x14ac:dyDescent="0.35">
      <c r="Y353" s="74">
        <f t="shared" ref="Y353:Y416" si="75">Y352+1</f>
        <v>43756</v>
      </c>
      <c r="Z353" s="74">
        <f t="shared" ca="1" si="66"/>
        <v>43760</v>
      </c>
      <c r="AA353" s="80" t="str">
        <f t="shared" ca="1" si="67"/>
        <v>CLX9</v>
      </c>
      <c r="AB353" s="74">
        <f t="shared" si="69"/>
        <v>43769</v>
      </c>
      <c r="AC353" s="80" t="str">
        <f t="shared" si="68"/>
        <v>LCOZ9</v>
      </c>
      <c r="AD353" s="80" t="str">
        <f t="shared" si="70"/>
        <v>CLZ9</v>
      </c>
      <c r="AE353" s="80" t="str">
        <f t="shared" si="71"/>
        <v>LCOF0</v>
      </c>
      <c r="AF353" s="80" t="str">
        <f t="shared" si="72"/>
        <v>CLF0</v>
      </c>
      <c r="AG353" s="80" t="str">
        <f t="shared" si="73"/>
        <v>LCOG0</v>
      </c>
      <c r="AH353" s="80" t="str">
        <f t="shared" si="74"/>
        <v>LCOH0</v>
      </c>
    </row>
    <row r="354" spans="25:34" x14ac:dyDescent="0.35">
      <c r="Y354" s="74">
        <f t="shared" si="75"/>
        <v>43757</v>
      </c>
      <c r="Z354" s="74">
        <f t="shared" ca="1" si="66"/>
        <v>43760</v>
      </c>
      <c r="AA354" s="80" t="str">
        <f t="shared" ca="1" si="67"/>
        <v>CLX9</v>
      </c>
      <c r="AB354" s="74">
        <f t="shared" si="69"/>
        <v>43769</v>
      </c>
      <c r="AC354" s="80" t="str">
        <f t="shared" si="68"/>
        <v>LCOZ9</v>
      </c>
      <c r="AD354" s="80" t="str">
        <f t="shared" si="70"/>
        <v>CLZ9</v>
      </c>
      <c r="AE354" s="80" t="str">
        <f t="shared" si="71"/>
        <v>LCOF0</v>
      </c>
      <c r="AF354" s="80" t="str">
        <f t="shared" si="72"/>
        <v>CLF0</v>
      </c>
      <c r="AG354" s="80" t="str">
        <f t="shared" si="73"/>
        <v>LCOG0</v>
      </c>
      <c r="AH354" s="80" t="str">
        <f t="shared" si="74"/>
        <v>LCOH0</v>
      </c>
    </row>
    <row r="355" spans="25:34" x14ac:dyDescent="0.35">
      <c r="Y355" s="74">
        <f t="shared" si="75"/>
        <v>43758</v>
      </c>
      <c r="Z355" s="74">
        <f t="shared" ca="1" si="66"/>
        <v>43760</v>
      </c>
      <c r="AA355" s="80" t="str">
        <f t="shared" ca="1" si="67"/>
        <v>CLX9</v>
      </c>
      <c r="AB355" s="74">
        <f t="shared" si="69"/>
        <v>43769</v>
      </c>
      <c r="AC355" s="80" t="str">
        <f t="shared" si="68"/>
        <v>LCOZ9</v>
      </c>
      <c r="AD355" s="80" t="str">
        <f t="shared" si="70"/>
        <v>CLZ9</v>
      </c>
      <c r="AE355" s="80" t="str">
        <f t="shared" si="71"/>
        <v>LCOF0</v>
      </c>
      <c r="AF355" s="80" t="str">
        <f t="shared" si="72"/>
        <v>CLF0</v>
      </c>
      <c r="AG355" s="80" t="str">
        <f t="shared" si="73"/>
        <v>LCOG0</v>
      </c>
      <c r="AH355" s="80" t="str">
        <f t="shared" si="74"/>
        <v>LCOH0</v>
      </c>
    </row>
    <row r="356" spans="25:34" x14ac:dyDescent="0.35">
      <c r="Y356" s="74">
        <f t="shared" si="75"/>
        <v>43759</v>
      </c>
      <c r="Z356" s="74">
        <f t="shared" ca="1" si="66"/>
        <v>43760</v>
      </c>
      <c r="AA356" s="80" t="str">
        <f t="shared" ca="1" si="67"/>
        <v>CLX9</v>
      </c>
      <c r="AB356" s="74">
        <f t="shared" si="69"/>
        <v>43769</v>
      </c>
      <c r="AC356" s="80" t="str">
        <f t="shared" si="68"/>
        <v>LCOZ9</v>
      </c>
      <c r="AD356" s="80" t="str">
        <f t="shared" si="70"/>
        <v>CLZ9</v>
      </c>
      <c r="AE356" s="80" t="str">
        <f t="shared" si="71"/>
        <v>LCOF0</v>
      </c>
      <c r="AF356" s="80" t="str">
        <f t="shared" si="72"/>
        <v>CLF0</v>
      </c>
      <c r="AG356" s="80" t="str">
        <f t="shared" si="73"/>
        <v>LCOG0</v>
      </c>
      <c r="AH356" s="80" t="str">
        <f t="shared" si="74"/>
        <v>LCOH0</v>
      </c>
    </row>
    <row r="357" spans="25:34" x14ac:dyDescent="0.35">
      <c r="Y357" s="74">
        <f t="shared" si="75"/>
        <v>43760</v>
      </c>
      <c r="Z357" s="74">
        <f t="shared" ca="1" si="66"/>
        <v>43760</v>
      </c>
      <c r="AA357" s="80" t="str">
        <f t="shared" ca="1" si="67"/>
        <v>CLX9</v>
      </c>
      <c r="AB357" s="74">
        <f t="shared" si="69"/>
        <v>43769</v>
      </c>
      <c r="AC357" s="80" t="str">
        <f t="shared" si="68"/>
        <v>LCOZ9</v>
      </c>
      <c r="AD357" s="80" t="str">
        <f t="shared" si="70"/>
        <v>CLZ9</v>
      </c>
      <c r="AE357" s="80" t="str">
        <f t="shared" si="71"/>
        <v>LCOF0</v>
      </c>
      <c r="AF357" s="80" t="str">
        <f t="shared" si="72"/>
        <v>CLF0</v>
      </c>
      <c r="AG357" s="80" t="str">
        <f t="shared" si="73"/>
        <v>LCOG0</v>
      </c>
      <c r="AH357" s="80" t="str">
        <f t="shared" si="74"/>
        <v>LCOH0</v>
      </c>
    </row>
    <row r="358" spans="25:34" x14ac:dyDescent="0.35">
      <c r="Y358" s="74">
        <f t="shared" si="75"/>
        <v>43761</v>
      </c>
      <c r="Z358" s="74">
        <f t="shared" ca="1" si="66"/>
        <v>43789</v>
      </c>
      <c r="AA358" s="80" t="str">
        <f t="shared" ca="1" si="67"/>
        <v>CLZ9</v>
      </c>
      <c r="AB358" s="74">
        <f t="shared" si="69"/>
        <v>43769</v>
      </c>
      <c r="AC358" s="80" t="str">
        <f t="shared" si="68"/>
        <v>LCOZ9</v>
      </c>
      <c r="AD358" s="80" t="str">
        <f t="shared" si="70"/>
        <v>CLZ9</v>
      </c>
      <c r="AE358" s="80" t="str">
        <f t="shared" si="71"/>
        <v>LCOF0</v>
      </c>
      <c r="AF358" s="80" t="str">
        <f t="shared" si="72"/>
        <v>CLF0</v>
      </c>
      <c r="AG358" s="80" t="str">
        <f t="shared" si="73"/>
        <v>LCOG0</v>
      </c>
      <c r="AH358" s="80" t="str">
        <f t="shared" si="74"/>
        <v>LCOH0</v>
      </c>
    </row>
    <row r="359" spans="25:34" x14ac:dyDescent="0.35">
      <c r="Y359" s="74">
        <f t="shared" si="75"/>
        <v>43762</v>
      </c>
      <c r="Z359" s="74">
        <f t="shared" ca="1" si="66"/>
        <v>43789</v>
      </c>
      <c r="AA359" s="80" t="str">
        <f t="shared" ca="1" si="67"/>
        <v>CLZ9</v>
      </c>
      <c r="AB359" s="74">
        <f t="shared" si="69"/>
        <v>43769</v>
      </c>
      <c r="AC359" s="80" t="str">
        <f t="shared" si="68"/>
        <v>LCOZ9</v>
      </c>
      <c r="AD359" s="80" t="str">
        <f t="shared" si="70"/>
        <v>CLZ9</v>
      </c>
      <c r="AE359" s="80" t="str">
        <f t="shared" si="71"/>
        <v>LCOF0</v>
      </c>
      <c r="AF359" s="80" t="str">
        <f t="shared" si="72"/>
        <v>CLF0</v>
      </c>
      <c r="AG359" s="80" t="str">
        <f t="shared" si="73"/>
        <v>LCOG0</v>
      </c>
      <c r="AH359" s="80" t="str">
        <f t="shared" si="74"/>
        <v>LCOH0</v>
      </c>
    </row>
    <row r="360" spans="25:34" x14ac:dyDescent="0.35">
      <c r="Y360" s="74">
        <f t="shared" si="75"/>
        <v>43763</v>
      </c>
      <c r="Z360" s="74">
        <f t="shared" ca="1" si="66"/>
        <v>43789</v>
      </c>
      <c r="AA360" s="80" t="str">
        <f t="shared" ca="1" si="67"/>
        <v>CLZ9</v>
      </c>
      <c r="AB360" s="74">
        <f t="shared" si="69"/>
        <v>43769</v>
      </c>
      <c r="AC360" s="80" t="str">
        <f t="shared" si="68"/>
        <v>LCOZ9</v>
      </c>
      <c r="AD360" s="80" t="str">
        <f t="shared" si="70"/>
        <v>CLZ9</v>
      </c>
      <c r="AE360" s="80" t="str">
        <f t="shared" si="71"/>
        <v>LCOF0</v>
      </c>
      <c r="AF360" s="80" t="str">
        <f t="shared" si="72"/>
        <v>CLF0</v>
      </c>
      <c r="AG360" s="80" t="str">
        <f t="shared" si="73"/>
        <v>LCOG0</v>
      </c>
      <c r="AH360" s="80" t="str">
        <f t="shared" si="74"/>
        <v>LCOH0</v>
      </c>
    </row>
    <row r="361" spans="25:34" x14ac:dyDescent="0.35">
      <c r="Y361" s="74">
        <f t="shared" si="75"/>
        <v>43764</v>
      </c>
      <c r="Z361" s="74">
        <f t="shared" ca="1" si="66"/>
        <v>43789</v>
      </c>
      <c r="AA361" s="80" t="str">
        <f t="shared" ca="1" si="67"/>
        <v>CLZ9</v>
      </c>
      <c r="AB361" s="74">
        <f t="shared" si="69"/>
        <v>43769</v>
      </c>
      <c r="AC361" s="80" t="str">
        <f t="shared" si="68"/>
        <v>LCOZ9</v>
      </c>
      <c r="AD361" s="80" t="str">
        <f t="shared" si="70"/>
        <v>CLZ9</v>
      </c>
      <c r="AE361" s="80" t="str">
        <f t="shared" si="71"/>
        <v>LCOF0</v>
      </c>
      <c r="AF361" s="80" t="str">
        <f t="shared" si="72"/>
        <v>CLF0</v>
      </c>
      <c r="AG361" s="80" t="str">
        <f t="shared" si="73"/>
        <v>LCOG0</v>
      </c>
      <c r="AH361" s="80" t="str">
        <f t="shared" si="74"/>
        <v>LCOH0</v>
      </c>
    </row>
    <row r="362" spans="25:34" x14ac:dyDescent="0.35">
      <c r="Y362" s="74">
        <f t="shared" si="75"/>
        <v>43765</v>
      </c>
      <c r="Z362" s="74">
        <f t="shared" ca="1" si="66"/>
        <v>43789</v>
      </c>
      <c r="AA362" s="80" t="str">
        <f t="shared" ca="1" si="67"/>
        <v>CLZ9</v>
      </c>
      <c r="AB362" s="74">
        <f t="shared" si="69"/>
        <v>43769</v>
      </c>
      <c r="AC362" s="80" t="str">
        <f t="shared" si="68"/>
        <v>LCOZ9</v>
      </c>
      <c r="AD362" s="80" t="str">
        <f t="shared" si="70"/>
        <v>CLZ9</v>
      </c>
      <c r="AE362" s="80" t="str">
        <f t="shared" si="71"/>
        <v>LCOF0</v>
      </c>
      <c r="AF362" s="80" t="str">
        <f t="shared" si="72"/>
        <v>CLF0</v>
      </c>
      <c r="AG362" s="80" t="str">
        <f t="shared" si="73"/>
        <v>LCOG0</v>
      </c>
      <c r="AH362" s="80" t="str">
        <f t="shared" si="74"/>
        <v>LCOH0</v>
      </c>
    </row>
    <row r="363" spans="25:34" x14ac:dyDescent="0.35">
      <c r="Y363" s="74">
        <f t="shared" si="75"/>
        <v>43766</v>
      </c>
      <c r="Z363" s="74">
        <f t="shared" ca="1" si="66"/>
        <v>43789</v>
      </c>
      <c r="AA363" s="80" t="str">
        <f t="shared" ca="1" si="67"/>
        <v>CLZ9</v>
      </c>
      <c r="AB363" s="74">
        <f t="shared" si="69"/>
        <v>43769</v>
      </c>
      <c r="AC363" s="80" t="str">
        <f t="shared" si="68"/>
        <v>LCOZ9</v>
      </c>
      <c r="AD363" s="80" t="str">
        <f t="shared" si="70"/>
        <v>CLZ9</v>
      </c>
      <c r="AE363" s="80" t="str">
        <f t="shared" si="71"/>
        <v>LCOF0</v>
      </c>
      <c r="AF363" s="80" t="str">
        <f t="shared" si="72"/>
        <v>CLF0</v>
      </c>
      <c r="AG363" s="80" t="str">
        <f t="shared" si="73"/>
        <v>LCOG0</v>
      </c>
      <c r="AH363" s="80" t="str">
        <f t="shared" si="74"/>
        <v>LCOH0</v>
      </c>
    </row>
    <row r="364" spans="25:34" x14ac:dyDescent="0.35">
      <c r="Y364" s="74">
        <f t="shared" si="75"/>
        <v>43767</v>
      </c>
      <c r="Z364" s="74">
        <f t="shared" ca="1" si="66"/>
        <v>43789</v>
      </c>
      <c r="AA364" s="80" t="str">
        <f t="shared" ca="1" si="67"/>
        <v>CLZ9</v>
      </c>
      <c r="AB364" s="74">
        <f t="shared" si="69"/>
        <v>43769</v>
      </c>
      <c r="AC364" s="80" t="str">
        <f t="shared" si="68"/>
        <v>LCOZ9</v>
      </c>
      <c r="AD364" s="80" t="str">
        <f t="shared" si="70"/>
        <v>CLZ9</v>
      </c>
      <c r="AE364" s="80" t="str">
        <f t="shared" si="71"/>
        <v>LCOF0</v>
      </c>
      <c r="AF364" s="80" t="str">
        <f t="shared" si="72"/>
        <v>CLF0</v>
      </c>
      <c r="AG364" s="80" t="str">
        <f t="shared" si="73"/>
        <v>LCOG0</v>
      </c>
      <c r="AH364" s="80" t="str">
        <f t="shared" si="74"/>
        <v>LCOH0</v>
      </c>
    </row>
    <row r="365" spans="25:34" x14ac:dyDescent="0.35">
      <c r="Y365" s="74">
        <f t="shared" si="75"/>
        <v>43768</v>
      </c>
      <c r="Z365" s="74">
        <f t="shared" ca="1" si="66"/>
        <v>43789</v>
      </c>
      <c r="AA365" s="80" t="str">
        <f t="shared" ca="1" si="67"/>
        <v>CLZ9</v>
      </c>
      <c r="AB365" s="74">
        <f t="shared" si="69"/>
        <v>43769</v>
      </c>
      <c r="AC365" s="80" t="str">
        <f t="shared" si="68"/>
        <v>LCOZ9</v>
      </c>
      <c r="AD365" s="80" t="str">
        <f t="shared" si="70"/>
        <v>CLZ9</v>
      </c>
      <c r="AE365" s="80" t="str">
        <f t="shared" si="71"/>
        <v>LCOF0</v>
      </c>
      <c r="AF365" s="80" t="str">
        <f t="shared" si="72"/>
        <v>CLF0</v>
      </c>
      <c r="AG365" s="80" t="str">
        <f t="shared" si="73"/>
        <v>LCOG0</v>
      </c>
      <c r="AH365" s="80" t="str">
        <f t="shared" si="74"/>
        <v>LCOH0</v>
      </c>
    </row>
    <row r="366" spans="25:34" x14ac:dyDescent="0.35">
      <c r="Y366" s="74">
        <f t="shared" si="75"/>
        <v>43769</v>
      </c>
      <c r="Z366" s="74">
        <f t="shared" ca="1" si="66"/>
        <v>43789</v>
      </c>
      <c r="AA366" s="80" t="str">
        <f t="shared" ca="1" si="67"/>
        <v>CLZ9</v>
      </c>
      <c r="AB366" s="74">
        <f t="shared" si="69"/>
        <v>43769</v>
      </c>
      <c r="AC366" s="80" t="str">
        <f t="shared" si="68"/>
        <v>LCOZ9</v>
      </c>
      <c r="AD366" s="80" t="str">
        <f t="shared" si="70"/>
        <v>CLZ9</v>
      </c>
      <c r="AE366" s="80" t="str">
        <f t="shared" si="71"/>
        <v>LCOF0</v>
      </c>
      <c r="AF366" s="80" t="str">
        <f t="shared" si="72"/>
        <v>CLF0</v>
      </c>
      <c r="AG366" s="80" t="str">
        <f t="shared" si="73"/>
        <v>LCOG0</v>
      </c>
      <c r="AH366" s="80" t="str">
        <f t="shared" si="74"/>
        <v>LCOH0</v>
      </c>
    </row>
    <row r="367" spans="25:34" x14ac:dyDescent="0.35">
      <c r="Y367" s="74">
        <f t="shared" si="75"/>
        <v>43770</v>
      </c>
      <c r="Z367" s="74">
        <f t="shared" ca="1" si="66"/>
        <v>43789</v>
      </c>
      <c r="AA367" s="80" t="str">
        <f t="shared" ca="1" si="67"/>
        <v>CLZ9</v>
      </c>
      <c r="AB367" s="74">
        <f t="shared" si="69"/>
        <v>43798</v>
      </c>
      <c r="AC367" s="80" t="str">
        <f t="shared" si="68"/>
        <v>LCOF0</v>
      </c>
      <c r="AD367" s="80" t="str">
        <f t="shared" si="70"/>
        <v>CLF0</v>
      </c>
      <c r="AE367" s="80" t="str">
        <f t="shared" si="71"/>
        <v>LCOG0</v>
      </c>
      <c r="AF367" s="80" t="str">
        <f t="shared" si="72"/>
        <v>CLG0</v>
      </c>
      <c r="AG367" s="80" t="str">
        <f t="shared" si="73"/>
        <v>LCOH0</v>
      </c>
      <c r="AH367" s="80" t="str">
        <f t="shared" si="74"/>
        <v>LCOJ0</v>
      </c>
    </row>
    <row r="368" spans="25:34" x14ac:dyDescent="0.35">
      <c r="Y368" s="74">
        <f t="shared" si="75"/>
        <v>43771</v>
      </c>
      <c r="Z368" s="74">
        <f t="shared" ca="1" si="66"/>
        <v>43789</v>
      </c>
      <c r="AA368" s="80" t="str">
        <f t="shared" ca="1" si="67"/>
        <v>CLZ9</v>
      </c>
      <c r="AB368" s="74">
        <f t="shared" si="69"/>
        <v>43798</v>
      </c>
      <c r="AC368" s="80" t="str">
        <f t="shared" si="68"/>
        <v>LCOF0</v>
      </c>
      <c r="AD368" s="80" t="str">
        <f t="shared" si="70"/>
        <v>CLF0</v>
      </c>
      <c r="AE368" s="80" t="str">
        <f t="shared" si="71"/>
        <v>LCOG0</v>
      </c>
      <c r="AF368" s="80" t="str">
        <f t="shared" si="72"/>
        <v>CLG0</v>
      </c>
      <c r="AG368" s="80" t="str">
        <f t="shared" si="73"/>
        <v>LCOH0</v>
      </c>
      <c r="AH368" s="80" t="str">
        <f t="shared" si="74"/>
        <v>LCOJ0</v>
      </c>
    </row>
    <row r="369" spans="25:34" x14ac:dyDescent="0.35">
      <c r="Y369" s="74">
        <f t="shared" si="75"/>
        <v>43772</v>
      </c>
      <c r="Z369" s="74">
        <f t="shared" ca="1" si="66"/>
        <v>43789</v>
      </c>
      <c r="AA369" s="80" t="str">
        <f t="shared" ca="1" si="67"/>
        <v>CLZ9</v>
      </c>
      <c r="AB369" s="74">
        <f t="shared" si="69"/>
        <v>43798</v>
      </c>
      <c r="AC369" s="80" t="str">
        <f t="shared" si="68"/>
        <v>LCOF0</v>
      </c>
      <c r="AD369" s="80" t="str">
        <f t="shared" si="70"/>
        <v>CLF0</v>
      </c>
      <c r="AE369" s="80" t="str">
        <f t="shared" si="71"/>
        <v>LCOG0</v>
      </c>
      <c r="AF369" s="80" t="str">
        <f t="shared" si="72"/>
        <v>CLG0</v>
      </c>
      <c r="AG369" s="80" t="str">
        <f t="shared" si="73"/>
        <v>LCOH0</v>
      </c>
      <c r="AH369" s="80" t="str">
        <f t="shared" si="74"/>
        <v>LCOJ0</v>
      </c>
    </row>
    <row r="370" spans="25:34" x14ac:dyDescent="0.35">
      <c r="Y370" s="74">
        <f t="shared" si="75"/>
        <v>43773</v>
      </c>
      <c r="Z370" s="74">
        <f t="shared" ca="1" si="66"/>
        <v>43789</v>
      </c>
      <c r="AA370" s="80" t="str">
        <f t="shared" ca="1" si="67"/>
        <v>CLZ9</v>
      </c>
      <c r="AB370" s="74">
        <f t="shared" si="69"/>
        <v>43798</v>
      </c>
      <c r="AC370" s="80" t="str">
        <f t="shared" si="68"/>
        <v>LCOF0</v>
      </c>
      <c r="AD370" s="80" t="str">
        <f t="shared" si="70"/>
        <v>CLF0</v>
      </c>
      <c r="AE370" s="80" t="str">
        <f t="shared" si="71"/>
        <v>LCOG0</v>
      </c>
      <c r="AF370" s="80" t="str">
        <f t="shared" si="72"/>
        <v>CLG0</v>
      </c>
      <c r="AG370" s="80" t="str">
        <f t="shared" si="73"/>
        <v>LCOH0</v>
      </c>
      <c r="AH370" s="80" t="str">
        <f t="shared" si="74"/>
        <v>LCOJ0</v>
      </c>
    </row>
    <row r="371" spans="25:34" x14ac:dyDescent="0.35">
      <c r="Y371" s="74">
        <f t="shared" si="75"/>
        <v>43774</v>
      </c>
      <c r="Z371" s="74">
        <f t="shared" ca="1" si="66"/>
        <v>43789</v>
      </c>
      <c r="AA371" s="80" t="str">
        <f t="shared" ca="1" si="67"/>
        <v>CLZ9</v>
      </c>
      <c r="AB371" s="74">
        <f t="shared" si="69"/>
        <v>43798</v>
      </c>
      <c r="AC371" s="80" t="str">
        <f t="shared" si="68"/>
        <v>LCOF0</v>
      </c>
      <c r="AD371" s="80" t="str">
        <f t="shared" si="70"/>
        <v>CLF0</v>
      </c>
      <c r="AE371" s="80" t="str">
        <f t="shared" si="71"/>
        <v>LCOG0</v>
      </c>
      <c r="AF371" s="80" t="str">
        <f t="shared" si="72"/>
        <v>CLG0</v>
      </c>
      <c r="AG371" s="80" t="str">
        <f t="shared" si="73"/>
        <v>LCOH0</v>
      </c>
      <c r="AH371" s="80" t="str">
        <f t="shared" si="74"/>
        <v>LCOJ0</v>
      </c>
    </row>
    <row r="372" spans="25:34" x14ac:dyDescent="0.35">
      <c r="Y372" s="74">
        <f t="shared" si="75"/>
        <v>43775</v>
      </c>
      <c r="Z372" s="74">
        <f t="shared" ca="1" si="66"/>
        <v>43789</v>
      </c>
      <c r="AA372" s="80" t="str">
        <f t="shared" ca="1" si="67"/>
        <v>CLZ9</v>
      </c>
      <c r="AB372" s="74">
        <f t="shared" si="69"/>
        <v>43798</v>
      </c>
      <c r="AC372" s="80" t="str">
        <f t="shared" si="68"/>
        <v>LCOF0</v>
      </c>
      <c r="AD372" s="80" t="str">
        <f t="shared" si="70"/>
        <v>CLF0</v>
      </c>
      <c r="AE372" s="80" t="str">
        <f t="shared" si="71"/>
        <v>LCOG0</v>
      </c>
      <c r="AF372" s="80" t="str">
        <f t="shared" si="72"/>
        <v>CLG0</v>
      </c>
      <c r="AG372" s="80" t="str">
        <f t="shared" si="73"/>
        <v>LCOH0</v>
      </c>
      <c r="AH372" s="80" t="str">
        <f t="shared" si="74"/>
        <v>LCOJ0</v>
      </c>
    </row>
    <row r="373" spans="25:34" x14ac:dyDescent="0.35">
      <c r="Y373" s="74">
        <f t="shared" si="75"/>
        <v>43776</v>
      </c>
      <c r="Z373" s="74">
        <f t="shared" ca="1" si="66"/>
        <v>43789</v>
      </c>
      <c r="AA373" s="80" t="str">
        <f t="shared" ca="1" si="67"/>
        <v>CLZ9</v>
      </c>
      <c r="AB373" s="74">
        <f t="shared" si="69"/>
        <v>43798</v>
      </c>
      <c r="AC373" s="80" t="str">
        <f t="shared" si="68"/>
        <v>LCOF0</v>
      </c>
      <c r="AD373" s="80" t="str">
        <f t="shared" si="70"/>
        <v>CLF0</v>
      </c>
      <c r="AE373" s="80" t="str">
        <f t="shared" si="71"/>
        <v>LCOG0</v>
      </c>
      <c r="AF373" s="80" t="str">
        <f t="shared" si="72"/>
        <v>CLG0</v>
      </c>
      <c r="AG373" s="80" t="str">
        <f t="shared" si="73"/>
        <v>LCOH0</v>
      </c>
      <c r="AH373" s="80" t="str">
        <f t="shared" si="74"/>
        <v>LCOJ0</v>
      </c>
    </row>
    <row r="374" spans="25:34" x14ac:dyDescent="0.35">
      <c r="Y374" s="74">
        <f t="shared" si="75"/>
        <v>43777</v>
      </c>
      <c r="Z374" s="74">
        <f t="shared" ca="1" si="66"/>
        <v>43789</v>
      </c>
      <c r="AA374" s="80" t="str">
        <f t="shared" ca="1" si="67"/>
        <v>CLZ9</v>
      </c>
      <c r="AB374" s="74">
        <f t="shared" si="69"/>
        <v>43798</v>
      </c>
      <c r="AC374" s="80" t="str">
        <f t="shared" si="68"/>
        <v>LCOF0</v>
      </c>
      <c r="AD374" s="80" t="str">
        <f t="shared" si="70"/>
        <v>CLF0</v>
      </c>
      <c r="AE374" s="80" t="str">
        <f t="shared" si="71"/>
        <v>LCOG0</v>
      </c>
      <c r="AF374" s="80" t="str">
        <f t="shared" si="72"/>
        <v>CLG0</v>
      </c>
      <c r="AG374" s="80" t="str">
        <f t="shared" si="73"/>
        <v>LCOH0</v>
      </c>
      <c r="AH374" s="80" t="str">
        <f t="shared" si="74"/>
        <v>LCOJ0</v>
      </c>
    </row>
    <row r="375" spans="25:34" x14ac:dyDescent="0.35">
      <c r="Y375" s="74">
        <f t="shared" si="75"/>
        <v>43778</v>
      </c>
      <c r="Z375" s="74">
        <f t="shared" ca="1" si="66"/>
        <v>43789</v>
      </c>
      <c r="AA375" s="80" t="str">
        <f t="shared" ca="1" si="67"/>
        <v>CLZ9</v>
      </c>
      <c r="AB375" s="74">
        <f t="shared" si="69"/>
        <v>43798</v>
      </c>
      <c r="AC375" s="80" t="str">
        <f t="shared" si="68"/>
        <v>LCOF0</v>
      </c>
      <c r="AD375" s="80" t="str">
        <f t="shared" si="70"/>
        <v>CLF0</v>
      </c>
      <c r="AE375" s="80" t="str">
        <f t="shared" si="71"/>
        <v>LCOG0</v>
      </c>
      <c r="AF375" s="80" t="str">
        <f t="shared" si="72"/>
        <v>CLG0</v>
      </c>
      <c r="AG375" s="80" t="str">
        <f t="shared" si="73"/>
        <v>LCOH0</v>
      </c>
      <c r="AH375" s="80" t="str">
        <f t="shared" si="74"/>
        <v>LCOJ0</v>
      </c>
    </row>
    <row r="376" spans="25:34" x14ac:dyDescent="0.35">
      <c r="Y376" s="74">
        <f t="shared" si="75"/>
        <v>43779</v>
      </c>
      <c r="Z376" s="74">
        <f t="shared" ca="1" si="66"/>
        <v>43789</v>
      </c>
      <c r="AA376" s="80" t="str">
        <f t="shared" ca="1" si="67"/>
        <v>CLZ9</v>
      </c>
      <c r="AB376" s="74">
        <f t="shared" si="69"/>
        <v>43798</v>
      </c>
      <c r="AC376" s="80" t="str">
        <f t="shared" si="68"/>
        <v>LCOF0</v>
      </c>
      <c r="AD376" s="80" t="str">
        <f t="shared" si="70"/>
        <v>CLF0</v>
      </c>
      <c r="AE376" s="80" t="str">
        <f t="shared" si="71"/>
        <v>LCOG0</v>
      </c>
      <c r="AF376" s="80" t="str">
        <f t="shared" si="72"/>
        <v>CLG0</v>
      </c>
      <c r="AG376" s="80" t="str">
        <f t="shared" si="73"/>
        <v>LCOH0</v>
      </c>
      <c r="AH376" s="80" t="str">
        <f t="shared" si="74"/>
        <v>LCOJ0</v>
      </c>
    </row>
    <row r="377" spans="25:34" x14ac:dyDescent="0.35">
      <c r="Y377" s="74">
        <f t="shared" si="75"/>
        <v>43780</v>
      </c>
      <c r="Z377" s="74">
        <f t="shared" ca="1" si="66"/>
        <v>43789</v>
      </c>
      <c r="AA377" s="80" t="str">
        <f t="shared" ca="1" si="67"/>
        <v>CLZ9</v>
      </c>
      <c r="AB377" s="74">
        <f t="shared" si="69"/>
        <v>43798</v>
      </c>
      <c r="AC377" s="80" t="str">
        <f t="shared" si="68"/>
        <v>LCOF0</v>
      </c>
      <c r="AD377" s="80" t="str">
        <f t="shared" si="70"/>
        <v>CLF0</v>
      </c>
      <c r="AE377" s="80" t="str">
        <f t="shared" si="71"/>
        <v>LCOG0</v>
      </c>
      <c r="AF377" s="80" t="str">
        <f t="shared" si="72"/>
        <v>CLG0</v>
      </c>
      <c r="AG377" s="80" t="str">
        <f t="shared" si="73"/>
        <v>LCOH0</v>
      </c>
      <c r="AH377" s="80" t="str">
        <f t="shared" si="74"/>
        <v>LCOJ0</v>
      </c>
    </row>
    <row r="378" spans="25:34" x14ac:dyDescent="0.35">
      <c r="Y378" s="74">
        <f t="shared" si="75"/>
        <v>43781</v>
      </c>
      <c r="Z378" s="74">
        <f t="shared" ca="1" si="66"/>
        <v>43789</v>
      </c>
      <c r="AA378" s="80" t="str">
        <f t="shared" ca="1" si="67"/>
        <v>CLZ9</v>
      </c>
      <c r="AB378" s="74">
        <f t="shared" si="69"/>
        <v>43798</v>
      </c>
      <c r="AC378" s="80" t="str">
        <f t="shared" si="68"/>
        <v>LCOF0</v>
      </c>
      <c r="AD378" s="80" t="str">
        <f t="shared" si="70"/>
        <v>CLF0</v>
      </c>
      <c r="AE378" s="80" t="str">
        <f t="shared" si="71"/>
        <v>LCOG0</v>
      </c>
      <c r="AF378" s="80" t="str">
        <f t="shared" si="72"/>
        <v>CLG0</v>
      </c>
      <c r="AG378" s="80" t="str">
        <f t="shared" si="73"/>
        <v>LCOH0</v>
      </c>
      <c r="AH378" s="80" t="str">
        <f t="shared" si="74"/>
        <v>LCOJ0</v>
      </c>
    </row>
    <row r="379" spans="25:34" x14ac:dyDescent="0.35">
      <c r="Y379" s="74">
        <f t="shared" si="75"/>
        <v>43782</v>
      </c>
      <c r="Z379" s="74">
        <f t="shared" ca="1" si="66"/>
        <v>43789</v>
      </c>
      <c r="AA379" s="80" t="str">
        <f t="shared" ca="1" si="67"/>
        <v>CLZ9</v>
      </c>
      <c r="AB379" s="74">
        <f t="shared" si="69"/>
        <v>43798</v>
      </c>
      <c r="AC379" s="80" t="str">
        <f t="shared" si="68"/>
        <v>LCOF0</v>
      </c>
      <c r="AD379" s="80" t="str">
        <f t="shared" si="70"/>
        <v>CLF0</v>
      </c>
      <c r="AE379" s="80" t="str">
        <f t="shared" si="71"/>
        <v>LCOG0</v>
      </c>
      <c r="AF379" s="80" t="str">
        <f t="shared" si="72"/>
        <v>CLG0</v>
      </c>
      <c r="AG379" s="80" t="str">
        <f t="shared" si="73"/>
        <v>LCOH0</v>
      </c>
      <c r="AH379" s="80" t="str">
        <f t="shared" si="74"/>
        <v>LCOJ0</v>
      </c>
    </row>
    <row r="380" spans="25:34" x14ac:dyDescent="0.35">
      <c r="Y380" s="74">
        <f t="shared" si="75"/>
        <v>43783</v>
      </c>
      <c r="Z380" s="74">
        <f t="shared" ca="1" si="66"/>
        <v>43789</v>
      </c>
      <c r="AA380" s="80" t="str">
        <f t="shared" ca="1" si="67"/>
        <v>CLZ9</v>
      </c>
      <c r="AB380" s="74">
        <f t="shared" si="69"/>
        <v>43798</v>
      </c>
      <c r="AC380" s="80" t="str">
        <f t="shared" si="68"/>
        <v>LCOF0</v>
      </c>
      <c r="AD380" s="80" t="str">
        <f t="shared" si="70"/>
        <v>CLF0</v>
      </c>
      <c r="AE380" s="80" t="str">
        <f t="shared" si="71"/>
        <v>LCOG0</v>
      </c>
      <c r="AF380" s="80" t="str">
        <f t="shared" si="72"/>
        <v>CLG0</v>
      </c>
      <c r="AG380" s="80" t="str">
        <f t="shared" si="73"/>
        <v>LCOH0</v>
      </c>
      <c r="AH380" s="80" t="str">
        <f t="shared" si="74"/>
        <v>LCOJ0</v>
      </c>
    </row>
    <row r="381" spans="25:34" x14ac:dyDescent="0.35">
      <c r="Y381" s="74">
        <f t="shared" si="75"/>
        <v>43784</v>
      </c>
      <c r="Z381" s="74">
        <f t="shared" ca="1" si="66"/>
        <v>43789</v>
      </c>
      <c r="AA381" s="80" t="str">
        <f t="shared" ca="1" si="67"/>
        <v>CLZ9</v>
      </c>
      <c r="AB381" s="74">
        <f t="shared" si="69"/>
        <v>43798</v>
      </c>
      <c r="AC381" s="80" t="str">
        <f t="shared" si="68"/>
        <v>LCOF0</v>
      </c>
      <c r="AD381" s="80" t="str">
        <f t="shared" si="70"/>
        <v>CLF0</v>
      </c>
      <c r="AE381" s="80" t="str">
        <f t="shared" si="71"/>
        <v>LCOG0</v>
      </c>
      <c r="AF381" s="80" t="str">
        <f t="shared" si="72"/>
        <v>CLG0</v>
      </c>
      <c r="AG381" s="80" t="str">
        <f t="shared" si="73"/>
        <v>LCOH0</v>
      </c>
      <c r="AH381" s="80" t="str">
        <f t="shared" si="74"/>
        <v>LCOJ0</v>
      </c>
    </row>
    <row r="382" spans="25:34" x14ac:dyDescent="0.35">
      <c r="Y382" s="74">
        <f t="shared" si="75"/>
        <v>43785</v>
      </c>
      <c r="Z382" s="74">
        <f t="shared" ca="1" si="66"/>
        <v>43789</v>
      </c>
      <c r="AA382" s="80" t="str">
        <f t="shared" ca="1" si="67"/>
        <v>CLZ9</v>
      </c>
      <c r="AB382" s="74">
        <f t="shared" si="69"/>
        <v>43798</v>
      </c>
      <c r="AC382" s="80" t="str">
        <f t="shared" si="68"/>
        <v>LCOF0</v>
      </c>
      <c r="AD382" s="80" t="str">
        <f t="shared" si="70"/>
        <v>CLF0</v>
      </c>
      <c r="AE382" s="80" t="str">
        <f t="shared" si="71"/>
        <v>LCOG0</v>
      </c>
      <c r="AF382" s="80" t="str">
        <f t="shared" si="72"/>
        <v>CLG0</v>
      </c>
      <c r="AG382" s="80" t="str">
        <f t="shared" si="73"/>
        <v>LCOH0</v>
      </c>
      <c r="AH382" s="80" t="str">
        <f t="shared" si="74"/>
        <v>LCOJ0</v>
      </c>
    </row>
    <row r="383" spans="25:34" x14ac:dyDescent="0.35">
      <c r="Y383" s="74">
        <f t="shared" si="75"/>
        <v>43786</v>
      </c>
      <c r="Z383" s="74">
        <f t="shared" ca="1" si="66"/>
        <v>43789</v>
      </c>
      <c r="AA383" s="80" t="str">
        <f t="shared" ca="1" si="67"/>
        <v>CLZ9</v>
      </c>
      <c r="AB383" s="74">
        <f t="shared" si="69"/>
        <v>43798</v>
      </c>
      <c r="AC383" s="80" t="str">
        <f t="shared" si="68"/>
        <v>LCOF0</v>
      </c>
      <c r="AD383" s="80" t="str">
        <f t="shared" si="70"/>
        <v>CLF0</v>
      </c>
      <c r="AE383" s="80" t="str">
        <f t="shared" si="71"/>
        <v>LCOG0</v>
      </c>
      <c r="AF383" s="80" t="str">
        <f t="shared" si="72"/>
        <v>CLG0</v>
      </c>
      <c r="AG383" s="80" t="str">
        <f t="shared" si="73"/>
        <v>LCOH0</v>
      </c>
      <c r="AH383" s="80" t="str">
        <f t="shared" si="74"/>
        <v>LCOJ0</v>
      </c>
    </row>
    <row r="384" spans="25:34" x14ac:dyDescent="0.35">
      <c r="Y384" s="74">
        <f t="shared" si="75"/>
        <v>43787</v>
      </c>
      <c r="Z384" s="74">
        <f t="shared" ca="1" si="66"/>
        <v>43789</v>
      </c>
      <c r="AA384" s="80" t="str">
        <f t="shared" ca="1" si="67"/>
        <v>CLZ9</v>
      </c>
      <c r="AB384" s="74">
        <f t="shared" si="69"/>
        <v>43798</v>
      </c>
      <c r="AC384" s="80" t="str">
        <f t="shared" si="68"/>
        <v>LCOF0</v>
      </c>
      <c r="AD384" s="80" t="str">
        <f t="shared" si="70"/>
        <v>CLF0</v>
      </c>
      <c r="AE384" s="80" t="str">
        <f t="shared" si="71"/>
        <v>LCOG0</v>
      </c>
      <c r="AF384" s="80" t="str">
        <f t="shared" si="72"/>
        <v>CLG0</v>
      </c>
      <c r="AG384" s="80" t="str">
        <f t="shared" si="73"/>
        <v>LCOH0</v>
      </c>
      <c r="AH384" s="80" t="str">
        <f t="shared" si="74"/>
        <v>LCOJ0</v>
      </c>
    </row>
    <row r="385" spans="25:34" x14ac:dyDescent="0.35">
      <c r="Y385" s="74">
        <f t="shared" si="75"/>
        <v>43788</v>
      </c>
      <c r="Z385" s="74">
        <f t="shared" ca="1" si="66"/>
        <v>43789</v>
      </c>
      <c r="AA385" s="80" t="str">
        <f t="shared" ca="1" si="67"/>
        <v>CLZ9</v>
      </c>
      <c r="AB385" s="74">
        <f t="shared" si="69"/>
        <v>43798</v>
      </c>
      <c r="AC385" s="80" t="str">
        <f t="shared" si="68"/>
        <v>LCOF0</v>
      </c>
      <c r="AD385" s="80" t="str">
        <f t="shared" si="70"/>
        <v>CLF0</v>
      </c>
      <c r="AE385" s="80" t="str">
        <f t="shared" si="71"/>
        <v>LCOG0</v>
      </c>
      <c r="AF385" s="80" t="str">
        <f t="shared" si="72"/>
        <v>CLG0</v>
      </c>
      <c r="AG385" s="80" t="str">
        <f t="shared" si="73"/>
        <v>LCOH0</v>
      </c>
      <c r="AH385" s="80" t="str">
        <f t="shared" si="74"/>
        <v>LCOJ0</v>
      </c>
    </row>
    <row r="386" spans="25:34" x14ac:dyDescent="0.35">
      <c r="Y386" s="74">
        <f t="shared" si="75"/>
        <v>43789</v>
      </c>
      <c r="Z386" s="74">
        <f t="shared" ref="Z386:Z449" ca="1" si="76">VLOOKUP(AA386,$I$2:$K$39,3,FALSE)</f>
        <v>43789</v>
      </c>
      <c r="AA386" s="80" t="str">
        <f t="shared" ref="AA386:AA449" ca="1" si="77">LOOKUP(2,1/($J$2:$J$700&lt;=$Y386)/($K$2:$K$700&gt;=$Y386),$L$2:$L$700)</f>
        <v>CLZ9</v>
      </c>
      <c r="AB386" s="74">
        <f t="shared" si="69"/>
        <v>43798</v>
      </c>
      <c r="AC386" s="80" t="str">
        <f t="shared" ref="AC386:AC449" si="78">LOOKUP(2,1/($R$2:$R$700&lt;=$Y386)/($S$2:$S$700&gt;=$Y386),$T$2:$T$700)</f>
        <v>LCOF0</v>
      </c>
      <c r="AD386" s="80" t="str">
        <f t="shared" si="70"/>
        <v>CLF0</v>
      </c>
      <c r="AE386" s="80" t="str">
        <f t="shared" si="71"/>
        <v>LCOG0</v>
      </c>
      <c r="AF386" s="80" t="str">
        <f t="shared" si="72"/>
        <v>CLG0</v>
      </c>
      <c r="AG386" s="80" t="str">
        <f t="shared" si="73"/>
        <v>LCOH0</v>
      </c>
      <c r="AH386" s="80" t="str">
        <f t="shared" si="74"/>
        <v>LCOJ0</v>
      </c>
    </row>
    <row r="387" spans="25:34" x14ac:dyDescent="0.35">
      <c r="Y387" s="74">
        <f t="shared" si="75"/>
        <v>43790</v>
      </c>
      <c r="Z387" s="74">
        <f t="shared" ca="1" si="76"/>
        <v>43818</v>
      </c>
      <c r="AA387" s="80" t="str">
        <f t="shared" ca="1" si="77"/>
        <v>CLF0</v>
      </c>
      <c r="AB387" s="74">
        <f t="shared" ref="AB387:AB450" si="79">VLOOKUP(AC387,$Q$2:$S$39,3,FALSE)</f>
        <v>43798</v>
      </c>
      <c r="AC387" s="80" t="str">
        <f t="shared" si="78"/>
        <v>LCOF0</v>
      </c>
      <c r="AD387" s="80" t="str">
        <f t="shared" ref="AD387:AD450" si="80">CONCATENATE("CL",RIGHT(AC387,2))</f>
        <v>CLF0</v>
      </c>
      <c r="AE387" s="80" t="str">
        <f t="shared" ref="AE387:AE450" si="81">LOOKUP(2,1/($R$2:$R$700&lt;=$Y387)/($S$2:$S$700&gt;=$Y387),$U$2:$U$700)</f>
        <v>LCOG0</v>
      </c>
      <c r="AF387" s="80" t="str">
        <f t="shared" ref="AF387:AF450" si="82">CONCATENATE("CL",RIGHT(AE387,2))</f>
        <v>CLG0</v>
      </c>
      <c r="AG387" s="80" t="str">
        <f t="shared" ref="AG387:AG450" si="83">LOOKUP(2,1/($R$2:$R$700&lt;=$Y387)/($S$2:$S$700&gt;=$Y387),$V$2:$V$700)</f>
        <v>LCOH0</v>
      </c>
      <c r="AH387" s="80" t="str">
        <f t="shared" ref="AH387:AH450" si="84">LOOKUP(2,1/($R$2:$R$700&lt;=$Y387)/($S$2:$S$700&gt;=$Y387),$W$2:$W$700)</f>
        <v>LCOJ0</v>
      </c>
    </row>
    <row r="388" spans="25:34" x14ac:dyDescent="0.35">
      <c r="Y388" s="74">
        <f t="shared" si="75"/>
        <v>43791</v>
      </c>
      <c r="Z388" s="74">
        <f t="shared" ca="1" si="76"/>
        <v>43818</v>
      </c>
      <c r="AA388" s="80" t="str">
        <f t="shared" ca="1" si="77"/>
        <v>CLF0</v>
      </c>
      <c r="AB388" s="74">
        <f t="shared" si="79"/>
        <v>43798</v>
      </c>
      <c r="AC388" s="80" t="str">
        <f t="shared" si="78"/>
        <v>LCOF0</v>
      </c>
      <c r="AD388" s="80" t="str">
        <f t="shared" si="80"/>
        <v>CLF0</v>
      </c>
      <c r="AE388" s="80" t="str">
        <f t="shared" si="81"/>
        <v>LCOG0</v>
      </c>
      <c r="AF388" s="80" t="str">
        <f t="shared" si="82"/>
        <v>CLG0</v>
      </c>
      <c r="AG388" s="80" t="str">
        <f t="shared" si="83"/>
        <v>LCOH0</v>
      </c>
      <c r="AH388" s="80" t="str">
        <f t="shared" si="84"/>
        <v>LCOJ0</v>
      </c>
    </row>
    <row r="389" spans="25:34" x14ac:dyDescent="0.35">
      <c r="Y389" s="74">
        <f t="shared" si="75"/>
        <v>43792</v>
      </c>
      <c r="Z389" s="74">
        <f t="shared" ca="1" si="76"/>
        <v>43818</v>
      </c>
      <c r="AA389" s="80" t="str">
        <f t="shared" ca="1" si="77"/>
        <v>CLF0</v>
      </c>
      <c r="AB389" s="74">
        <f t="shared" si="79"/>
        <v>43798</v>
      </c>
      <c r="AC389" s="80" t="str">
        <f t="shared" si="78"/>
        <v>LCOF0</v>
      </c>
      <c r="AD389" s="80" t="str">
        <f t="shared" si="80"/>
        <v>CLF0</v>
      </c>
      <c r="AE389" s="80" t="str">
        <f t="shared" si="81"/>
        <v>LCOG0</v>
      </c>
      <c r="AF389" s="80" t="str">
        <f t="shared" si="82"/>
        <v>CLG0</v>
      </c>
      <c r="AG389" s="80" t="str">
        <f t="shared" si="83"/>
        <v>LCOH0</v>
      </c>
      <c r="AH389" s="80" t="str">
        <f t="shared" si="84"/>
        <v>LCOJ0</v>
      </c>
    </row>
    <row r="390" spans="25:34" x14ac:dyDescent="0.35">
      <c r="Y390" s="74">
        <f t="shared" si="75"/>
        <v>43793</v>
      </c>
      <c r="Z390" s="74">
        <f t="shared" ca="1" si="76"/>
        <v>43818</v>
      </c>
      <c r="AA390" s="80" t="str">
        <f t="shared" ca="1" si="77"/>
        <v>CLF0</v>
      </c>
      <c r="AB390" s="74">
        <f t="shared" si="79"/>
        <v>43798</v>
      </c>
      <c r="AC390" s="80" t="str">
        <f t="shared" si="78"/>
        <v>LCOF0</v>
      </c>
      <c r="AD390" s="80" t="str">
        <f t="shared" si="80"/>
        <v>CLF0</v>
      </c>
      <c r="AE390" s="80" t="str">
        <f t="shared" si="81"/>
        <v>LCOG0</v>
      </c>
      <c r="AF390" s="80" t="str">
        <f t="shared" si="82"/>
        <v>CLG0</v>
      </c>
      <c r="AG390" s="80" t="str">
        <f t="shared" si="83"/>
        <v>LCOH0</v>
      </c>
      <c r="AH390" s="80" t="str">
        <f t="shared" si="84"/>
        <v>LCOJ0</v>
      </c>
    </row>
    <row r="391" spans="25:34" x14ac:dyDescent="0.35">
      <c r="Y391" s="74">
        <f t="shared" si="75"/>
        <v>43794</v>
      </c>
      <c r="Z391" s="74">
        <f t="shared" ca="1" si="76"/>
        <v>43818</v>
      </c>
      <c r="AA391" s="80" t="str">
        <f t="shared" ca="1" si="77"/>
        <v>CLF0</v>
      </c>
      <c r="AB391" s="74">
        <f t="shared" si="79"/>
        <v>43798</v>
      </c>
      <c r="AC391" s="80" t="str">
        <f t="shared" si="78"/>
        <v>LCOF0</v>
      </c>
      <c r="AD391" s="80" t="str">
        <f t="shared" si="80"/>
        <v>CLF0</v>
      </c>
      <c r="AE391" s="80" t="str">
        <f t="shared" si="81"/>
        <v>LCOG0</v>
      </c>
      <c r="AF391" s="80" t="str">
        <f t="shared" si="82"/>
        <v>CLG0</v>
      </c>
      <c r="AG391" s="80" t="str">
        <f t="shared" si="83"/>
        <v>LCOH0</v>
      </c>
      <c r="AH391" s="80" t="str">
        <f t="shared" si="84"/>
        <v>LCOJ0</v>
      </c>
    </row>
    <row r="392" spans="25:34" x14ac:dyDescent="0.35">
      <c r="Y392" s="74">
        <f t="shared" si="75"/>
        <v>43795</v>
      </c>
      <c r="Z392" s="74">
        <f t="shared" ca="1" si="76"/>
        <v>43818</v>
      </c>
      <c r="AA392" s="80" t="str">
        <f t="shared" ca="1" si="77"/>
        <v>CLF0</v>
      </c>
      <c r="AB392" s="74">
        <f t="shared" si="79"/>
        <v>43798</v>
      </c>
      <c r="AC392" s="80" t="str">
        <f t="shared" si="78"/>
        <v>LCOF0</v>
      </c>
      <c r="AD392" s="80" t="str">
        <f t="shared" si="80"/>
        <v>CLF0</v>
      </c>
      <c r="AE392" s="80" t="str">
        <f t="shared" si="81"/>
        <v>LCOG0</v>
      </c>
      <c r="AF392" s="80" t="str">
        <f t="shared" si="82"/>
        <v>CLG0</v>
      </c>
      <c r="AG392" s="80" t="str">
        <f t="shared" si="83"/>
        <v>LCOH0</v>
      </c>
      <c r="AH392" s="80" t="str">
        <f t="shared" si="84"/>
        <v>LCOJ0</v>
      </c>
    </row>
    <row r="393" spans="25:34" x14ac:dyDescent="0.35">
      <c r="Y393" s="74">
        <f t="shared" si="75"/>
        <v>43796</v>
      </c>
      <c r="Z393" s="74">
        <f t="shared" ca="1" si="76"/>
        <v>43818</v>
      </c>
      <c r="AA393" s="80" t="str">
        <f t="shared" ca="1" si="77"/>
        <v>CLF0</v>
      </c>
      <c r="AB393" s="74">
        <f t="shared" si="79"/>
        <v>43798</v>
      </c>
      <c r="AC393" s="80" t="str">
        <f t="shared" si="78"/>
        <v>LCOF0</v>
      </c>
      <c r="AD393" s="80" t="str">
        <f t="shared" si="80"/>
        <v>CLF0</v>
      </c>
      <c r="AE393" s="80" t="str">
        <f t="shared" si="81"/>
        <v>LCOG0</v>
      </c>
      <c r="AF393" s="80" t="str">
        <f t="shared" si="82"/>
        <v>CLG0</v>
      </c>
      <c r="AG393" s="80" t="str">
        <f t="shared" si="83"/>
        <v>LCOH0</v>
      </c>
      <c r="AH393" s="80" t="str">
        <f t="shared" si="84"/>
        <v>LCOJ0</v>
      </c>
    </row>
    <row r="394" spans="25:34" x14ac:dyDescent="0.35">
      <c r="Y394" s="74">
        <f t="shared" si="75"/>
        <v>43797</v>
      </c>
      <c r="Z394" s="74">
        <f t="shared" ca="1" si="76"/>
        <v>43818</v>
      </c>
      <c r="AA394" s="80" t="str">
        <f t="shared" ca="1" si="77"/>
        <v>CLF0</v>
      </c>
      <c r="AB394" s="74">
        <f t="shared" si="79"/>
        <v>43798</v>
      </c>
      <c r="AC394" s="80" t="str">
        <f t="shared" si="78"/>
        <v>LCOF0</v>
      </c>
      <c r="AD394" s="80" t="str">
        <f t="shared" si="80"/>
        <v>CLF0</v>
      </c>
      <c r="AE394" s="80" t="str">
        <f t="shared" si="81"/>
        <v>LCOG0</v>
      </c>
      <c r="AF394" s="80" t="str">
        <f t="shared" si="82"/>
        <v>CLG0</v>
      </c>
      <c r="AG394" s="80" t="str">
        <f t="shared" si="83"/>
        <v>LCOH0</v>
      </c>
      <c r="AH394" s="80" t="str">
        <f t="shared" si="84"/>
        <v>LCOJ0</v>
      </c>
    </row>
    <row r="395" spans="25:34" x14ac:dyDescent="0.35">
      <c r="Y395" s="74">
        <f t="shared" si="75"/>
        <v>43798</v>
      </c>
      <c r="Z395" s="74">
        <f t="shared" ca="1" si="76"/>
        <v>43818</v>
      </c>
      <c r="AA395" s="80" t="str">
        <f t="shared" ca="1" si="77"/>
        <v>CLF0</v>
      </c>
      <c r="AB395" s="74">
        <f t="shared" si="79"/>
        <v>43798</v>
      </c>
      <c r="AC395" s="80" t="str">
        <f t="shared" si="78"/>
        <v>LCOF0</v>
      </c>
      <c r="AD395" s="80" t="str">
        <f t="shared" si="80"/>
        <v>CLF0</v>
      </c>
      <c r="AE395" s="80" t="str">
        <f t="shared" si="81"/>
        <v>LCOG0</v>
      </c>
      <c r="AF395" s="80" t="str">
        <f t="shared" si="82"/>
        <v>CLG0</v>
      </c>
      <c r="AG395" s="80" t="str">
        <f t="shared" si="83"/>
        <v>LCOH0</v>
      </c>
      <c r="AH395" s="80" t="str">
        <f t="shared" si="84"/>
        <v>LCOJ0</v>
      </c>
    </row>
    <row r="396" spans="25:34" x14ac:dyDescent="0.35">
      <c r="Y396" s="74">
        <f t="shared" si="75"/>
        <v>43799</v>
      </c>
      <c r="Z396" s="74">
        <f t="shared" ca="1" si="76"/>
        <v>43818</v>
      </c>
      <c r="AA396" s="80" t="str">
        <f t="shared" ca="1" si="77"/>
        <v>CLF0</v>
      </c>
      <c r="AB396" s="74">
        <f t="shared" si="79"/>
        <v>43829</v>
      </c>
      <c r="AC396" s="80" t="str">
        <f t="shared" si="78"/>
        <v>LCOG0</v>
      </c>
      <c r="AD396" s="80" t="str">
        <f t="shared" si="80"/>
        <v>CLG0</v>
      </c>
      <c r="AE396" s="80" t="str">
        <f t="shared" si="81"/>
        <v>LCOH0</v>
      </c>
      <c r="AF396" s="80" t="str">
        <f t="shared" si="82"/>
        <v>CLH0</v>
      </c>
      <c r="AG396" s="80" t="str">
        <f t="shared" si="83"/>
        <v>LCOJ0</v>
      </c>
      <c r="AH396" s="80" t="str">
        <f t="shared" si="84"/>
        <v>LCOK0</v>
      </c>
    </row>
    <row r="397" spans="25:34" x14ac:dyDescent="0.35">
      <c r="Y397" s="74">
        <f t="shared" si="75"/>
        <v>43800</v>
      </c>
      <c r="Z397" s="74">
        <f t="shared" ca="1" si="76"/>
        <v>43818</v>
      </c>
      <c r="AA397" s="80" t="str">
        <f t="shared" ca="1" si="77"/>
        <v>CLF0</v>
      </c>
      <c r="AB397" s="74">
        <f t="shared" si="79"/>
        <v>43829</v>
      </c>
      <c r="AC397" s="80" t="str">
        <f t="shared" si="78"/>
        <v>LCOG0</v>
      </c>
      <c r="AD397" s="80" t="str">
        <f t="shared" si="80"/>
        <v>CLG0</v>
      </c>
      <c r="AE397" s="80" t="str">
        <f t="shared" si="81"/>
        <v>LCOH0</v>
      </c>
      <c r="AF397" s="80" t="str">
        <f t="shared" si="82"/>
        <v>CLH0</v>
      </c>
      <c r="AG397" s="80" t="str">
        <f t="shared" si="83"/>
        <v>LCOJ0</v>
      </c>
      <c r="AH397" s="80" t="str">
        <f t="shared" si="84"/>
        <v>LCOK0</v>
      </c>
    </row>
    <row r="398" spans="25:34" x14ac:dyDescent="0.35">
      <c r="Y398" s="74">
        <f t="shared" si="75"/>
        <v>43801</v>
      </c>
      <c r="Z398" s="74">
        <f t="shared" ca="1" si="76"/>
        <v>43818</v>
      </c>
      <c r="AA398" s="80" t="str">
        <f t="shared" ca="1" si="77"/>
        <v>CLF0</v>
      </c>
      <c r="AB398" s="74">
        <f t="shared" si="79"/>
        <v>43829</v>
      </c>
      <c r="AC398" s="80" t="str">
        <f t="shared" si="78"/>
        <v>LCOG0</v>
      </c>
      <c r="AD398" s="80" t="str">
        <f t="shared" si="80"/>
        <v>CLG0</v>
      </c>
      <c r="AE398" s="80" t="str">
        <f t="shared" si="81"/>
        <v>LCOH0</v>
      </c>
      <c r="AF398" s="80" t="str">
        <f t="shared" si="82"/>
        <v>CLH0</v>
      </c>
      <c r="AG398" s="80" t="str">
        <f t="shared" si="83"/>
        <v>LCOJ0</v>
      </c>
      <c r="AH398" s="80" t="str">
        <f t="shared" si="84"/>
        <v>LCOK0</v>
      </c>
    </row>
    <row r="399" spans="25:34" x14ac:dyDescent="0.35">
      <c r="Y399" s="74">
        <f t="shared" si="75"/>
        <v>43802</v>
      </c>
      <c r="Z399" s="74">
        <f t="shared" ca="1" si="76"/>
        <v>43818</v>
      </c>
      <c r="AA399" s="80" t="str">
        <f t="shared" ca="1" si="77"/>
        <v>CLF0</v>
      </c>
      <c r="AB399" s="74">
        <f t="shared" si="79"/>
        <v>43829</v>
      </c>
      <c r="AC399" s="80" t="str">
        <f t="shared" si="78"/>
        <v>LCOG0</v>
      </c>
      <c r="AD399" s="80" t="str">
        <f t="shared" si="80"/>
        <v>CLG0</v>
      </c>
      <c r="AE399" s="80" t="str">
        <f t="shared" si="81"/>
        <v>LCOH0</v>
      </c>
      <c r="AF399" s="80" t="str">
        <f t="shared" si="82"/>
        <v>CLH0</v>
      </c>
      <c r="AG399" s="80" t="str">
        <f t="shared" si="83"/>
        <v>LCOJ0</v>
      </c>
      <c r="AH399" s="80" t="str">
        <f t="shared" si="84"/>
        <v>LCOK0</v>
      </c>
    </row>
    <row r="400" spans="25:34" x14ac:dyDescent="0.35">
      <c r="Y400" s="74">
        <f t="shared" si="75"/>
        <v>43803</v>
      </c>
      <c r="Z400" s="74">
        <f t="shared" ca="1" si="76"/>
        <v>43818</v>
      </c>
      <c r="AA400" s="80" t="str">
        <f t="shared" ca="1" si="77"/>
        <v>CLF0</v>
      </c>
      <c r="AB400" s="74">
        <f t="shared" si="79"/>
        <v>43829</v>
      </c>
      <c r="AC400" s="80" t="str">
        <f t="shared" si="78"/>
        <v>LCOG0</v>
      </c>
      <c r="AD400" s="80" t="str">
        <f t="shared" si="80"/>
        <v>CLG0</v>
      </c>
      <c r="AE400" s="80" t="str">
        <f t="shared" si="81"/>
        <v>LCOH0</v>
      </c>
      <c r="AF400" s="80" t="str">
        <f t="shared" si="82"/>
        <v>CLH0</v>
      </c>
      <c r="AG400" s="80" t="str">
        <f t="shared" si="83"/>
        <v>LCOJ0</v>
      </c>
      <c r="AH400" s="80" t="str">
        <f t="shared" si="84"/>
        <v>LCOK0</v>
      </c>
    </row>
    <row r="401" spans="25:34" x14ac:dyDescent="0.35">
      <c r="Y401" s="74">
        <f t="shared" si="75"/>
        <v>43804</v>
      </c>
      <c r="Z401" s="74">
        <f t="shared" ca="1" si="76"/>
        <v>43818</v>
      </c>
      <c r="AA401" s="80" t="str">
        <f t="shared" ca="1" si="77"/>
        <v>CLF0</v>
      </c>
      <c r="AB401" s="74">
        <f t="shared" si="79"/>
        <v>43829</v>
      </c>
      <c r="AC401" s="80" t="str">
        <f t="shared" si="78"/>
        <v>LCOG0</v>
      </c>
      <c r="AD401" s="80" t="str">
        <f t="shared" si="80"/>
        <v>CLG0</v>
      </c>
      <c r="AE401" s="80" t="str">
        <f t="shared" si="81"/>
        <v>LCOH0</v>
      </c>
      <c r="AF401" s="80" t="str">
        <f t="shared" si="82"/>
        <v>CLH0</v>
      </c>
      <c r="AG401" s="80" t="str">
        <f t="shared" si="83"/>
        <v>LCOJ0</v>
      </c>
      <c r="AH401" s="80" t="str">
        <f t="shared" si="84"/>
        <v>LCOK0</v>
      </c>
    </row>
    <row r="402" spans="25:34" x14ac:dyDescent="0.35">
      <c r="Y402" s="74">
        <f t="shared" si="75"/>
        <v>43805</v>
      </c>
      <c r="Z402" s="74">
        <f t="shared" ca="1" si="76"/>
        <v>43818</v>
      </c>
      <c r="AA402" s="80" t="str">
        <f t="shared" ca="1" si="77"/>
        <v>CLF0</v>
      </c>
      <c r="AB402" s="74">
        <f t="shared" si="79"/>
        <v>43829</v>
      </c>
      <c r="AC402" s="80" t="str">
        <f t="shared" si="78"/>
        <v>LCOG0</v>
      </c>
      <c r="AD402" s="80" t="str">
        <f t="shared" si="80"/>
        <v>CLG0</v>
      </c>
      <c r="AE402" s="80" t="str">
        <f t="shared" si="81"/>
        <v>LCOH0</v>
      </c>
      <c r="AF402" s="80" t="str">
        <f t="shared" si="82"/>
        <v>CLH0</v>
      </c>
      <c r="AG402" s="80" t="str">
        <f t="shared" si="83"/>
        <v>LCOJ0</v>
      </c>
      <c r="AH402" s="80" t="str">
        <f t="shared" si="84"/>
        <v>LCOK0</v>
      </c>
    </row>
    <row r="403" spans="25:34" x14ac:dyDescent="0.35">
      <c r="Y403" s="74">
        <f t="shared" si="75"/>
        <v>43806</v>
      </c>
      <c r="Z403" s="74">
        <f t="shared" ca="1" si="76"/>
        <v>43818</v>
      </c>
      <c r="AA403" s="80" t="str">
        <f t="shared" ca="1" si="77"/>
        <v>CLF0</v>
      </c>
      <c r="AB403" s="74">
        <f t="shared" si="79"/>
        <v>43829</v>
      </c>
      <c r="AC403" s="80" t="str">
        <f t="shared" si="78"/>
        <v>LCOG0</v>
      </c>
      <c r="AD403" s="80" t="str">
        <f t="shared" si="80"/>
        <v>CLG0</v>
      </c>
      <c r="AE403" s="80" t="str">
        <f t="shared" si="81"/>
        <v>LCOH0</v>
      </c>
      <c r="AF403" s="80" t="str">
        <f t="shared" si="82"/>
        <v>CLH0</v>
      </c>
      <c r="AG403" s="80" t="str">
        <f t="shared" si="83"/>
        <v>LCOJ0</v>
      </c>
      <c r="AH403" s="80" t="str">
        <f t="shared" si="84"/>
        <v>LCOK0</v>
      </c>
    </row>
    <row r="404" spans="25:34" x14ac:dyDescent="0.35">
      <c r="Y404" s="74">
        <f t="shared" si="75"/>
        <v>43807</v>
      </c>
      <c r="Z404" s="74">
        <f t="shared" ca="1" si="76"/>
        <v>43818</v>
      </c>
      <c r="AA404" s="80" t="str">
        <f t="shared" ca="1" si="77"/>
        <v>CLF0</v>
      </c>
      <c r="AB404" s="74">
        <f t="shared" si="79"/>
        <v>43829</v>
      </c>
      <c r="AC404" s="80" t="str">
        <f t="shared" si="78"/>
        <v>LCOG0</v>
      </c>
      <c r="AD404" s="80" t="str">
        <f t="shared" si="80"/>
        <v>CLG0</v>
      </c>
      <c r="AE404" s="80" t="str">
        <f t="shared" si="81"/>
        <v>LCOH0</v>
      </c>
      <c r="AF404" s="80" t="str">
        <f t="shared" si="82"/>
        <v>CLH0</v>
      </c>
      <c r="AG404" s="80" t="str">
        <f t="shared" si="83"/>
        <v>LCOJ0</v>
      </c>
      <c r="AH404" s="80" t="str">
        <f t="shared" si="84"/>
        <v>LCOK0</v>
      </c>
    </row>
    <row r="405" spans="25:34" x14ac:dyDescent="0.35">
      <c r="Y405" s="74">
        <f t="shared" si="75"/>
        <v>43808</v>
      </c>
      <c r="Z405" s="74">
        <f t="shared" ca="1" si="76"/>
        <v>43818</v>
      </c>
      <c r="AA405" s="80" t="str">
        <f t="shared" ca="1" si="77"/>
        <v>CLF0</v>
      </c>
      <c r="AB405" s="74">
        <f t="shared" si="79"/>
        <v>43829</v>
      </c>
      <c r="AC405" s="80" t="str">
        <f t="shared" si="78"/>
        <v>LCOG0</v>
      </c>
      <c r="AD405" s="80" t="str">
        <f t="shared" si="80"/>
        <v>CLG0</v>
      </c>
      <c r="AE405" s="80" t="str">
        <f t="shared" si="81"/>
        <v>LCOH0</v>
      </c>
      <c r="AF405" s="80" t="str">
        <f t="shared" si="82"/>
        <v>CLH0</v>
      </c>
      <c r="AG405" s="80" t="str">
        <f t="shared" si="83"/>
        <v>LCOJ0</v>
      </c>
      <c r="AH405" s="80" t="str">
        <f t="shared" si="84"/>
        <v>LCOK0</v>
      </c>
    </row>
    <row r="406" spans="25:34" x14ac:dyDescent="0.35">
      <c r="Y406" s="74">
        <f t="shared" si="75"/>
        <v>43809</v>
      </c>
      <c r="Z406" s="74">
        <f t="shared" ca="1" si="76"/>
        <v>43818</v>
      </c>
      <c r="AA406" s="80" t="str">
        <f t="shared" ca="1" si="77"/>
        <v>CLF0</v>
      </c>
      <c r="AB406" s="74">
        <f t="shared" si="79"/>
        <v>43829</v>
      </c>
      <c r="AC406" s="80" t="str">
        <f t="shared" si="78"/>
        <v>LCOG0</v>
      </c>
      <c r="AD406" s="80" t="str">
        <f t="shared" si="80"/>
        <v>CLG0</v>
      </c>
      <c r="AE406" s="80" t="str">
        <f t="shared" si="81"/>
        <v>LCOH0</v>
      </c>
      <c r="AF406" s="80" t="str">
        <f t="shared" si="82"/>
        <v>CLH0</v>
      </c>
      <c r="AG406" s="80" t="str">
        <f t="shared" si="83"/>
        <v>LCOJ0</v>
      </c>
      <c r="AH406" s="80" t="str">
        <f t="shared" si="84"/>
        <v>LCOK0</v>
      </c>
    </row>
    <row r="407" spans="25:34" x14ac:dyDescent="0.35">
      <c r="Y407" s="74">
        <f t="shared" si="75"/>
        <v>43810</v>
      </c>
      <c r="Z407" s="74">
        <f t="shared" ca="1" si="76"/>
        <v>43818</v>
      </c>
      <c r="AA407" s="80" t="str">
        <f t="shared" ca="1" si="77"/>
        <v>CLF0</v>
      </c>
      <c r="AB407" s="74">
        <f t="shared" si="79"/>
        <v>43829</v>
      </c>
      <c r="AC407" s="80" t="str">
        <f t="shared" si="78"/>
        <v>LCOG0</v>
      </c>
      <c r="AD407" s="80" t="str">
        <f t="shared" si="80"/>
        <v>CLG0</v>
      </c>
      <c r="AE407" s="80" t="str">
        <f t="shared" si="81"/>
        <v>LCOH0</v>
      </c>
      <c r="AF407" s="80" t="str">
        <f t="shared" si="82"/>
        <v>CLH0</v>
      </c>
      <c r="AG407" s="80" t="str">
        <f t="shared" si="83"/>
        <v>LCOJ0</v>
      </c>
      <c r="AH407" s="80" t="str">
        <f t="shared" si="84"/>
        <v>LCOK0</v>
      </c>
    </row>
    <row r="408" spans="25:34" x14ac:dyDescent="0.35">
      <c r="Y408" s="74">
        <f t="shared" si="75"/>
        <v>43811</v>
      </c>
      <c r="Z408" s="74">
        <f t="shared" ca="1" si="76"/>
        <v>43818</v>
      </c>
      <c r="AA408" s="80" t="str">
        <f t="shared" ca="1" si="77"/>
        <v>CLF0</v>
      </c>
      <c r="AB408" s="74">
        <f t="shared" si="79"/>
        <v>43829</v>
      </c>
      <c r="AC408" s="80" t="str">
        <f t="shared" si="78"/>
        <v>LCOG0</v>
      </c>
      <c r="AD408" s="80" t="str">
        <f t="shared" si="80"/>
        <v>CLG0</v>
      </c>
      <c r="AE408" s="80" t="str">
        <f t="shared" si="81"/>
        <v>LCOH0</v>
      </c>
      <c r="AF408" s="80" t="str">
        <f t="shared" si="82"/>
        <v>CLH0</v>
      </c>
      <c r="AG408" s="80" t="str">
        <f t="shared" si="83"/>
        <v>LCOJ0</v>
      </c>
      <c r="AH408" s="80" t="str">
        <f t="shared" si="84"/>
        <v>LCOK0</v>
      </c>
    </row>
    <row r="409" spans="25:34" x14ac:dyDescent="0.35">
      <c r="Y409" s="74">
        <f t="shared" si="75"/>
        <v>43812</v>
      </c>
      <c r="Z409" s="74">
        <f t="shared" ca="1" si="76"/>
        <v>43818</v>
      </c>
      <c r="AA409" s="80" t="str">
        <f t="shared" ca="1" si="77"/>
        <v>CLF0</v>
      </c>
      <c r="AB409" s="74">
        <f t="shared" si="79"/>
        <v>43829</v>
      </c>
      <c r="AC409" s="80" t="str">
        <f t="shared" si="78"/>
        <v>LCOG0</v>
      </c>
      <c r="AD409" s="80" t="str">
        <f t="shared" si="80"/>
        <v>CLG0</v>
      </c>
      <c r="AE409" s="80" t="str">
        <f t="shared" si="81"/>
        <v>LCOH0</v>
      </c>
      <c r="AF409" s="80" t="str">
        <f t="shared" si="82"/>
        <v>CLH0</v>
      </c>
      <c r="AG409" s="80" t="str">
        <f t="shared" si="83"/>
        <v>LCOJ0</v>
      </c>
      <c r="AH409" s="80" t="str">
        <f t="shared" si="84"/>
        <v>LCOK0</v>
      </c>
    </row>
    <row r="410" spans="25:34" x14ac:dyDescent="0.35">
      <c r="Y410" s="74">
        <f t="shared" si="75"/>
        <v>43813</v>
      </c>
      <c r="Z410" s="74">
        <f t="shared" ca="1" si="76"/>
        <v>43818</v>
      </c>
      <c r="AA410" s="80" t="str">
        <f t="shared" ca="1" si="77"/>
        <v>CLF0</v>
      </c>
      <c r="AB410" s="74">
        <f t="shared" si="79"/>
        <v>43829</v>
      </c>
      <c r="AC410" s="80" t="str">
        <f t="shared" si="78"/>
        <v>LCOG0</v>
      </c>
      <c r="AD410" s="80" t="str">
        <f t="shared" si="80"/>
        <v>CLG0</v>
      </c>
      <c r="AE410" s="80" t="str">
        <f t="shared" si="81"/>
        <v>LCOH0</v>
      </c>
      <c r="AF410" s="80" t="str">
        <f t="shared" si="82"/>
        <v>CLH0</v>
      </c>
      <c r="AG410" s="80" t="str">
        <f t="shared" si="83"/>
        <v>LCOJ0</v>
      </c>
      <c r="AH410" s="80" t="str">
        <f t="shared" si="84"/>
        <v>LCOK0</v>
      </c>
    </row>
    <row r="411" spans="25:34" x14ac:dyDescent="0.35">
      <c r="Y411" s="74">
        <f t="shared" si="75"/>
        <v>43814</v>
      </c>
      <c r="Z411" s="74">
        <f t="shared" ca="1" si="76"/>
        <v>43818</v>
      </c>
      <c r="AA411" s="80" t="str">
        <f t="shared" ca="1" si="77"/>
        <v>CLF0</v>
      </c>
      <c r="AB411" s="74">
        <f t="shared" si="79"/>
        <v>43829</v>
      </c>
      <c r="AC411" s="80" t="str">
        <f t="shared" si="78"/>
        <v>LCOG0</v>
      </c>
      <c r="AD411" s="80" t="str">
        <f t="shared" si="80"/>
        <v>CLG0</v>
      </c>
      <c r="AE411" s="80" t="str">
        <f t="shared" si="81"/>
        <v>LCOH0</v>
      </c>
      <c r="AF411" s="80" t="str">
        <f t="shared" si="82"/>
        <v>CLH0</v>
      </c>
      <c r="AG411" s="80" t="str">
        <f t="shared" si="83"/>
        <v>LCOJ0</v>
      </c>
      <c r="AH411" s="80" t="str">
        <f t="shared" si="84"/>
        <v>LCOK0</v>
      </c>
    </row>
    <row r="412" spans="25:34" x14ac:dyDescent="0.35">
      <c r="Y412" s="74">
        <f t="shared" si="75"/>
        <v>43815</v>
      </c>
      <c r="Z412" s="74">
        <f t="shared" ca="1" si="76"/>
        <v>43818</v>
      </c>
      <c r="AA412" s="80" t="str">
        <f t="shared" ca="1" si="77"/>
        <v>CLF0</v>
      </c>
      <c r="AB412" s="74">
        <f t="shared" si="79"/>
        <v>43829</v>
      </c>
      <c r="AC412" s="80" t="str">
        <f t="shared" si="78"/>
        <v>LCOG0</v>
      </c>
      <c r="AD412" s="80" t="str">
        <f t="shared" si="80"/>
        <v>CLG0</v>
      </c>
      <c r="AE412" s="80" t="str">
        <f t="shared" si="81"/>
        <v>LCOH0</v>
      </c>
      <c r="AF412" s="80" t="str">
        <f t="shared" si="82"/>
        <v>CLH0</v>
      </c>
      <c r="AG412" s="80" t="str">
        <f t="shared" si="83"/>
        <v>LCOJ0</v>
      </c>
      <c r="AH412" s="80" t="str">
        <f t="shared" si="84"/>
        <v>LCOK0</v>
      </c>
    </row>
    <row r="413" spans="25:34" x14ac:dyDescent="0.35">
      <c r="Y413" s="74">
        <f t="shared" si="75"/>
        <v>43816</v>
      </c>
      <c r="Z413" s="74">
        <f t="shared" ca="1" si="76"/>
        <v>43818</v>
      </c>
      <c r="AA413" s="80" t="str">
        <f t="shared" ca="1" si="77"/>
        <v>CLF0</v>
      </c>
      <c r="AB413" s="74">
        <f t="shared" si="79"/>
        <v>43829</v>
      </c>
      <c r="AC413" s="80" t="str">
        <f t="shared" si="78"/>
        <v>LCOG0</v>
      </c>
      <c r="AD413" s="80" t="str">
        <f t="shared" si="80"/>
        <v>CLG0</v>
      </c>
      <c r="AE413" s="80" t="str">
        <f t="shared" si="81"/>
        <v>LCOH0</v>
      </c>
      <c r="AF413" s="80" t="str">
        <f t="shared" si="82"/>
        <v>CLH0</v>
      </c>
      <c r="AG413" s="80" t="str">
        <f t="shared" si="83"/>
        <v>LCOJ0</v>
      </c>
      <c r="AH413" s="80" t="str">
        <f t="shared" si="84"/>
        <v>LCOK0</v>
      </c>
    </row>
    <row r="414" spans="25:34" x14ac:dyDescent="0.35">
      <c r="Y414" s="74">
        <f t="shared" si="75"/>
        <v>43817</v>
      </c>
      <c r="Z414" s="74">
        <f t="shared" ca="1" si="76"/>
        <v>43818</v>
      </c>
      <c r="AA414" s="80" t="str">
        <f t="shared" ca="1" si="77"/>
        <v>CLF0</v>
      </c>
      <c r="AB414" s="74">
        <f t="shared" si="79"/>
        <v>43829</v>
      </c>
      <c r="AC414" s="80" t="str">
        <f t="shared" si="78"/>
        <v>LCOG0</v>
      </c>
      <c r="AD414" s="80" t="str">
        <f t="shared" si="80"/>
        <v>CLG0</v>
      </c>
      <c r="AE414" s="80" t="str">
        <f t="shared" si="81"/>
        <v>LCOH0</v>
      </c>
      <c r="AF414" s="80" t="str">
        <f t="shared" si="82"/>
        <v>CLH0</v>
      </c>
      <c r="AG414" s="80" t="str">
        <f t="shared" si="83"/>
        <v>LCOJ0</v>
      </c>
      <c r="AH414" s="80" t="str">
        <f t="shared" si="84"/>
        <v>LCOK0</v>
      </c>
    </row>
    <row r="415" spans="25:34" x14ac:dyDescent="0.35">
      <c r="Y415" s="74">
        <f t="shared" si="75"/>
        <v>43818</v>
      </c>
      <c r="Z415" s="74">
        <f t="shared" ca="1" si="76"/>
        <v>43818</v>
      </c>
      <c r="AA415" s="80" t="str">
        <f t="shared" ca="1" si="77"/>
        <v>CLF0</v>
      </c>
      <c r="AB415" s="74">
        <f t="shared" si="79"/>
        <v>43829</v>
      </c>
      <c r="AC415" s="80" t="str">
        <f t="shared" si="78"/>
        <v>LCOG0</v>
      </c>
      <c r="AD415" s="80" t="str">
        <f t="shared" si="80"/>
        <v>CLG0</v>
      </c>
      <c r="AE415" s="80" t="str">
        <f t="shared" si="81"/>
        <v>LCOH0</v>
      </c>
      <c r="AF415" s="80" t="str">
        <f t="shared" si="82"/>
        <v>CLH0</v>
      </c>
      <c r="AG415" s="80" t="str">
        <f t="shared" si="83"/>
        <v>LCOJ0</v>
      </c>
      <c r="AH415" s="80" t="str">
        <f t="shared" si="84"/>
        <v>LCOK0</v>
      </c>
    </row>
    <row r="416" spans="25:34" x14ac:dyDescent="0.35">
      <c r="Y416" s="74">
        <f t="shared" si="75"/>
        <v>43819</v>
      </c>
      <c r="Z416" s="74">
        <f t="shared" ca="1" si="76"/>
        <v>43851</v>
      </c>
      <c r="AA416" s="80" t="str">
        <f t="shared" ca="1" si="77"/>
        <v>CLG0</v>
      </c>
      <c r="AB416" s="74">
        <f t="shared" si="79"/>
        <v>43829</v>
      </c>
      <c r="AC416" s="80" t="str">
        <f t="shared" si="78"/>
        <v>LCOG0</v>
      </c>
      <c r="AD416" s="80" t="str">
        <f t="shared" si="80"/>
        <v>CLG0</v>
      </c>
      <c r="AE416" s="80" t="str">
        <f t="shared" si="81"/>
        <v>LCOH0</v>
      </c>
      <c r="AF416" s="80" t="str">
        <f t="shared" si="82"/>
        <v>CLH0</v>
      </c>
      <c r="AG416" s="80" t="str">
        <f t="shared" si="83"/>
        <v>LCOJ0</v>
      </c>
      <c r="AH416" s="80" t="str">
        <f t="shared" si="84"/>
        <v>LCOK0</v>
      </c>
    </row>
    <row r="417" spans="25:34" x14ac:dyDescent="0.35">
      <c r="Y417" s="74">
        <f t="shared" ref="Y417:Y480" si="85">Y416+1</f>
        <v>43820</v>
      </c>
      <c r="Z417" s="74">
        <f t="shared" ca="1" si="76"/>
        <v>43851</v>
      </c>
      <c r="AA417" s="80" t="str">
        <f t="shared" ca="1" si="77"/>
        <v>CLG0</v>
      </c>
      <c r="AB417" s="74">
        <f t="shared" si="79"/>
        <v>43829</v>
      </c>
      <c r="AC417" s="80" t="str">
        <f t="shared" si="78"/>
        <v>LCOG0</v>
      </c>
      <c r="AD417" s="80" t="str">
        <f t="shared" si="80"/>
        <v>CLG0</v>
      </c>
      <c r="AE417" s="80" t="str">
        <f t="shared" si="81"/>
        <v>LCOH0</v>
      </c>
      <c r="AF417" s="80" t="str">
        <f t="shared" si="82"/>
        <v>CLH0</v>
      </c>
      <c r="AG417" s="80" t="str">
        <f t="shared" si="83"/>
        <v>LCOJ0</v>
      </c>
      <c r="AH417" s="80" t="str">
        <f t="shared" si="84"/>
        <v>LCOK0</v>
      </c>
    </row>
    <row r="418" spans="25:34" x14ac:dyDescent="0.35">
      <c r="Y418" s="74">
        <f t="shared" si="85"/>
        <v>43821</v>
      </c>
      <c r="Z418" s="74">
        <f t="shared" ca="1" si="76"/>
        <v>43851</v>
      </c>
      <c r="AA418" s="80" t="str">
        <f t="shared" ca="1" si="77"/>
        <v>CLG0</v>
      </c>
      <c r="AB418" s="74">
        <f t="shared" si="79"/>
        <v>43829</v>
      </c>
      <c r="AC418" s="80" t="str">
        <f t="shared" si="78"/>
        <v>LCOG0</v>
      </c>
      <c r="AD418" s="80" t="str">
        <f t="shared" si="80"/>
        <v>CLG0</v>
      </c>
      <c r="AE418" s="80" t="str">
        <f t="shared" si="81"/>
        <v>LCOH0</v>
      </c>
      <c r="AF418" s="80" t="str">
        <f t="shared" si="82"/>
        <v>CLH0</v>
      </c>
      <c r="AG418" s="80" t="str">
        <f t="shared" si="83"/>
        <v>LCOJ0</v>
      </c>
      <c r="AH418" s="80" t="str">
        <f t="shared" si="84"/>
        <v>LCOK0</v>
      </c>
    </row>
    <row r="419" spans="25:34" x14ac:dyDescent="0.35">
      <c r="Y419" s="74">
        <f t="shared" si="85"/>
        <v>43822</v>
      </c>
      <c r="Z419" s="74">
        <f t="shared" ca="1" si="76"/>
        <v>43851</v>
      </c>
      <c r="AA419" s="80" t="str">
        <f t="shared" ca="1" si="77"/>
        <v>CLG0</v>
      </c>
      <c r="AB419" s="74">
        <f t="shared" si="79"/>
        <v>43829</v>
      </c>
      <c r="AC419" s="80" t="str">
        <f t="shared" si="78"/>
        <v>LCOG0</v>
      </c>
      <c r="AD419" s="80" t="str">
        <f t="shared" si="80"/>
        <v>CLG0</v>
      </c>
      <c r="AE419" s="80" t="str">
        <f t="shared" si="81"/>
        <v>LCOH0</v>
      </c>
      <c r="AF419" s="80" t="str">
        <f t="shared" si="82"/>
        <v>CLH0</v>
      </c>
      <c r="AG419" s="80" t="str">
        <f t="shared" si="83"/>
        <v>LCOJ0</v>
      </c>
      <c r="AH419" s="80" t="str">
        <f t="shared" si="84"/>
        <v>LCOK0</v>
      </c>
    </row>
    <row r="420" spans="25:34" x14ac:dyDescent="0.35">
      <c r="Y420" s="74">
        <f t="shared" si="85"/>
        <v>43823</v>
      </c>
      <c r="Z420" s="74">
        <f t="shared" ca="1" si="76"/>
        <v>43851</v>
      </c>
      <c r="AA420" s="80" t="str">
        <f t="shared" ca="1" si="77"/>
        <v>CLG0</v>
      </c>
      <c r="AB420" s="74">
        <f t="shared" si="79"/>
        <v>43829</v>
      </c>
      <c r="AC420" s="80" t="str">
        <f t="shared" si="78"/>
        <v>LCOG0</v>
      </c>
      <c r="AD420" s="80" t="str">
        <f t="shared" si="80"/>
        <v>CLG0</v>
      </c>
      <c r="AE420" s="80" t="str">
        <f t="shared" si="81"/>
        <v>LCOH0</v>
      </c>
      <c r="AF420" s="80" t="str">
        <f t="shared" si="82"/>
        <v>CLH0</v>
      </c>
      <c r="AG420" s="80" t="str">
        <f t="shared" si="83"/>
        <v>LCOJ0</v>
      </c>
      <c r="AH420" s="80" t="str">
        <f t="shared" si="84"/>
        <v>LCOK0</v>
      </c>
    </row>
    <row r="421" spans="25:34" x14ac:dyDescent="0.35">
      <c r="Y421" s="74">
        <f t="shared" si="85"/>
        <v>43824</v>
      </c>
      <c r="Z421" s="74">
        <f t="shared" ca="1" si="76"/>
        <v>43851</v>
      </c>
      <c r="AA421" s="80" t="str">
        <f t="shared" ca="1" si="77"/>
        <v>CLG0</v>
      </c>
      <c r="AB421" s="74">
        <f t="shared" si="79"/>
        <v>43829</v>
      </c>
      <c r="AC421" s="80" t="str">
        <f t="shared" si="78"/>
        <v>LCOG0</v>
      </c>
      <c r="AD421" s="80" t="str">
        <f t="shared" si="80"/>
        <v>CLG0</v>
      </c>
      <c r="AE421" s="80" t="str">
        <f t="shared" si="81"/>
        <v>LCOH0</v>
      </c>
      <c r="AF421" s="80" t="str">
        <f t="shared" si="82"/>
        <v>CLH0</v>
      </c>
      <c r="AG421" s="80" t="str">
        <f t="shared" si="83"/>
        <v>LCOJ0</v>
      </c>
      <c r="AH421" s="80" t="str">
        <f t="shared" si="84"/>
        <v>LCOK0</v>
      </c>
    </row>
    <row r="422" spans="25:34" x14ac:dyDescent="0.35">
      <c r="Y422" s="74">
        <f t="shared" si="85"/>
        <v>43825</v>
      </c>
      <c r="Z422" s="74">
        <f t="shared" ca="1" si="76"/>
        <v>43851</v>
      </c>
      <c r="AA422" s="80" t="str">
        <f t="shared" ca="1" si="77"/>
        <v>CLG0</v>
      </c>
      <c r="AB422" s="74">
        <f t="shared" si="79"/>
        <v>43829</v>
      </c>
      <c r="AC422" s="80" t="str">
        <f t="shared" si="78"/>
        <v>LCOG0</v>
      </c>
      <c r="AD422" s="80" t="str">
        <f t="shared" si="80"/>
        <v>CLG0</v>
      </c>
      <c r="AE422" s="80" t="str">
        <f t="shared" si="81"/>
        <v>LCOH0</v>
      </c>
      <c r="AF422" s="80" t="str">
        <f t="shared" si="82"/>
        <v>CLH0</v>
      </c>
      <c r="AG422" s="80" t="str">
        <f t="shared" si="83"/>
        <v>LCOJ0</v>
      </c>
      <c r="AH422" s="80" t="str">
        <f t="shared" si="84"/>
        <v>LCOK0</v>
      </c>
    </row>
    <row r="423" spans="25:34" x14ac:dyDescent="0.35">
      <c r="Y423" s="74">
        <f t="shared" si="85"/>
        <v>43826</v>
      </c>
      <c r="Z423" s="74">
        <f t="shared" ca="1" si="76"/>
        <v>43851</v>
      </c>
      <c r="AA423" s="80" t="str">
        <f t="shared" ca="1" si="77"/>
        <v>CLG0</v>
      </c>
      <c r="AB423" s="74">
        <f t="shared" si="79"/>
        <v>43829</v>
      </c>
      <c r="AC423" s="80" t="str">
        <f t="shared" si="78"/>
        <v>LCOG0</v>
      </c>
      <c r="AD423" s="80" t="str">
        <f t="shared" si="80"/>
        <v>CLG0</v>
      </c>
      <c r="AE423" s="80" t="str">
        <f t="shared" si="81"/>
        <v>LCOH0</v>
      </c>
      <c r="AF423" s="80" t="str">
        <f t="shared" si="82"/>
        <v>CLH0</v>
      </c>
      <c r="AG423" s="80" t="str">
        <f t="shared" si="83"/>
        <v>LCOJ0</v>
      </c>
      <c r="AH423" s="80" t="str">
        <f t="shared" si="84"/>
        <v>LCOK0</v>
      </c>
    </row>
    <row r="424" spans="25:34" x14ac:dyDescent="0.35">
      <c r="Y424" s="74">
        <f t="shared" si="85"/>
        <v>43827</v>
      </c>
      <c r="Z424" s="74">
        <f t="shared" ca="1" si="76"/>
        <v>43851</v>
      </c>
      <c r="AA424" s="80" t="str">
        <f t="shared" ca="1" si="77"/>
        <v>CLG0</v>
      </c>
      <c r="AB424" s="74">
        <f t="shared" si="79"/>
        <v>43829</v>
      </c>
      <c r="AC424" s="80" t="str">
        <f t="shared" si="78"/>
        <v>LCOG0</v>
      </c>
      <c r="AD424" s="80" t="str">
        <f t="shared" si="80"/>
        <v>CLG0</v>
      </c>
      <c r="AE424" s="80" t="str">
        <f t="shared" si="81"/>
        <v>LCOH0</v>
      </c>
      <c r="AF424" s="80" t="str">
        <f t="shared" si="82"/>
        <v>CLH0</v>
      </c>
      <c r="AG424" s="80" t="str">
        <f t="shared" si="83"/>
        <v>LCOJ0</v>
      </c>
      <c r="AH424" s="80" t="str">
        <f t="shared" si="84"/>
        <v>LCOK0</v>
      </c>
    </row>
    <row r="425" spans="25:34" x14ac:dyDescent="0.35">
      <c r="Y425" s="74">
        <f t="shared" si="85"/>
        <v>43828</v>
      </c>
      <c r="Z425" s="74">
        <f t="shared" ca="1" si="76"/>
        <v>43851</v>
      </c>
      <c r="AA425" s="80" t="str">
        <f t="shared" ca="1" si="77"/>
        <v>CLG0</v>
      </c>
      <c r="AB425" s="74">
        <f t="shared" si="79"/>
        <v>43829</v>
      </c>
      <c r="AC425" s="80" t="str">
        <f t="shared" si="78"/>
        <v>LCOG0</v>
      </c>
      <c r="AD425" s="80" t="str">
        <f t="shared" si="80"/>
        <v>CLG0</v>
      </c>
      <c r="AE425" s="80" t="str">
        <f t="shared" si="81"/>
        <v>LCOH0</v>
      </c>
      <c r="AF425" s="80" t="str">
        <f t="shared" si="82"/>
        <v>CLH0</v>
      </c>
      <c r="AG425" s="80" t="str">
        <f t="shared" si="83"/>
        <v>LCOJ0</v>
      </c>
      <c r="AH425" s="80" t="str">
        <f t="shared" si="84"/>
        <v>LCOK0</v>
      </c>
    </row>
    <row r="426" spans="25:34" x14ac:dyDescent="0.35">
      <c r="Y426" s="74">
        <f t="shared" si="85"/>
        <v>43829</v>
      </c>
      <c r="Z426" s="74">
        <f t="shared" ca="1" si="76"/>
        <v>43851</v>
      </c>
      <c r="AA426" s="80" t="str">
        <f t="shared" ca="1" si="77"/>
        <v>CLG0</v>
      </c>
      <c r="AB426" s="74">
        <f t="shared" si="79"/>
        <v>43829</v>
      </c>
      <c r="AC426" s="80" t="str">
        <f t="shared" si="78"/>
        <v>LCOG0</v>
      </c>
      <c r="AD426" s="80" t="str">
        <f t="shared" si="80"/>
        <v>CLG0</v>
      </c>
      <c r="AE426" s="80" t="str">
        <f t="shared" si="81"/>
        <v>LCOH0</v>
      </c>
      <c r="AF426" s="80" t="str">
        <f t="shared" si="82"/>
        <v>CLH0</v>
      </c>
      <c r="AG426" s="80" t="str">
        <f t="shared" si="83"/>
        <v>LCOJ0</v>
      </c>
      <c r="AH426" s="80" t="str">
        <f t="shared" si="84"/>
        <v>LCOK0</v>
      </c>
    </row>
    <row r="427" spans="25:34" x14ac:dyDescent="0.35">
      <c r="Y427" s="74">
        <f t="shared" si="85"/>
        <v>43830</v>
      </c>
      <c r="Z427" s="74">
        <f t="shared" ca="1" si="76"/>
        <v>43851</v>
      </c>
      <c r="AA427" s="80" t="str">
        <f t="shared" ca="1" si="77"/>
        <v>CLG0</v>
      </c>
      <c r="AB427" s="74">
        <f t="shared" si="79"/>
        <v>43861</v>
      </c>
      <c r="AC427" s="80" t="str">
        <f t="shared" si="78"/>
        <v>LCOH0</v>
      </c>
      <c r="AD427" s="80" t="str">
        <f t="shared" si="80"/>
        <v>CLH0</v>
      </c>
      <c r="AE427" s="80" t="str">
        <f t="shared" si="81"/>
        <v>LCOJ0</v>
      </c>
      <c r="AF427" s="80" t="str">
        <f t="shared" si="82"/>
        <v>CLJ0</v>
      </c>
      <c r="AG427" s="80" t="str">
        <f t="shared" si="83"/>
        <v>LCOK0</v>
      </c>
      <c r="AH427" s="80" t="str">
        <f t="shared" si="84"/>
        <v>LCOM0</v>
      </c>
    </row>
    <row r="428" spans="25:34" x14ac:dyDescent="0.35">
      <c r="Y428" s="74">
        <f t="shared" si="85"/>
        <v>43831</v>
      </c>
      <c r="Z428" s="74">
        <f t="shared" ca="1" si="76"/>
        <v>43851</v>
      </c>
      <c r="AA428" s="80" t="str">
        <f t="shared" ca="1" si="77"/>
        <v>CLG0</v>
      </c>
      <c r="AB428" s="74">
        <f t="shared" si="79"/>
        <v>43861</v>
      </c>
      <c r="AC428" s="80" t="str">
        <f t="shared" si="78"/>
        <v>LCOH0</v>
      </c>
      <c r="AD428" s="80" t="str">
        <f t="shared" si="80"/>
        <v>CLH0</v>
      </c>
      <c r="AE428" s="80" t="str">
        <f t="shared" si="81"/>
        <v>LCOJ0</v>
      </c>
      <c r="AF428" s="80" t="str">
        <f t="shared" si="82"/>
        <v>CLJ0</v>
      </c>
      <c r="AG428" s="80" t="str">
        <f t="shared" si="83"/>
        <v>LCOK0</v>
      </c>
      <c r="AH428" s="80" t="str">
        <f t="shared" si="84"/>
        <v>LCOM0</v>
      </c>
    </row>
    <row r="429" spans="25:34" x14ac:dyDescent="0.35">
      <c r="Y429" s="74">
        <f t="shared" si="85"/>
        <v>43832</v>
      </c>
      <c r="Z429" s="74">
        <f t="shared" ca="1" si="76"/>
        <v>43851</v>
      </c>
      <c r="AA429" s="80" t="str">
        <f t="shared" ca="1" si="77"/>
        <v>CLG0</v>
      </c>
      <c r="AB429" s="74">
        <f t="shared" si="79"/>
        <v>43861</v>
      </c>
      <c r="AC429" s="80" t="str">
        <f t="shared" si="78"/>
        <v>LCOH0</v>
      </c>
      <c r="AD429" s="80" t="str">
        <f t="shared" si="80"/>
        <v>CLH0</v>
      </c>
      <c r="AE429" s="80" t="str">
        <f t="shared" si="81"/>
        <v>LCOJ0</v>
      </c>
      <c r="AF429" s="80" t="str">
        <f t="shared" si="82"/>
        <v>CLJ0</v>
      </c>
      <c r="AG429" s="80" t="str">
        <f t="shared" si="83"/>
        <v>LCOK0</v>
      </c>
      <c r="AH429" s="80" t="str">
        <f t="shared" si="84"/>
        <v>LCOM0</v>
      </c>
    </row>
    <row r="430" spans="25:34" x14ac:dyDescent="0.35">
      <c r="Y430" s="74">
        <f t="shared" si="85"/>
        <v>43833</v>
      </c>
      <c r="Z430" s="74">
        <f t="shared" ca="1" si="76"/>
        <v>43851</v>
      </c>
      <c r="AA430" s="80" t="str">
        <f t="shared" ca="1" si="77"/>
        <v>CLG0</v>
      </c>
      <c r="AB430" s="74">
        <f t="shared" si="79"/>
        <v>43861</v>
      </c>
      <c r="AC430" s="80" t="str">
        <f t="shared" si="78"/>
        <v>LCOH0</v>
      </c>
      <c r="AD430" s="80" t="str">
        <f t="shared" si="80"/>
        <v>CLH0</v>
      </c>
      <c r="AE430" s="80" t="str">
        <f t="shared" si="81"/>
        <v>LCOJ0</v>
      </c>
      <c r="AF430" s="80" t="str">
        <f t="shared" si="82"/>
        <v>CLJ0</v>
      </c>
      <c r="AG430" s="80" t="str">
        <f t="shared" si="83"/>
        <v>LCOK0</v>
      </c>
      <c r="AH430" s="80" t="str">
        <f t="shared" si="84"/>
        <v>LCOM0</v>
      </c>
    </row>
    <row r="431" spans="25:34" x14ac:dyDescent="0.35">
      <c r="Y431" s="74">
        <f t="shared" si="85"/>
        <v>43834</v>
      </c>
      <c r="Z431" s="74">
        <f t="shared" ca="1" si="76"/>
        <v>43851</v>
      </c>
      <c r="AA431" s="80" t="str">
        <f t="shared" ca="1" si="77"/>
        <v>CLG0</v>
      </c>
      <c r="AB431" s="74">
        <f t="shared" si="79"/>
        <v>43861</v>
      </c>
      <c r="AC431" s="80" t="str">
        <f t="shared" si="78"/>
        <v>LCOH0</v>
      </c>
      <c r="AD431" s="80" t="str">
        <f t="shared" si="80"/>
        <v>CLH0</v>
      </c>
      <c r="AE431" s="80" t="str">
        <f t="shared" si="81"/>
        <v>LCOJ0</v>
      </c>
      <c r="AF431" s="80" t="str">
        <f t="shared" si="82"/>
        <v>CLJ0</v>
      </c>
      <c r="AG431" s="80" t="str">
        <f t="shared" si="83"/>
        <v>LCOK0</v>
      </c>
      <c r="AH431" s="80" t="str">
        <f t="shared" si="84"/>
        <v>LCOM0</v>
      </c>
    </row>
    <row r="432" spans="25:34" x14ac:dyDescent="0.35">
      <c r="Y432" s="74">
        <f t="shared" si="85"/>
        <v>43835</v>
      </c>
      <c r="Z432" s="74">
        <f t="shared" ca="1" si="76"/>
        <v>43851</v>
      </c>
      <c r="AA432" s="80" t="str">
        <f t="shared" ca="1" si="77"/>
        <v>CLG0</v>
      </c>
      <c r="AB432" s="74">
        <f t="shared" si="79"/>
        <v>43861</v>
      </c>
      <c r="AC432" s="80" t="str">
        <f t="shared" si="78"/>
        <v>LCOH0</v>
      </c>
      <c r="AD432" s="80" t="str">
        <f t="shared" si="80"/>
        <v>CLH0</v>
      </c>
      <c r="AE432" s="80" t="str">
        <f t="shared" si="81"/>
        <v>LCOJ0</v>
      </c>
      <c r="AF432" s="80" t="str">
        <f t="shared" si="82"/>
        <v>CLJ0</v>
      </c>
      <c r="AG432" s="80" t="str">
        <f t="shared" si="83"/>
        <v>LCOK0</v>
      </c>
      <c r="AH432" s="80" t="str">
        <f t="shared" si="84"/>
        <v>LCOM0</v>
      </c>
    </row>
    <row r="433" spans="25:34" x14ac:dyDescent="0.35">
      <c r="Y433" s="74">
        <f t="shared" si="85"/>
        <v>43836</v>
      </c>
      <c r="Z433" s="74">
        <f t="shared" ca="1" si="76"/>
        <v>43851</v>
      </c>
      <c r="AA433" s="80" t="str">
        <f t="shared" ca="1" si="77"/>
        <v>CLG0</v>
      </c>
      <c r="AB433" s="74">
        <f t="shared" si="79"/>
        <v>43861</v>
      </c>
      <c r="AC433" s="80" t="str">
        <f t="shared" si="78"/>
        <v>LCOH0</v>
      </c>
      <c r="AD433" s="80" t="str">
        <f t="shared" si="80"/>
        <v>CLH0</v>
      </c>
      <c r="AE433" s="80" t="str">
        <f t="shared" si="81"/>
        <v>LCOJ0</v>
      </c>
      <c r="AF433" s="80" t="str">
        <f t="shared" si="82"/>
        <v>CLJ0</v>
      </c>
      <c r="AG433" s="80" t="str">
        <f t="shared" si="83"/>
        <v>LCOK0</v>
      </c>
      <c r="AH433" s="80" t="str">
        <f t="shared" si="84"/>
        <v>LCOM0</v>
      </c>
    </row>
    <row r="434" spans="25:34" x14ac:dyDescent="0.35">
      <c r="Y434" s="74">
        <f t="shared" si="85"/>
        <v>43837</v>
      </c>
      <c r="Z434" s="74">
        <f t="shared" ca="1" si="76"/>
        <v>43851</v>
      </c>
      <c r="AA434" s="80" t="str">
        <f t="shared" ca="1" si="77"/>
        <v>CLG0</v>
      </c>
      <c r="AB434" s="74">
        <f t="shared" si="79"/>
        <v>43861</v>
      </c>
      <c r="AC434" s="80" t="str">
        <f t="shared" si="78"/>
        <v>LCOH0</v>
      </c>
      <c r="AD434" s="80" t="str">
        <f t="shared" si="80"/>
        <v>CLH0</v>
      </c>
      <c r="AE434" s="80" t="str">
        <f t="shared" si="81"/>
        <v>LCOJ0</v>
      </c>
      <c r="AF434" s="80" t="str">
        <f t="shared" si="82"/>
        <v>CLJ0</v>
      </c>
      <c r="AG434" s="80" t="str">
        <f t="shared" si="83"/>
        <v>LCOK0</v>
      </c>
      <c r="AH434" s="80" t="str">
        <f t="shared" si="84"/>
        <v>LCOM0</v>
      </c>
    </row>
    <row r="435" spans="25:34" x14ac:dyDescent="0.35">
      <c r="Y435" s="74">
        <f t="shared" si="85"/>
        <v>43838</v>
      </c>
      <c r="Z435" s="74">
        <f t="shared" ca="1" si="76"/>
        <v>43851</v>
      </c>
      <c r="AA435" s="80" t="str">
        <f t="shared" ca="1" si="77"/>
        <v>CLG0</v>
      </c>
      <c r="AB435" s="74">
        <f t="shared" si="79"/>
        <v>43861</v>
      </c>
      <c r="AC435" s="80" t="str">
        <f t="shared" si="78"/>
        <v>LCOH0</v>
      </c>
      <c r="AD435" s="80" t="str">
        <f t="shared" si="80"/>
        <v>CLH0</v>
      </c>
      <c r="AE435" s="80" t="str">
        <f t="shared" si="81"/>
        <v>LCOJ0</v>
      </c>
      <c r="AF435" s="80" t="str">
        <f t="shared" si="82"/>
        <v>CLJ0</v>
      </c>
      <c r="AG435" s="80" t="str">
        <f t="shared" si="83"/>
        <v>LCOK0</v>
      </c>
      <c r="AH435" s="80" t="str">
        <f t="shared" si="84"/>
        <v>LCOM0</v>
      </c>
    </row>
    <row r="436" spans="25:34" x14ac:dyDescent="0.35">
      <c r="Y436" s="74">
        <f t="shared" si="85"/>
        <v>43839</v>
      </c>
      <c r="Z436" s="74">
        <f t="shared" ca="1" si="76"/>
        <v>43851</v>
      </c>
      <c r="AA436" s="80" t="str">
        <f t="shared" ca="1" si="77"/>
        <v>CLG0</v>
      </c>
      <c r="AB436" s="74">
        <f t="shared" si="79"/>
        <v>43861</v>
      </c>
      <c r="AC436" s="80" t="str">
        <f t="shared" si="78"/>
        <v>LCOH0</v>
      </c>
      <c r="AD436" s="80" t="str">
        <f t="shared" si="80"/>
        <v>CLH0</v>
      </c>
      <c r="AE436" s="80" t="str">
        <f t="shared" si="81"/>
        <v>LCOJ0</v>
      </c>
      <c r="AF436" s="80" t="str">
        <f t="shared" si="82"/>
        <v>CLJ0</v>
      </c>
      <c r="AG436" s="80" t="str">
        <f t="shared" si="83"/>
        <v>LCOK0</v>
      </c>
      <c r="AH436" s="80" t="str">
        <f t="shared" si="84"/>
        <v>LCOM0</v>
      </c>
    </row>
    <row r="437" spans="25:34" x14ac:dyDescent="0.35">
      <c r="Y437" s="74">
        <f t="shared" si="85"/>
        <v>43840</v>
      </c>
      <c r="Z437" s="74">
        <f t="shared" ca="1" si="76"/>
        <v>43851</v>
      </c>
      <c r="AA437" s="80" t="str">
        <f t="shared" ca="1" si="77"/>
        <v>CLG0</v>
      </c>
      <c r="AB437" s="74">
        <f t="shared" si="79"/>
        <v>43861</v>
      </c>
      <c r="AC437" s="80" t="str">
        <f t="shared" si="78"/>
        <v>LCOH0</v>
      </c>
      <c r="AD437" s="80" t="str">
        <f t="shared" si="80"/>
        <v>CLH0</v>
      </c>
      <c r="AE437" s="80" t="str">
        <f t="shared" si="81"/>
        <v>LCOJ0</v>
      </c>
      <c r="AF437" s="80" t="str">
        <f t="shared" si="82"/>
        <v>CLJ0</v>
      </c>
      <c r="AG437" s="80" t="str">
        <f t="shared" si="83"/>
        <v>LCOK0</v>
      </c>
      <c r="AH437" s="80" t="str">
        <f t="shared" si="84"/>
        <v>LCOM0</v>
      </c>
    </row>
    <row r="438" spans="25:34" x14ac:dyDescent="0.35">
      <c r="Y438" s="74">
        <f t="shared" si="85"/>
        <v>43841</v>
      </c>
      <c r="Z438" s="74">
        <f t="shared" ca="1" si="76"/>
        <v>43851</v>
      </c>
      <c r="AA438" s="80" t="str">
        <f t="shared" ca="1" si="77"/>
        <v>CLG0</v>
      </c>
      <c r="AB438" s="74">
        <f t="shared" si="79"/>
        <v>43861</v>
      </c>
      <c r="AC438" s="80" t="str">
        <f t="shared" si="78"/>
        <v>LCOH0</v>
      </c>
      <c r="AD438" s="80" t="str">
        <f t="shared" si="80"/>
        <v>CLH0</v>
      </c>
      <c r="AE438" s="80" t="str">
        <f t="shared" si="81"/>
        <v>LCOJ0</v>
      </c>
      <c r="AF438" s="80" t="str">
        <f t="shared" si="82"/>
        <v>CLJ0</v>
      </c>
      <c r="AG438" s="80" t="str">
        <f t="shared" si="83"/>
        <v>LCOK0</v>
      </c>
      <c r="AH438" s="80" t="str">
        <f t="shared" si="84"/>
        <v>LCOM0</v>
      </c>
    </row>
    <row r="439" spans="25:34" x14ac:dyDescent="0.35">
      <c r="Y439" s="74">
        <f t="shared" si="85"/>
        <v>43842</v>
      </c>
      <c r="Z439" s="74">
        <f t="shared" ca="1" si="76"/>
        <v>43851</v>
      </c>
      <c r="AA439" s="80" t="str">
        <f t="shared" ca="1" si="77"/>
        <v>CLG0</v>
      </c>
      <c r="AB439" s="74">
        <f t="shared" si="79"/>
        <v>43861</v>
      </c>
      <c r="AC439" s="80" t="str">
        <f t="shared" si="78"/>
        <v>LCOH0</v>
      </c>
      <c r="AD439" s="80" t="str">
        <f t="shared" si="80"/>
        <v>CLH0</v>
      </c>
      <c r="AE439" s="80" t="str">
        <f t="shared" si="81"/>
        <v>LCOJ0</v>
      </c>
      <c r="AF439" s="80" t="str">
        <f t="shared" si="82"/>
        <v>CLJ0</v>
      </c>
      <c r="AG439" s="80" t="str">
        <f t="shared" si="83"/>
        <v>LCOK0</v>
      </c>
      <c r="AH439" s="80" t="str">
        <f t="shared" si="84"/>
        <v>LCOM0</v>
      </c>
    </row>
    <row r="440" spans="25:34" x14ac:dyDescent="0.35">
      <c r="Y440" s="74">
        <f t="shared" si="85"/>
        <v>43843</v>
      </c>
      <c r="Z440" s="74">
        <f t="shared" ca="1" si="76"/>
        <v>43851</v>
      </c>
      <c r="AA440" s="80" t="str">
        <f t="shared" ca="1" si="77"/>
        <v>CLG0</v>
      </c>
      <c r="AB440" s="74">
        <f t="shared" si="79"/>
        <v>43861</v>
      </c>
      <c r="AC440" s="80" t="str">
        <f t="shared" si="78"/>
        <v>LCOH0</v>
      </c>
      <c r="AD440" s="80" t="str">
        <f t="shared" si="80"/>
        <v>CLH0</v>
      </c>
      <c r="AE440" s="80" t="str">
        <f t="shared" si="81"/>
        <v>LCOJ0</v>
      </c>
      <c r="AF440" s="80" t="str">
        <f t="shared" si="82"/>
        <v>CLJ0</v>
      </c>
      <c r="AG440" s="80" t="str">
        <f t="shared" si="83"/>
        <v>LCOK0</v>
      </c>
      <c r="AH440" s="80" t="str">
        <f t="shared" si="84"/>
        <v>LCOM0</v>
      </c>
    </row>
    <row r="441" spans="25:34" x14ac:dyDescent="0.35">
      <c r="Y441" s="74">
        <f t="shared" si="85"/>
        <v>43844</v>
      </c>
      <c r="Z441" s="74">
        <f t="shared" ca="1" si="76"/>
        <v>43851</v>
      </c>
      <c r="AA441" s="80" t="str">
        <f t="shared" ca="1" si="77"/>
        <v>CLG0</v>
      </c>
      <c r="AB441" s="74">
        <f t="shared" si="79"/>
        <v>43861</v>
      </c>
      <c r="AC441" s="80" t="str">
        <f t="shared" si="78"/>
        <v>LCOH0</v>
      </c>
      <c r="AD441" s="80" t="str">
        <f t="shared" si="80"/>
        <v>CLH0</v>
      </c>
      <c r="AE441" s="80" t="str">
        <f t="shared" si="81"/>
        <v>LCOJ0</v>
      </c>
      <c r="AF441" s="80" t="str">
        <f t="shared" si="82"/>
        <v>CLJ0</v>
      </c>
      <c r="AG441" s="80" t="str">
        <f t="shared" si="83"/>
        <v>LCOK0</v>
      </c>
      <c r="AH441" s="80" t="str">
        <f t="shared" si="84"/>
        <v>LCOM0</v>
      </c>
    </row>
    <row r="442" spans="25:34" x14ac:dyDescent="0.35">
      <c r="Y442" s="74">
        <f t="shared" si="85"/>
        <v>43845</v>
      </c>
      <c r="Z442" s="74">
        <f t="shared" ca="1" si="76"/>
        <v>43851</v>
      </c>
      <c r="AA442" s="80" t="str">
        <f t="shared" ca="1" si="77"/>
        <v>CLG0</v>
      </c>
      <c r="AB442" s="74">
        <f t="shared" si="79"/>
        <v>43861</v>
      </c>
      <c r="AC442" s="80" t="str">
        <f t="shared" si="78"/>
        <v>LCOH0</v>
      </c>
      <c r="AD442" s="80" t="str">
        <f t="shared" si="80"/>
        <v>CLH0</v>
      </c>
      <c r="AE442" s="80" t="str">
        <f t="shared" si="81"/>
        <v>LCOJ0</v>
      </c>
      <c r="AF442" s="80" t="str">
        <f t="shared" si="82"/>
        <v>CLJ0</v>
      </c>
      <c r="AG442" s="80" t="str">
        <f t="shared" si="83"/>
        <v>LCOK0</v>
      </c>
      <c r="AH442" s="80" t="str">
        <f t="shared" si="84"/>
        <v>LCOM0</v>
      </c>
    </row>
    <row r="443" spans="25:34" x14ac:dyDescent="0.35">
      <c r="Y443" s="74">
        <f t="shared" si="85"/>
        <v>43846</v>
      </c>
      <c r="Z443" s="74">
        <f t="shared" ca="1" si="76"/>
        <v>43851</v>
      </c>
      <c r="AA443" s="80" t="str">
        <f t="shared" ca="1" si="77"/>
        <v>CLG0</v>
      </c>
      <c r="AB443" s="74">
        <f t="shared" si="79"/>
        <v>43861</v>
      </c>
      <c r="AC443" s="80" t="str">
        <f t="shared" si="78"/>
        <v>LCOH0</v>
      </c>
      <c r="AD443" s="80" t="str">
        <f t="shared" si="80"/>
        <v>CLH0</v>
      </c>
      <c r="AE443" s="80" t="str">
        <f t="shared" si="81"/>
        <v>LCOJ0</v>
      </c>
      <c r="AF443" s="80" t="str">
        <f t="shared" si="82"/>
        <v>CLJ0</v>
      </c>
      <c r="AG443" s="80" t="str">
        <f t="shared" si="83"/>
        <v>LCOK0</v>
      </c>
      <c r="AH443" s="80" t="str">
        <f t="shared" si="84"/>
        <v>LCOM0</v>
      </c>
    </row>
    <row r="444" spans="25:34" x14ac:dyDescent="0.35">
      <c r="Y444" s="74">
        <f t="shared" si="85"/>
        <v>43847</v>
      </c>
      <c r="Z444" s="74">
        <f t="shared" ca="1" si="76"/>
        <v>43851</v>
      </c>
      <c r="AA444" s="80" t="str">
        <f t="shared" ca="1" si="77"/>
        <v>CLG0</v>
      </c>
      <c r="AB444" s="74">
        <f t="shared" si="79"/>
        <v>43861</v>
      </c>
      <c r="AC444" s="80" t="str">
        <f t="shared" si="78"/>
        <v>LCOH0</v>
      </c>
      <c r="AD444" s="80" t="str">
        <f t="shared" si="80"/>
        <v>CLH0</v>
      </c>
      <c r="AE444" s="80" t="str">
        <f t="shared" si="81"/>
        <v>LCOJ0</v>
      </c>
      <c r="AF444" s="80" t="str">
        <f t="shared" si="82"/>
        <v>CLJ0</v>
      </c>
      <c r="AG444" s="80" t="str">
        <f t="shared" si="83"/>
        <v>LCOK0</v>
      </c>
      <c r="AH444" s="80" t="str">
        <f t="shared" si="84"/>
        <v>LCOM0</v>
      </c>
    </row>
    <row r="445" spans="25:34" x14ac:dyDescent="0.35">
      <c r="Y445" s="74">
        <f t="shared" si="85"/>
        <v>43848</v>
      </c>
      <c r="Z445" s="74">
        <f t="shared" ca="1" si="76"/>
        <v>43851</v>
      </c>
      <c r="AA445" s="80" t="str">
        <f t="shared" ca="1" si="77"/>
        <v>CLG0</v>
      </c>
      <c r="AB445" s="74">
        <f t="shared" si="79"/>
        <v>43861</v>
      </c>
      <c r="AC445" s="80" t="str">
        <f t="shared" si="78"/>
        <v>LCOH0</v>
      </c>
      <c r="AD445" s="80" t="str">
        <f t="shared" si="80"/>
        <v>CLH0</v>
      </c>
      <c r="AE445" s="80" t="str">
        <f t="shared" si="81"/>
        <v>LCOJ0</v>
      </c>
      <c r="AF445" s="80" t="str">
        <f t="shared" si="82"/>
        <v>CLJ0</v>
      </c>
      <c r="AG445" s="80" t="str">
        <f t="shared" si="83"/>
        <v>LCOK0</v>
      </c>
      <c r="AH445" s="80" t="str">
        <f t="shared" si="84"/>
        <v>LCOM0</v>
      </c>
    </row>
    <row r="446" spans="25:34" x14ac:dyDescent="0.35">
      <c r="Y446" s="74">
        <f t="shared" si="85"/>
        <v>43849</v>
      </c>
      <c r="Z446" s="74">
        <f t="shared" ca="1" si="76"/>
        <v>43851</v>
      </c>
      <c r="AA446" s="80" t="str">
        <f t="shared" ca="1" si="77"/>
        <v>CLG0</v>
      </c>
      <c r="AB446" s="74">
        <f t="shared" si="79"/>
        <v>43861</v>
      </c>
      <c r="AC446" s="80" t="str">
        <f t="shared" si="78"/>
        <v>LCOH0</v>
      </c>
      <c r="AD446" s="80" t="str">
        <f t="shared" si="80"/>
        <v>CLH0</v>
      </c>
      <c r="AE446" s="80" t="str">
        <f t="shared" si="81"/>
        <v>LCOJ0</v>
      </c>
      <c r="AF446" s="80" t="str">
        <f t="shared" si="82"/>
        <v>CLJ0</v>
      </c>
      <c r="AG446" s="80" t="str">
        <f t="shared" si="83"/>
        <v>LCOK0</v>
      </c>
      <c r="AH446" s="80" t="str">
        <f t="shared" si="84"/>
        <v>LCOM0</v>
      </c>
    </row>
    <row r="447" spans="25:34" x14ac:dyDescent="0.35">
      <c r="Y447" s="74">
        <f t="shared" si="85"/>
        <v>43850</v>
      </c>
      <c r="Z447" s="74">
        <f t="shared" ca="1" si="76"/>
        <v>43851</v>
      </c>
      <c r="AA447" s="80" t="str">
        <f t="shared" ca="1" si="77"/>
        <v>CLG0</v>
      </c>
      <c r="AB447" s="74">
        <f t="shared" si="79"/>
        <v>43861</v>
      </c>
      <c r="AC447" s="80" t="str">
        <f t="shared" si="78"/>
        <v>LCOH0</v>
      </c>
      <c r="AD447" s="80" t="str">
        <f t="shared" si="80"/>
        <v>CLH0</v>
      </c>
      <c r="AE447" s="80" t="str">
        <f t="shared" si="81"/>
        <v>LCOJ0</v>
      </c>
      <c r="AF447" s="80" t="str">
        <f t="shared" si="82"/>
        <v>CLJ0</v>
      </c>
      <c r="AG447" s="80" t="str">
        <f t="shared" si="83"/>
        <v>LCOK0</v>
      </c>
      <c r="AH447" s="80" t="str">
        <f t="shared" si="84"/>
        <v>LCOM0</v>
      </c>
    </row>
    <row r="448" spans="25:34" x14ac:dyDescent="0.35">
      <c r="Y448" s="74">
        <f t="shared" si="85"/>
        <v>43851</v>
      </c>
      <c r="Z448" s="74">
        <f t="shared" ca="1" si="76"/>
        <v>43851</v>
      </c>
      <c r="AA448" s="80" t="str">
        <f t="shared" ca="1" si="77"/>
        <v>CLG0</v>
      </c>
      <c r="AB448" s="74">
        <f t="shared" si="79"/>
        <v>43861</v>
      </c>
      <c r="AC448" s="80" t="str">
        <f t="shared" si="78"/>
        <v>LCOH0</v>
      </c>
      <c r="AD448" s="80" t="str">
        <f t="shared" si="80"/>
        <v>CLH0</v>
      </c>
      <c r="AE448" s="80" t="str">
        <f t="shared" si="81"/>
        <v>LCOJ0</v>
      </c>
      <c r="AF448" s="80" t="str">
        <f t="shared" si="82"/>
        <v>CLJ0</v>
      </c>
      <c r="AG448" s="80" t="str">
        <f t="shared" si="83"/>
        <v>LCOK0</v>
      </c>
      <c r="AH448" s="80" t="str">
        <f t="shared" si="84"/>
        <v>LCOM0</v>
      </c>
    </row>
    <row r="449" spans="25:34" x14ac:dyDescent="0.35">
      <c r="Y449" s="74">
        <f t="shared" si="85"/>
        <v>43852</v>
      </c>
      <c r="Z449" s="74">
        <f t="shared" ca="1" si="76"/>
        <v>43881</v>
      </c>
      <c r="AA449" s="80" t="str">
        <f t="shared" ca="1" si="77"/>
        <v>CLH0</v>
      </c>
      <c r="AB449" s="74">
        <f t="shared" si="79"/>
        <v>43861</v>
      </c>
      <c r="AC449" s="80" t="str">
        <f t="shared" si="78"/>
        <v>LCOH0</v>
      </c>
      <c r="AD449" s="80" t="str">
        <f t="shared" si="80"/>
        <v>CLH0</v>
      </c>
      <c r="AE449" s="80" t="str">
        <f t="shared" si="81"/>
        <v>LCOJ0</v>
      </c>
      <c r="AF449" s="80" t="str">
        <f t="shared" si="82"/>
        <v>CLJ0</v>
      </c>
      <c r="AG449" s="80" t="str">
        <f t="shared" si="83"/>
        <v>LCOK0</v>
      </c>
      <c r="AH449" s="80" t="str">
        <f t="shared" si="84"/>
        <v>LCOM0</v>
      </c>
    </row>
    <row r="450" spans="25:34" x14ac:dyDescent="0.35">
      <c r="Y450" s="74">
        <f t="shared" si="85"/>
        <v>43853</v>
      </c>
      <c r="Z450" s="74">
        <f t="shared" ref="Z450:Z513" ca="1" si="86">VLOOKUP(AA450,$I$2:$K$39,3,FALSE)</f>
        <v>43881</v>
      </c>
      <c r="AA450" s="80" t="str">
        <f t="shared" ref="AA450:AA513" ca="1" si="87">LOOKUP(2,1/($J$2:$J$700&lt;=$Y450)/($K$2:$K$700&gt;=$Y450),$L$2:$L$700)</f>
        <v>CLH0</v>
      </c>
      <c r="AB450" s="74">
        <f t="shared" si="79"/>
        <v>43861</v>
      </c>
      <c r="AC450" s="80" t="str">
        <f t="shared" ref="AC450:AC513" si="88">LOOKUP(2,1/($R$2:$R$700&lt;=$Y450)/($S$2:$S$700&gt;=$Y450),$T$2:$T$700)</f>
        <v>LCOH0</v>
      </c>
      <c r="AD450" s="80" t="str">
        <f t="shared" si="80"/>
        <v>CLH0</v>
      </c>
      <c r="AE450" s="80" t="str">
        <f t="shared" si="81"/>
        <v>LCOJ0</v>
      </c>
      <c r="AF450" s="80" t="str">
        <f t="shared" si="82"/>
        <v>CLJ0</v>
      </c>
      <c r="AG450" s="80" t="str">
        <f t="shared" si="83"/>
        <v>LCOK0</v>
      </c>
      <c r="AH450" s="80" t="str">
        <f t="shared" si="84"/>
        <v>LCOM0</v>
      </c>
    </row>
    <row r="451" spans="25:34" x14ac:dyDescent="0.35">
      <c r="Y451" s="74">
        <f t="shared" si="85"/>
        <v>43854</v>
      </c>
      <c r="Z451" s="74">
        <f t="shared" ca="1" si="86"/>
        <v>43881</v>
      </c>
      <c r="AA451" s="80" t="str">
        <f t="shared" ca="1" si="87"/>
        <v>CLH0</v>
      </c>
      <c r="AB451" s="74">
        <f t="shared" ref="AB451:AB514" si="89">VLOOKUP(AC451,$Q$2:$S$39,3,FALSE)</f>
        <v>43861</v>
      </c>
      <c r="AC451" s="80" t="str">
        <f t="shared" si="88"/>
        <v>LCOH0</v>
      </c>
      <c r="AD451" s="80" t="str">
        <f t="shared" ref="AD451:AD514" si="90">CONCATENATE("CL",RIGHT(AC451,2))</f>
        <v>CLH0</v>
      </c>
      <c r="AE451" s="80" t="str">
        <f t="shared" ref="AE451:AE514" si="91">LOOKUP(2,1/($R$2:$R$700&lt;=$Y451)/($S$2:$S$700&gt;=$Y451),$U$2:$U$700)</f>
        <v>LCOJ0</v>
      </c>
      <c r="AF451" s="80" t="str">
        <f t="shared" ref="AF451:AF514" si="92">CONCATENATE("CL",RIGHT(AE451,2))</f>
        <v>CLJ0</v>
      </c>
      <c r="AG451" s="80" t="str">
        <f t="shared" ref="AG451:AG514" si="93">LOOKUP(2,1/($R$2:$R$700&lt;=$Y451)/($S$2:$S$700&gt;=$Y451),$V$2:$V$700)</f>
        <v>LCOK0</v>
      </c>
      <c r="AH451" s="80" t="str">
        <f t="shared" ref="AH451:AH514" si="94">LOOKUP(2,1/($R$2:$R$700&lt;=$Y451)/($S$2:$S$700&gt;=$Y451),$W$2:$W$700)</f>
        <v>LCOM0</v>
      </c>
    </row>
    <row r="452" spans="25:34" x14ac:dyDescent="0.35">
      <c r="Y452" s="74">
        <f t="shared" si="85"/>
        <v>43855</v>
      </c>
      <c r="Z452" s="74">
        <f t="shared" ca="1" si="86"/>
        <v>43881</v>
      </c>
      <c r="AA452" s="80" t="str">
        <f t="shared" ca="1" si="87"/>
        <v>CLH0</v>
      </c>
      <c r="AB452" s="74">
        <f t="shared" si="89"/>
        <v>43861</v>
      </c>
      <c r="AC452" s="80" t="str">
        <f t="shared" si="88"/>
        <v>LCOH0</v>
      </c>
      <c r="AD452" s="80" t="str">
        <f t="shared" si="90"/>
        <v>CLH0</v>
      </c>
      <c r="AE452" s="80" t="str">
        <f t="shared" si="91"/>
        <v>LCOJ0</v>
      </c>
      <c r="AF452" s="80" t="str">
        <f t="shared" si="92"/>
        <v>CLJ0</v>
      </c>
      <c r="AG452" s="80" t="str">
        <f t="shared" si="93"/>
        <v>LCOK0</v>
      </c>
      <c r="AH452" s="80" t="str">
        <f t="shared" si="94"/>
        <v>LCOM0</v>
      </c>
    </row>
    <row r="453" spans="25:34" x14ac:dyDescent="0.35">
      <c r="Y453" s="74">
        <f t="shared" si="85"/>
        <v>43856</v>
      </c>
      <c r="Z453" s="74">
        <f t="shared" ca="1" si="86"/>
        <v>43881</v>
      </c>
      <c r="AA453" s="80" t="str">
        <f t="shared" ca="1" si="87"/>
        <v>CLH0</v>
      </c>
      <c r="AB453" s="74">
        <f t="shared" si="89"/>
        <v>43861</v>
      </c>
      <c r="AC453" s="80" t="str">
        <f t="shared" si="88"/>
        <v>LCOH0</v>
      </c>
      <c r="AD453" s="80" t="str">
        <f t="shared" si="90"/>
        <v>CLH0</v>
      </c>
      <c r="AE453" s="80" t="str">
        <f t="shared" si="91"/>
        <v>LCOJ0</v>
      </c>
      <c r="AF453" s="80" t="str">
        <f t="shared" si="92"/>
        <v>CLJ0</v>
      </c>
      <c r="AG453" s="80" t="str">
        <f t="shared" si="93"/>
        <v>LCOK0</v>
      </c>
      <c r="AH453" s="80" t="str">
        <f t="shared" si="94"/>
        <v>LCOM0</v>
      </c>
    </row>
    <row r="454" spans="25:34" x14ac:dyDescent="0.35">
      <c r="Y454" s="74">
        <f t="shared" si="85"/>
        <v>43857</v>
      </c>
      <c r="Z454" s="74">
        <f t="shared" ca="1" si="86"/>
        <v>43881</v>
      </c>
      <c r="AA454" s="80" t="str">
        <f t="shared" ca="1" si="87"/>
        <v>CLH0</v>
      </c>
      <c r="AB454" s="74">
        <f t="shared" si="89"/>
        <v>43861</v>
      </c>
      <c r="AC454" s="80" t="str">
        <f t="shared" si="88"/>
        <v>LCOH0</v>
      </c>
      <c r="AD454" s="80" t="str">
        <f t="shared" si="90"/>
        <v>CLH0</v>
      </c>
      <c r="AE454" s="80" t="str">
        <f t="shared" si="91"/>
        <v>LCOJ0</v>
      </c>
      <c r="AF454" s="80" t="str">
        <f t="shared" si="92"/>
        <v>CLJ0</v>
      </c>
      <c r="AG454" s="80" t="str">
        <f t="shared" si="93"/>
        <v>LCOK0</v>
      </c>
      <c r="AH454" s="80" t="str">
        <f t="shared" si="94"/>
        <v>LCOM0</v>
      </c>
    </row>
    <row r="455" spans="25:34" x14ac:dyDescent="0.35">
      <c r="Y455" s="74">
        <f t="shared" si="85"/>
        <v>43858</v>
      </c>
      <c r="Z455" s="74">
        <f t="shared" ca="1" si="86"/>
        <v>43881</v>
      </c>
      <c r="AA455" s="80" t="str">
        <f t="shared" ca="1" si="87"/>
        <v>CLH0</v>
      </c>
      <c r="AB455" s="74">
        <f t="shared" si="89"/>
        <v>43861</v>
      </c>
      <c r="AC455" s="80" t="str">
        <f t="shared" si="88"/>
        <v>LCOH0</v>
      </c>
      <c r="AD455" s="80" t="str">
        <f t="shared" si="90"/>
        <v>CLH0</v>
      </c>
      <c r="AE455" s="80" t="str">
        <f t="shared" si="91"/>
        <v>LCOJ0</v>
      </c>
      <c r="AF455" s="80" t="str">
        <f t="shared" si="92"/>
        <v>CLJ0</v>
      </c>
      <c r="AG455" s="80" t="str">
        <f t="shared" si="93"/>
        <v>LCOK0</v>
      </c>
      <c r="AH455" s="80" t="str">
        <f t="shared" si="94"/>
        <v>LCOM0</v>
      </c>
    </row>
    <row r="456" spans="25:34" x14ac:dyDescent="0.35">
      <c r="Y456" s="74">
        <f t="shared" si="85"/>
        <v>43859</v>
      </c>
      <c r="Z456" s="74">
        <f t="shared" ca="1" si="86"/>
        <v>43881</v>
      </c>
      <c r="AA456" s="80" t="str">
        <f t="shared" ca="1" si="87"/>
        <v>CLH0</v>
      </c>
      <c r="AB456" s="74">
        <f t="shared" si="89"/>
        <v>43861</v>
      </c>
      <c r="AC456" s="80" t="str">
        <f t="shared" si="88"/>
        <v>LCOH0</v>
      </c>
      <c r="AD456" s="80" t="str">
        <f t="shared" si="90"/>
        <v>CLH0</v>
      </c>
      <c r="AE456" s="80" t="str">
        <f t="shared" si="91"/>
        <v>LCOJ0</v>
      </c>
      <c r="AF456" s="80" t="str">
        <f t="shared" si="92"/>
        <v>CLJ0</v>
      </c>
      <c r="AG456" s="80" t="str">
        <f t="shared" si="93"/>
        <v>LCOK0</v>
      </c>
      <c r="AH456" s="80" t="str">
        <f t="shared" si="94"/>
        <v>LCOM0</v>
      </c>
    </row>
    <row r="457" spans="25:34" x14ac:dyDescent="0.35">
      <c r="Y457" s="74">
        <f t="shared" si="85"/>
        <v>43860</v>
      </c>
      <c r="Z457" s="74">
        <f t="shared" ca="1" si="86"/>
        <v>43881</v>
      </c>
      <c r="AA457" s="80" t="str">
        <f t="shared" ca="1" si="87"/>
        <v>CLH0</v>
      </c>
      <c r="AB457" s="74">
        <f t="shared" si="89"/>
        <v>43861</v>
      </c>
      <c r="AC457" s="80" t="str">
        <f t="shared" si="88"/>
        <v>LCOH0</v>
      </c>
      <c r="AD457" s="80" t="str">
        <f t="shared" si="90"/>
        <v>CLH0</v>
      </c>
      <c r="AE457" s="80" t="str">
        <f t="shared" si="91"/>
        <v>LCOJ0</v>
      </c>
      <c r="AF457" s="80" t="str">
        <f t="shared" si="92"/>
        <v>CLJ0</v>
      </c>
      <c r="AG457" s="80" t="str">
        <f t="shared" si="93"/>
        <v>LCOK0</v>
      </c>
      <c r="AH457" s="80" t="str">
        <f t="shared" si="94"/>
        <v>LCOM0</v>
      </c>
    </row>
    <row r="458" spans="25:34" x14ac:dyDescent="0.35">
      <c r="Y458" s="74">
        <f t="shared" si="85"/>
        <v>43861</v>
      </c>
      <c r="Z458" s="74">
        <f t="shared" ca="1" si="86"/>
        <v>43881</v>
      </c>
      <c r="AA458" s="80" t="str">
        <f t="shared" ca="1" si="87"/>
        <v>CLH0</v>
      </c>
      <c r="AB458" s="74">
        <f t="shared" si="89"/>
        <v>43861</v>
      </c>
      <c r="AC458" s="80" t="str">
        <f t="shared" si="88"/>
        <v>LCOH0</v>
      </c>
      <c r="AD458" s="80" t="str">
        <f t="shared" si="90"/>
        <v>CLH0</v>
      </c>
      <c r="AE458" s="80" t="str">
        <f t="shared" si="91"/>
        <v>LCOJ0</v>
      </c>
      <c r="AF458" s="80" t="str">
        <f t="shared" si="92"/>
        <v>CLJ0</v>
      </c>
      <c r="AG458" s="80" t="str">
        <f t="shared" si="93"/>
        <v>LCOK0</v>
      </c>
      <c r="AH458" s="80" t="str">
        <f t="shared" si="94"/>
        <v>LCOM0</v>
      </c>
    </row>
    <row r="459" spans="25:34" x14ac:dyDescent="0.35">
      <c r="Y459" s="74">
        <f t="shared" si="85"/>
        <v>43862</v>
      </c>
      <c r="Z459" s="74">
        <f t="shared" ca="1" si="86"/>
        <v>43881</v>
      </c>
      <c r="AA459" s="80" t="str">
        <f t="shared" ca="1" si="87"/>
        <v>CLH0</v>
      </c>
      <c r="AB459" s="74">
        <f t="shared" si="89"/>
        <v>43889</v>
      </c>
      <c r="AC459" s="80" t="str">
        <f t="shared" si="88"/>
        <v>LCOJ0</v>
      </c>
      <c r="AD459" s="80" t="str">
        <f t="shared" si="90"/>
        <v>CLJ0</v>
      </c>
      <c r="AE459" s="80" t="str">
        <f t="shared" si="91"/>
        <v>LCOK0</v>
      </c>
      <c r="AF459" s="80" t="str">
        <f t="shared" si="92"/>
        <v>CLK0</v>
      </c>
      <c r="AG459" s="80" t="str">
        <f t="shared" si="93"/>
        <v>LCOM0</v>
      </c>
      <c r="AH459" s="80" t="str">
        <f t="shared" si="94"/>
        <v>LCON0</v>
      </c>
    </row>
    <row r="460" spans="25:34" x14ac:dyDescent="0.35">
      <c r="Y460" s="74">
        <f t="shared" si="85"/>
        <v>43863</v>
      </c>
      <c r="Z460" s="74">
        <f t="shared" ca="1" si="86"/>
        <v>43881</v>
      </c>
      <c r="AA460" s="80" t="str">
        <f t="shared" ca="1" si="87"/>
        <v>CLH0</v>
      </c>
      <c r="AB460" s="74">
        <f t="shared" si="89"/>
        <v>43889</v>
      </c>
      <c r="AC460" s="80" t="str">
        <f t="shared" si="88"/>
        <v>LCOJ0</v>
      </c>
      <c r="AD460" s="80" t="str">
        <f t="shared" si="90"/>
        <v>CLJ0</v>
      </c>
      <c r="AE460" s="80" t="str">
        <f t="shared" si="91"/>
        <v>LCOK0</v>
      </c>
      <c r="AF460" s="80" t="str">
        <f t="shared" si="92"/>
        <v>CLK0</v>
      </c>
      <c r="AG460" s="80" t="str">
        <f t="shared" si="93"/>
        <v>LCOM0</v>
      </c>
      <c r="AH460" s="80" t="str">
        <f t="shared" si="94"/>
        <v>LCON0</v>
      </c>
    </row>
    <row r="461" spans="25:34" x14ac:dyDescent="0.35">
      <c r="Y461" s="74">
        <f t="shared" si="85"/>
        <v>43864</v>
      </c>
      <c r="Z461" s="74">
        <f t="shared" ca="1" si="86"/>
        <v>43881</v>
      </c>
      <c r="AA461" s="80" t="str">
        <f t="shared" ca="1" si="87"/>
        <v>CLH0</v>
      </c>
      <c r="AB461" s="74">
        <f t="shared" si="89"/>
        <v>43889</v>
      </c>
      <c r="AC461" s="80" t="str">
        <f t="shared" si="88"/>
        <v>LCOJ0</v>
      </c>
      <c r="AD461" s="80" t="str">
        <f t="shared" si="90"/>
        <v>CLJ0</v>
      </c>
      <c r="AE461" s="80" t="str">
        <f t="shared" si="91"/>
        <v>LCOK0</v>
      </c>
      <c r="AF461" s="80" t="str">
        <f t="shared" si="92"/>
        <v>CLK0</v>
      </c>
      <c r="AG461" s="80" t="str">
        <f t="shared" si="93"/>
        <v>LCOM0</v>
      </c>
      <c r="AH461" s="80" t="str">
        <f t="shared" si="94"/>
        <v>LCON0</v>
      </c>
    </row>
    <row r="462" spans="25:34" x14ac:dyDescent="0.35">
      <c r="Y462" s="74">
        <f t="shared" si="85"/>
        <v>43865</v>
      </c>
      <c r="Z462" s="74">
        <f t="shared" ca="1" si="86"/>
        <v>43881</v>
      </c>
      <c r="AA462" s="80" t="str">
        <f t="shared" ca="1" si="87"/>
        <v>CLH0</v>
      </c>
      <c r="AB462" s="74">
        <f t="shared" si="89"/>
        <v>43889</v>
      </c>
      <c r="AC462" s="80" t="str">
        <f t="shared" si="88"/>
        <v>LCOJ0</v>
      </c>
      <c r="AD462" s="80" t="str">
        <f t="shared" si="90"/>
        <v>CLJ0</v>
      </c>
      <c r="AE462" s="80" t="str">
        <f t="shared" si="91"/>
        <v>LCOK0</v>
      </c>
      <c r="AF462" s="80" t="str">
        <f t="shared" si="92"/>
        <v>CLK0</v>
      </c>
      <c r="AG462" s="80" t="str">
        <f t="shared" si="93"/>
        <v>LCOM0</v>
      </c>
      <c r="AH462" s="80" t="str">
        <f t="shared" si="94"/>
        <v>LCON0</v>
      </c>
    </row>
    <row r="463" spans="25:34" x14ac:dyDescent="0.35">
      <c r="Y463" s="74">
        <f t="shared" si="85"/>
        <v>43866</v>
      </c>
      <c r="Z463" s="74">
        <f t="shared" ca="1" si="86"/>
        <v>43881</v>
      </c>
      <c r="AA463" s="80" t="str">
        <f t="shared" ca="1" si="87"/>
        <v>CLH0</v>
      </c>
      <c r="AB463" s="74">
        <f t="shared" si="89"/>
        <v>43889</v>
      </c>
      <c r="AC463" s="80" t="str">
        <f t="shared" si="88"/>
        <v>LCOJ0</v>
      </c>
      <c r="AD463" s="80" t="str">
        <f t="shared" si="90"/>
        <v>CLJ0</v>
      </c>
      <c r="AE463" s="80" t="str">
        <f t="shared" si="91"/>
        <v>LCOK0</v>
      </c>
      <c r="AF463" s="80" t="str">
        <f t="shared" si="92"/>
        <v>CLK0</v>
      </c>
      <c r="AG463" s="80" t="str">
        <f t="shared" si="93"/>
        <v>LCOM0</v>
      </c>
      <c r="AH463" s="80" t="str">
        <f t="shared" si="94"/>
        <v>LCON0</v>
      </c>
    </row>
    <row r="464" spans="25:34" x14ac:dyDescent="0.35">
      <c r="Y464" s="74">
        <f t="shared" si="85"/>
        <v>43867</v>
      </c>
      <c r="Z464" s="74">
        <f t="shared" ca="1" si="86"/>
        <v>43881</v>
      </c>
      <c r="AA464" s="80" t="str">
        <f t="shared" ca="1" si="87"/>
        <v>CLH0</v>
      </c>
      <c r="AB464" s="74">
        <f t="shared" si="89"/>
        <v>43889</v>
      </c>
      <c r="AC464" s="80" t="str">
        <f t="shared" si="88"/>
        <v>LCOJ0</v>
      </c>
      <c r="AD464" s="80" t="str">
        <f t="shared" si="90"/>
        <v>CLJ0</v>
      </c>
      <c r="AE464" s="80" t="str">
        <f t="shared" si="91"/>
        <v>LCOK0</v>
      </c>
      <c r="AF464" s="80" t="str">
        <f t="shared" si="92"/>
        <v>CLK0</v>
      </c>
      <c r="AG464" s="80" t="str">
        <f t="shared" si="93"/>
        <v>LCOM0</v>
      </c>
      <c r="AH464" s="80" t="str">
        <f t="shared" si="94"/>
        <v>LCON0</v>
      </c>
    </row>
    <row r="465" spans="25:34" x14ac:dyDescent="0.35">
      <c r="Y465" s="74">
        <f t="shared" si="85"/>
        <v>43868</v>
      </c>
      <c r="Z465" s="74">
        <f t="shared" ca="1" si="86"/>
        <v>43881</v>
      </c>
      <c r="AA465" s="80" t="str">
        <f t="shared" ca="1" si="87"/>
        <v>CLH0</v>
      </c>
      <c r="AB465" s="74">
        <f t="shared" si="89"/>
        <v>43889</v>
      </c>
      <c r="AC465" s="80" t="str">
        <f t="shared" si="88"/>
        <v>LCOJ0</v>
      </c>
      <c r="AD465" s="80" t="str">
        <f t="shared" si="90"/>
        <v>CLJ0</v>
      </c>
      <c r="AE465" s="80" t="str">
        <f t="shared" si="91"/>
        <v>LCOK0</v>
      </c>
      <c r="AF465" s="80" t="str">
        <f t="shared" si="92"/>
        <v>CLK0</v>
      </c>
      <c r="AG465" s="80" t="str">
        <f t="shared" si="93"/>
        <v>LCOM0</v>
      </c>
      <c r="AH465" s="80" t="str">
        <f t="shared" si="94"/>
        <v>LCON0</v>
      </c>
    </row>
    <row r="466" spans="25:34" x14ac:dyDescent="0.35">
      <c r="Y466" s="74">
        <f t="shared" si="85"/>
        <v>43869</v>
      </c>
      <c r="Z466" s="74">
        <f t="shared" ca="1" si="86"/>
        <v>43881</v>
      </c>
      <c r="AA466" s="80" t="str">
        <f t="shared" ca="1" si="87"/>
        <v>CLH0</v>
      </c>
      <c r="AB466" s="74">
        <f t="shared" si="89"/>
        <v>43889</v>
      </c>
      <c r="AC466" s="80" t="str">
        <f t="shared" si="88"/>
        <v>LCOJ0</v>
      </c>
      <c r="AD466" s="80" t="str">
        <f t="shared" si="90"/>
        <v>CLJ0</v>
      </c>
      <c r="AE466" s="80" t="str">
        <f t="shared" si="91"/>
        <v>LCOK0</v>
      </c>
      <c r="AF466" s="80" t="str">
        <f t="shared" si="92"/>
        <v>CLK0</v>
      </c>
      <c r="AG466" s="80" t="str">
        <f t="shared" si="93"/>
        <v>LCOM0</v>
      </c>
      <c r="AH466" s="80" t="str">
        <f t="shared" si="94"/>
        <v>LCON0</v>
      </c>
    </row>
    <row r="467" spans="25:34" x14ac:dyDescent="0.35">
      <c r="Y467" s="74">
        <f t="shared" si="85"/>
        <v>43870</v>
      </c>
      <c r="Z467" s="74">
        <f t="shared" ca="1" si="86"/>
        <v>43881</v>
      </c>
      <c r="AA467" s="80" t="str">
        <f t="shared" ca="1" si="87"/>
        <v>CLH0</v>
      </c>
      <c r="AB467" s="74">
        <f t="shared" si="89"/>
        <v>43889</v>
      </c>
      <c r="AC467" s="80" t="str">
        <f t="shared" si="88"/>
        <v>LCOJ0</v>
      </c>
      <c r="AD467" s="80" t="str">
        <f t="shared" si="90"/>
        <v>CLJ0</v>
      </c>
      <c r="AE467" s="80" t="str">
        <f t="shared" si="91"/>
        <v>LCOK0</v>
      </c>
      <c r="AF467" s="80" t="str">
        <f t="shared" si="92"/>
        <v>CLK0</v>
      </c>
      <c r="AG467" s="80" t="str">
        <f t="shared" si="93"/>
        <v>LCOM0</v>
      </c>
      <c r="AH467" s="80" t="str">
        <f t="shared" si="94"/>
        <v>LCON0</v>
      </c>
    </row>
    <row r="468" spans="25:34" x14ac:dyDescent="0.35">
      <c r="Y468" s="74">
        <f t="shared" si="85"/>
        <v>43871</v>
      </c>
      <c r="Z468" s="74">
        <f t="shared" ca="1" si="86"/>
        <v>43881</v>
      </c>
      <c r="AA468" s="80" t="str">
        <f t="shared" ca="1" si="87"/>
        <v>CLH0</v>
      </c>
      <c r="AB468" s="74">
        <f t="shared" si="89"/>
        <v>43889</v>
      </c>
      <c r="AC468" s="80" t="str">
        <f t="shared" si="88"/>
        <v>LCOJ0</v>
      </c>
      <c r="AD468" s="80" t="str">
        <f t="shared" si="90"/>
        <v>CLJ0</v>
      </c>
      <c r="AE468" s="80" t="str">
        <f t="shared" si="91"/>
        <v>LCOK0</v>
      </c>
      <c r="AF468" s="80" t="str">
        <f t="shared" si="92"/>
        <v>CLK0</v>
      </c>
      <c r="AG468" s="80" t="str">
        <f t="shared" si="93"/>
        <v>LCOM0</v>
      </c>
      <c r="AH468" s="80" t="str">
        <f t="shared" si="94"/>
        <v>LCON0</v>
      </c>
    </row>
    <row r="469" spans="25:34" x14ac:dyDescent="0.35">
      <c r="Y469" s="74">
        <f t="shared" si="85"/>
        <v>43872</v>
      </c>
      <c r="Z469" s="74">
        <f t="shared" ca="1" si="86"/>
        <v>43881</v>
      </c>
      <c r="AA469" s="80" t="str">
        <f t="shared" ca="1" si="87"/>
        <v>CLH0</v>
      </c>
      <c r="AB469" s="74">
        <f t="shared" si="89"/>
        <v>43889</v>
      </c>
      <c r="AC469" s="80" t="str">
        <f t="shared" si="88"/>
        <v>LCOJ0</v>
      </c>
      <c r="AD469" s="80" t="str">
        <f t="shared" si="90"/>
        <v>CLJ0</v>
      </c>
      <c r="AE469" s="80" t="str">
        <f t="shared" si="91"/>
        <v>LCOK0</v>
      </c>
      <c r="AF469" s="80" t="str">
        <f t="shared" si="92"/>
        <v>CLK0</v>
      </c>
      <c r="AG469" s="80" t="str">
        <f t="shared" si="93"/>
        <v>LCOM0</v>
      </c>
      <c r="AH469" s="80" t="str">
        <f t="shared" si="94"/>
        <v>LCON0</v>
      </c>
    </row>
    <row r="470" spans="25:34" x14ac:dyDescent="0.35">
      <c r="Y470" s="74">
        <f t="shared" si="85"/>
        <v>43873</v>
      </c>
      <c r="Z470" s="74">
        <f t="shared" ca="1" si="86"/>
        <v>43881</v>
      </c>
      <c r="AA470" s="80" t="str">
        <f t="shared" ca="1" si="87"/>
        <v>CLH0</v>
      </c>
      <c r="AB470" s="74">
        <f t="shared" si="89"/>
        <v>43889</v>
      </c>
      <c r="AC470" s="80" t="str">
        <f t="shared" si="88"/>
        <v>LCOJ0</v>
      </c>
      <c r="AD470" s="80" t="str">
        <f t="shared" si="90"/>
        <v>CLJ0</v>
      </c>
      <c r="AE470" s="80" t="str">
        <f t="shared" si="91"/>
        <v>LCOK0</v>
      </c>
      <c r="AF470" s="80" t="str">
        <f t="shared" si="92"/>
        <v>CLK0</v>
      </c>
      <c r="AG470" s="80" t="str">
        <f t="shared" si="93"/>
        <v>LCOM0</v>
      </c>
      <c r="AH470" s="80" t="str">
        <f t="shared" si="94"/>
        <v>LCON0</v>
      </c>
    </row>
    <row r="471" spans="25:34" x14ac:dyDescent="0.35">
      <c r="Y471" s="74">
        <f t="shared" si="85"/>
        <v>43874</v>
      </c>
      <c r="Z471" s="74">
        <f t="shared" ca="1" si="86"/>
        <v>43881</v>
      </c>
      <c r="AA471" s="80" t="str">
        <f t="shared" ca="1" si="87"/>
        <v>CLH0</v>
      </c>
      <c r="AB471" s="74">
        <f t="shared" si="89"/>
        <v>43889</v>
      </c>
      <c r="AC471" s="80" t="str">
        <f t="shared" si="88"/>
        <v>LCOJ0</v>
      </c>
      <c r="AD471" s="80" t="str">
        <f t="shared" si="90"/>
        <v>CLJ0</v>
      </c>
      <c r="AE471" s="80" t="str">
        <f t="shared" si="91"/>
        <v>LCOK0</v>
      </c>
      <c r="AF471" s="80" t="str">
        <f t="shared" si="92"/>
        <v>CLK0</v>
      </c>
      <c r="AG471" s="80" t="str">
        <f t="shared" si="93"/>
        <v>LCOM0</v>
      </c>
      <c r="AH471" s="80" t="str">
        <f t="shared" si="94"/>
        <v>LCON0</v>
      </c>
    </row>
    <row r="472" spans="25:34" x14ac:dyDescent="0.35">
      <c r="Y472" s="74">
        <f t="shared" si="85"/>
        <v>43875</v>
      </c>
      <c r="Z472" s="74">
        <f t="shared" ca="1" si="86"/>
        <v>43881</v>
      </c>
      <c r="AA472" s="80" t="str">
        <f t="shared" ca="1" si="87"/>
        <v>CLH0</v>
      </c>
      <c r="AB472" s="74">
        <f t="shared" si="89"/>
        <v>43889</v>
      </c>
      <c r="AC472" s="80" t="str">
        <f t="shared" si="88"/>
        <v>LCOJ0</v>
      </c>
      <c r="AD472" s="80" t="str">
        <f t="shared" si="90"/>
        <v>CLJ0</v>
      </c>
      <c r="AE472" s="80" t="str">
        <f t="shared" si="91"/>
        <v>LCOK0</v>
      </c>
      <c r="AF472" s="80" t="str">
        <f t="shared" si="92"/>
        <v>CLK0</v>
      </c>
      <c r="AG472" s="80" t="str">
        <f t="shared" si="93"/>
        <v>LCOM0</v>
      </c>
      <c r="AH472" s="80" t="str">
        <f t="shared" si="94"/>
        <v>LCON0</v>
      </c>
    </row>
    <row r="473" spans="25:34" x14ac:dyDescent="0.35">
      <c r="Y473" s="74">
        <f t="shared" si="85"/>
        <v>43876</v>
      </c>
      <c r="Z473" s="74">
        <f t="shared" ca="1" si="86"/>
        <v>43881</v>
      </c>
      <c r="AA473" s="80" t="str">
        <f t="shared" ca="1" si="87"/>
        <v>CLH0</v>
      </c>
      <c r="AB473" s="74">
        <f t="shared" si="89"/>
        <v>43889</v>
      </c>
      <c r="AC473" s="80" t="str">
        <f t="shared" si="88"/>
        <v>LCOJ0</v>
      </c>
      <c r="AD473" s="80" t="str">
        <f t="shared" si="90"/>
        <v>CLJ0</v>
      </c>
      <c r="AE473" s="80" t="str">
        <f t="shared" si="91"/>
        <v>LCOK0</v>
      </c>
      <c r="AF473" s="80" t="str">
        <f t="shared" si="92"/>
        <v>CLK0</v>
      </c>
      <c r="AG473" s="80" t="str">
        <f t="shared" si="93"/>
        <v>LCOM0</v>
      </c>
      <c r="AH473" s="80" t="str">
        <f t="shared" si="94"/>
        <v>LCON0</v>
      </c>
    </row>
    <row r="474" spans="25:34" x14ac:dyDescent="0.35">
      <c r="Y474" s="74">
        <f t="shared" si="85"/>
        <v>43877</v>
      </c>
      <c r="Z474" s="74">
        <f t="shared" ca="1" si="86"/>
        <v>43881</v>
      </c>
      <c r="AA474" s="80" t="str">
        <f t="shared" ca="1" si="87"/>
        <v>CLH0</v>
      </c>
      <c r="AB474" s="74">
        <f t="shared" si="89"/>
        <v>43889</v>
      </c>
      <c r="AC474" s="80" t="str">
        <f t="shared" si="88"/>
        <v>LCOJ0</v>
      </c>
      <c r="AD474" s="80" t="str">
        <f t="shared" si="90"/>
        <v>CLJ0</v>
      </c>
      <c r="AE474" s="80" t="str">
        <f t="shared" si="91"/>
        <v>LCOK0</v>
      </c>
      <c r="AF474" s="80" t="str">
        <f t="shared" si="92"/>
        <v>CLK0</v>
      </c>
      <c r="AG474" s="80" t="str">
        <f t="shared" si="93"/>
        <v>LCOM0</v>
      </c>
      <c r="AH474" s="80" t="str">
        <f t="shared" si="94"/>
        <v>LCON0</v>
      </c>
    </row>
    <row r="475" spans="25:34" x14ac:dyDescent="0.35">
      <c r="Y475" s="74">
        <f t="shared" si="85"/>
        <v>43878</v>
      </c>
      <c r="Z475" s="74">
        <f t="shared" ca="1" si="86"/>
        <v>43881</v>
      </c>
      <c r="AA475" s="80" t="str">
        <f t="shared" ca="1" si="87"/>
        <v>CLH0</v>
      </c>
      <c r="AB475" s="74">
        <f t="shared" si="89"/>
        <v>43889</v>
      </c>
      <c r="AC475" s="80" t="str">
        <f t="shared" si="88"/>
        <v>LCOJ0</v>
      </c>
      <c r="AD475" s="80" t="str">
        <f t="shared" si="90"/>
        <v>CLJ0</v>
      </c>
      <c r="AE475" s="80" t="str">
        <f t="shared" si="91"/>
        <v>LCOK0</v>
      </c>
      <c r="AF475" s="80" t="str">
        <f t="shared" si="92"/>
        <v>CLK0</v>
      </c>
      <c r="AG475" s="80" t="str">
        <f t="shared" si="93"/>
        <v>LCOM0</v>
      </c>
      <c r="AH475" s="80" t="str">
        <f t="shared" si="94"/>
        <v>LCON0</v>
      </c>
    </row>
    <row r="476" spans="25:34" x14ac:dyDescent="0.35">
      <c r="Y476" s="74">
        <f t="shared" si="85"/>
        <v>43879</v>
      </c>
      <c r="Z476" s="74">
        <f t="shared" ca="1" si="86"/>
        <v>43881</v>
      </c>
      <c r="AA476" s="80" t="str">
        <f t="shared" ca="1" si="87"/>
        <v>CLH0</v>
      </c>
      <c r="AB476" s="74">
        <f t="shared" si="89"/>
        <v>43889</v>
      </c>
      <c r="AC476" s="80" t="str">
        <f t="shared" si="88"/>
        <v>LCOJ0</v>
      </c>
      <c r="AD476" s="80" t="str">
        <f t="shared" si="90"/>
        <v>CLJ0</v>
      </c>
      <c r="AE476" s="80" t="str">
        <f t="shared" si="91"/>
        <v>LCOK0</v>
      </c>
      <c r="AF476" s="80" t="str">
        <f t="shared" si="92"/>
        <v>CLK0</v>
      </c>
      <c r="AG476" s="80" t="str">
        <f t="shared" si="93"/>
        <v>LCOM0</v>
      </c>
      <c r="AH476" s="80" t="str">
        <f t="shared" si="94"/>
        <v>LCON0</v>
      </c>
    </row>
    <row r="477" spans="25:34" x14ac:dyDescent="0.35">
      <c r="Y477" s="74">
        <f t="shared" si="85"/>
        <v>43880</v>
      </c>
      <c r="Z477" s="74">
        <f t="shared" ca="1" si="86"/>
        <v>43881</v>
      </c>
      <c r="AA477" s="80" t="str">
        <f t="shared" ca="1" si="87"/>
        <v>CLH0</v>
      </c>
      <c r="AB477" s="74">
        <f t="shared" si="89"/>
        <v>43889</v>
      </c>
      <c r="AC477" s="80" t="str">
        <f t="shared" si="88"/>
        <v>LCOJ0</v>
      </c>
      <c r="AD477" s="80" t="str">
        <f t="shared" si="90"/>
        <v>CLJ0</v>
      </c>
      <c r="AE477" s="80" t="str">
        <f t="shared" si="91"/>
        <v>LCOK0</v>
      </c>
      <c r="AF477" s="80" t="str">
        <f t="shared" si="92"/>
        <v>CLK0</v>
      </c>
      <c r="AG477" s="80" t="str">
        <f t="shared" si="93"/>
        <v>LCOM0</v>
      </c>
      <c r="AH477" s="80" t="str">
        <f t="shared" si="94"/>
        <v>LCON0</v>
      </c>
    </row>
    <row r="478" spans="25:34" x14ac:dyDescent="0.35">
      <c r="Y478" s="74">
        <f t="shared" si="85"/>
        <v>43881</v>
      </c>
      <c r="Z478" s="74">
        <f t="shared" ca="1" si="86"/>
        <v>43881</v>
      </c>
      <c r="AA478" s="80" t="str">
        <f t="shared" ca="1" si="87"/>
        <v>CLH0</v>
      </c>
      <c r="AB478" s="74">
        <f t="shared" si="89"/>
        <v>43889</v>
      </c>
      <c r="AC478" s="80" t="str">
        <f t="shared" si="88"/>
        <v>LCOJ0</v>
      </c>
      <c r="AD478" s="80" t="str">
        <f t="shared" si="90"/>
        <v>CLJ0</v>
      </c>
      <c r="AE478" s="80" t="str">
        <f t="shared" si="91"/>
        <v>LCOK0</v>
      </c>
      <c r="AF478" s="80" t="str">
        <f t="shared" si="92"/>
        <v>CLK0</v>
      </c>
      <c r="AG478" s="80" t="str">
        <f t="shared" si="93"/>
        <v>LCOM0</v>
      </c>
      <c r="AH478" s="80" t="str">
        <f t="shared" si="94"/>
        <v>LCON0</v>
      </c>
    </row>
    <row r="479" spans="25:34" x14ac:dyDescent="0.35">
      <c r="Y479" s="74">
        <f t="shared" si="85"/>
        <v>43882</v>
      </c>
      <c r="Z479" s="74">
        <f t="shared" ca="1" si="86"/>
        <v>43910</v>
      </c>
      <c r="AA479" s="80" t="str">
        <f t="shared" ca="1" si="87"/>
        <v>CLJ0</v>
      </c>
      <c r="AB479" s="74">
        <f t="shared" si="89"/>
        <v>43889</v>
      </c>
      <c r="AC479" s="80" t="str">
        <f t="shared" si="88"/>
        <v>LCOJ0</v>
      </c>
      <c r="AD479" s="80" t="str">
        <f t="shared" si="90"/>
        <v>CLJ0</v>
      </c>
      <c r="AE479" s="80" t="str">
        <f t="shared" si="91"/>
        <v>LCOK0</v>
      </c>
      <c r="AF479" s="80" t="str">
        <f t="shared" si="92"/>
        <v>CLK0</v>
      </c>
      <c r="AG479" s="80" t="str">
        <f t="shared" si="93"/>
        <v>LCOM0</v>
      </c>
      <c r="AH479" s="80" t="str">
        <f t="shared" si="94"/>
        <v>LCON0</v>
      </c>
    </row>
    <row r="480" spans="25:34" x14ac:dyDescent="0.35">
      <c r="Y480" s="74">
        <f t="shared" si="85"/>
        <v>43883</v>
      </c>
      <c r="Z480" s="74">
        <f t="shared" ca="1" si="86"/>
        <v>43910</v>
      </c>
      <c r="AA480" s="80" t="str">
        <f t="shared" ca="1" si="87"/>
        <v>CLJ0</v>
      </c>
      <c r="AB480" s="74">
        <f t="shared" si="89"/>
        <v>43889</v>
      </c>
      <c r="AC480" s="80" t="str">
        <f t="shared" si="88"/>
        <v>LCOJ0</v>
      </c>
      <c r="AD480" s="80" t="str">
        <f t="shared" si="90"/>
        <v>CLJ0</v>
      </c>
      <c r="AE480" s="80" t="str">
        <f t="shared" si="91"/>
        <v>LCOK0</v>
      </c>
      <c r="AF480" s="80" t="str">
        <f t="shared" si="92"/>
        <v>CLK0</v>
      </c>
      <c r="AG480" s="80" t="str">
        <f t="shared" si="93"/>
        <v>LCOM0</v>
      </c>
      <c r="AH480" s="80" t="str">
        <f t="shared" si="94"/>
        <v>LCON0</v>
      </c>
    </row>
    <row r="481" spans="25:34" x14ac:dyDescent="0.35">
      <c r="Y481" s="74">
        <f t="shared" ref="Y481:Y544" si="95">Y480+1</f>
        <v>43884</v>
      </c>
      <c r="Z481" s="74">
        <f t="shared" ca="1" si="86"/>
        <v>43910</v>
      </c>
      <c r="AA481" s="80" t="str">
        <f t="shared" ca="1" si="87"/>
        <v>CLJ0</v>
      </c>
      <c r="AB481" s="74">
        <f t="shared" si="89"/>
        <v>43889</v>
      </c>
      <c r="AC481" s="80" t="str">
        <f t="shared" si="88"/>
        <v>LCOJ0</v>
      </c>
      <c r="AD481" s="80" t="str">
        <f t="shared" si="90"/>
        <v>CLJ0</v>
      </c>
      <c r="AE481" s="80" t="str">
        <f t="shared" si="91"/>
        <v>LCOK0</v>
      </c>
      <c r="AF481" s="80" t="str">
        <f t="shared" si="92"/>
        <v>CLK0</v>
      </c>
      <c r="AG481" s="80" t="str">
        <f t="shared" si="93"/>
        <v>LCOM0</v>
      </c>
      <c r="AH481" s="80" t="str">
        <f t="shared" si="94"/>
        <v>LCON0</v>
      </c>
    </row>
    <row r="482" spans="25:34" x14ac:dyDescent="0.35">
      <c r="Y482" s="74">
        <f t="shared" si="95"/>
        <v>43885</v>
      </c>
      <c r="Z482" s="74">
        <f t="shared" ca="1" si="86"/>
        <v>43910</v>
      </c>
      <c r="AA482" s="80" t="str">
        <f t="shared" ca="1" si="87"/>
        <v>CLJ0</v>
      </c>
      <c r="AB482" s="74">
        <f t="shared" si="89"/>
        <v>43889</v>
      </c>
      <c r="AC482" s="80" t="str">
        <f t="shared" si="88"/>
        <v>LCOJ0</v>
      </c>
      <c r="AD482" s="80" t="str">
        <f t="shared" si="90"/>
        <v>CLJ0</v>
      </c>
      <c r="AE482" s="80" t="str">
        <f t="shared" si="91"/>
        <v>LCOK0</v>
      </c>
      <c r="AF482" s="80" t="str">
        <f t="shared" si="92"/>
        <v>CLK0</v>
      </c>
      <c r="AG482" s="80" t="str">
        <f t="shared" si="93"/>
        <v>LCOM0</v>
      </c>
      <c r="AH482" s="80" t="str">
        <f t="shared" si="94"/>
        <v>LCON0</v>
      </c>
    </row>
    <row r="483" spans="25:34" x14ac:dyDescent="0.35">
      <c r="Y483" s="74">
        <f t="shared" si="95"/>
        <v>43886</v>
      </c>
      <c r="Z483" s="74">
        <f t="shared" ca="1" si="86"/>
        <v>43910</v>
      </c>
      <c r="AA483" s="80" t="str">
        <f t="shared" ca="1" si="87"/>
        <v>CLJ0</v>
      </c>
      <c r="AB483" s="74">
        <f t="shared" si="89"/>
        <v>43889</v>
      </c>
      <c r="AC483" s="80" t="str">
        <f t="shared" si="88"/>
        <v>LCOJ0</v>
      </c>
      <c r="AD483" s="80" t="str">
        <f t="shared" si="90"/>
        <v>CLJ0</v>
      </c>
      <c r="AE483" s="80" t="str">
        <f t="shared" si="91"/>
        <v>LCOK0</v>
      </c>
      <c r="AF483" s="80" t="str">
        <f t="shared" si="92"/>
        <v>CLK0</v>
      </c>
      <c r="AG483" s="80" t="str">
        <f t="shared" si="93"/>
        <v>LCOM0</v>
      </c>
      <c r="AH483" s="80" t="str">
        <f t="shared" si="94"/>
        <v>LCON0</v>
      </c>
    </row>
    <row r="484" spans="25:34" x14ac:dyDescent="0.35">
      <c r="Y484" s="74">
        <f t="shared" si="95"/>
        <v>43887</v>
      </c>
      <c r="Z484" s="74">
        <f t="shared" ca="1" si="86"/>
        <v>43910</v>
      </c>
      <c r="AA484" s="80" t="str">
        <f t="shared" ca="1" si="87"/>
        <v>CLJ0</v>
      </c>
      <c r="AB484" s="74">
        <f t="shared" si="89"/>
        <v>43889</v>
      </c>
      <c r="AC484" s="80" t="str">
        <f t="shared" si="88"/>
        <v>LCOJ0</v>
      </c>
      <c r="AD484" s="80" t="str">
        <f t="shared" si="90"/>
        <v>CLJ0</v>
      </c>
      <c r="AE484" s="80" t="str">
        <f t="shared" si="91"/>
        <v>LCOK0</v>
      </c>
      <c r="AF484" s="80" t="str">
        <f t="shared" si="92"/>
        <v>CLK0</v>
      </c>
      <c r="AG484" s="80" t="str">
        <f t="shared" si="93"/>
        <v>LCOM0</v>
      </c>
      <c r="AH484" s="80" t="str">
        <f t="shared" si="94"/>
        <v>LCON0</v>
      </c>
    </row>
    <row r="485" spans="25:34" x14ac:dyDescent="0.35">
      <c r="Y485" s="74">
        <f t="shared" si="95"/>
        <v>43888</v>
      </c>
      <c r="Z485" s="74">
        <f t="shared" ca="1" si="86"/>
        <v>43910</v>
      </c>
      <c r="AA485" s="80" t="str">
        <f t="shared" ca="1" si="87"/>
        <v>CLJ0</v>
      </c>
      <c r="AB485" s="74">
        <f t="shared" si="89"/>
        <v>43889</v>
      </c>
      <c r="AC485" s="80" t="str">
        <f t="shared" si="88"/>
        <v>LCOJ0</v>
      </c>
      <c r="AD485" s="80" t="str">
        <f t="shared" si="90"/>
        <v>CLJ0</v>
      </c>
      <c r="AE485" s="80" t="str">
        <f t="shared" si="91"/>
        <v>LCOK0</v>
      </c>
      <c r="AF485" s="80" t="str">
        <f t="shared" si="92"/>
        <v>CLK0</v>
      </c>
      <c r="AG485" s="80" t="str">
        <f t="shared" si="93"/>
        <v>LCOM0</v>
      </c>
      <c r="AH485" s="80" t="str">
        <f t="shared" si="94"/>
        <v>LCON0</v>
      </c>
    </row>
    <row r="486" spans="25:34" x14ac:dyDescent="0.35">
      <c r="Y486" s="74">
        <f t="shared" si="95"/>
        <v>43889</v>
      </c>
      <c r="Z486" s="74">
        <f t="shared" ca="1" si="86"/>
        <v>43910</v>
      </c>
      <c r="AA486" s="80" t="str">
        <f t="shared" ca="1" si="87"/>
        <v>CLJ0</v>
      </c>
      <c r="AB486" s="74">
        <f t="shared" si="89"/>
        <v>43889</v>
      </c>
      <c r="AC486" s="80" t="str">
        <f t="shared" si="88"/>
        <v>LCOJ0</v>
      </c>
      <c r="AD486" s="80" t="str">
        <f t="shared" si="90"/>
        <v>CLJ0</v>
      </c>
      <c r="AE486" s="80" t="str">
        <f t="shared" si="91"/>
        <v>LCOK0</v>
      </c>
      <c r="AF486" s="80" t="str">
        <f t="shared" si="92"/>
        <v>CLK0</v>
      </c>
      <c r="AG486" s="80" t="str">
        <f t="shared" si="93"/>
        <v>LCOM0</v>
      </c>
      <c r="AH486" s="80" t="str">
        <f t="shared" si="94"/>
        <v>LCON0</v>
      </c>
    </row>
    <row r="487" spans="25:34" x14ac:dyDescent="0.35">
      <c r="Y487" s="74">
        <f t="shared" si="95"/>
        <v>43890</v>
      </c>
      <c r="Z487" s="74">
        <f t="shared" ca="1" si="86"/>
        <v>43910</v>
      </c>
      <c r="AA487" s="80" t="str">
        <f t="shared" ca="1" si="87"/>
        <v>CLJ0</v>
      </c>
      <c r="AB487" s="74">
        <f t="shared" si="89"/>
        <v>43921</v>
      </c>
      <c r="AC487" s="80" t="str">
        <f t="shared" si="88"/>
        <v>LCOK0</v>
      </c>
      <c r="AD487" s="80" t="str">
        <f t="shared" si="90"/>
        <v>CLK0</v>
      </c>
      <c r="AE487" s="80" t="str">
        <f t="shared" si="91"/>
        <v>LCOM0</v>
      </c>
      <c r="AF487" s="80" t="str">
        <f t="shared" si="92"/>
        <v>CLM0</v>
      </c>
      <c r="AG487" s="80" t="str">
        <f t="shared" si="93"/>
        <v>LCON0</v>
      </c>
      <c r="AH487" s="80" t="str">
        <f t="shared" si="94"/>
        <v>LCOQ0</v>
      </c>
    </row>
    <row r="488" spans="25:34" x14ac:dyDescent="0.35">
      <c r="Y488" s="74">
        <f t="shared" si="95"/>
        <v>43891</v>
      </c>
      <c r="Z488" s="74">
        <f t="shared" ca="1" si="86"/>
        <v>43910</v>
      </c>
      <c r="AA488" s="80" t="str">
        <f t="shared" ca="1" si="87"/>
        <v>CLJ0</v>
      </c>
      <c r="AB488" s="74">
        <f t="shared" si="89"/>
        <v>43921</v>
      </c>
      <c r="AC488" s="80" t="str">
        <f t="shared" si="88"/>
        <v>LCOK0</v>
      </c>
      <c r="AD488" s="80" t="str">
        <f t="shared" si="90"/>
        <v>CLK0</v>
      </c>
      <c r="AE488" s="80" t="str">
        <f t="shared" si="91"/>
        <v>LCOM0</v>
      </c>
      <c r="AF488" s="80" t="str">
        <f t="shared" si="92"/>
        <v>CLM0</v>
      </c>
      <c r="AG488" s="80" t="str">
        <f t="shared" si="93"/>
        <v>LCON0</v>
      </c>
      <c r="AH488" s="80" t="str">
        <f t="shared" si="94"/>
        <v>LCOQ0</v>
      </c>
    </row>
    <row r="489" spans="25:34" x14ac:dyDescent="0.35">
      <c r="Y489" s="74">
        <f t="shared" si="95"/>
        <v>43892</v>
      </c>
      <c r="Z489" s="74">
        <f t="shared" ca="1" si="86"/>
        <v>43910</v>
      </c>
      <c r="AA489" s="80" t="str">
        <f t="shared" ca="1" si="87"/>
        <v>CLJ0</v>
      </c>
      <c r="AB489" s="74">
        <f t="shared" si="89"/>
        <v>43921</v>
      </c>
      <c r="AC489" s="80" t="str">
        <f t="shared" si="88"/>
        <v>LCOK0</v>
      </c>
      <c r="AD489" s="80" t="str">
        <f t="shared" si="90"/>
        <v>CLK0</v>
      </c>
      <c r="AE489" s="80" t="str">
        <f t="shared" si="91"/>
        <v>LCOM0</v>
      </c>
      <c r="AF489" s="80" t="str">
        <f t="shared" si="92"/>
        <v>CLM0</v>
      </c>
      <c r="AG489" s="80" t="str">
        <f t="shared" si="93"/>
        <v>LCON0</v>
      </c>
      <c r="AH489" s="80" t="str">
        <f t="shared" si="94"/>
        <v>LCOQ0</v>
      </c>
    </row>
    <row r="490" spans="25:34" x14ac:dyDescent="0.35">
      <c r="Y490" s="74">
        <f t="shared" si="95"/>
        <v>43893</v>
      </c>
      <c r="Z490" s="74">
        <f t="shared" ca="1" si="86"/>
        <v>43910</v>
      </c>
      <c r="AA490" s="80" t="str">
        <f t="shared" ca="1" si="87"/>
        <v>CLJ0</v>
      </c>
      <c r="AB490" s="74">
        <f t="shared" si="89"/>
        <v>43921</v>
      </c>
      <c r="AC490" s="80" t="str">
        <f t="shared" si="88"/>
        <v>LCOK0</v>
      </c>
      <c r="AD490" s="80" t="str">
        <f t="shared" si="90"/>
        <v>CLK0</v>
      </c>
      <c r="AE490" s="80" t="str">
        <f t="shared" si="91"/>
        <v>LCOM0</v>
      </c>
      <c r="AF490" s="80" t="str">
        <f t="shared" si="92"/>
        <v>CLM0</v>
      </c>
      <c r="AG490" s="80" t="str">
        <f t="shared" si="93"/>
        <v>LCON0</v>
      </c>
      <c r="AH490" s="80" t="str">
        <f t="shared" si="94"/>
        <v>LCOQ0</v>
      </c>
    </row>
    <row r="491" spans="25:34" x14ac:dyDescent="0.35">
      <c r="Y491" s="74">
        <f t="shared" si="95"/>
        <v>43894</v>
      </c>
      <c r="Z491" s="74">
        <f t="shared" ca="1" si="86"/>
        <v>43910</v>
      </c>
      <c r="AA491" s="80" t="str">
        <f t="shared" ca="1" si="87"/>
        <v>CLJ0</v>
      </c>
      <c r="AB491" s="74">
        <f t="shared" si="89"/>
        <v>43921</v>
      </c>
      <c r="AC491" s="80" t="str">
        <f t="shared" si="88"/>
        <v>LCOK0</v>
      </c>
      <c r="AD491" s="80" t="str">
        <f t="shared" si="90"/>
        <v>CLK0</v>
      </c>
      <c r="AE491" s="80" t="str">
        <f t="shared" si="91"/>
        <v>LCOM0</v>
      </c>
      <c r="AF491" s="80" t="str">
        <f t="shared" si="92"/>
        <v>CLM0</v>
      </c>
      <c r="AG491" s="80" t="str">
        <f t="shared" si="93"/>
        <v>LCON0</v>
      </c>
      <c r="AH491" s="80" t="str">
        <f t="shared" si="94"/>
        <v>LCOQ0</v>
      </c>
    </row>
    <row r="492" spans="25:34" x14ac:dyDescent="0.35">
      <c r="Y492" s="74">
        <f t="shared" si="95"/>
        <v>43895</v>
      </c>
      <c r="Z492" s="74">
        <f t="shared" ca="1" si="86"/>
        <v>43910</v>
      </c>
      <c r="AA492" s="80" t="str">
        <f t="shared" ca="1" si="87"/>
        <v>CLJ0</v>
      </c>
      <c r="AB492" s="74">
        <f t="shared" si="89"/>
        <v>43921</v>
      </c>
      <c r="AC492" s="80" t="str">
        <f t="shared" si="88"/>
        <v>LCOK0</v>
      </c>
      <c r="AD492" s="80" t="str">
        <f t="shared" si="90"/>
        <v>CLK0</v>
      </c>
      <c r="AE492" s="80" t="str">
        <f t="shared" si="91"/>
        <v>LCOM0</v>
      </c>
      <c r="AF492" s="80" t="str">
        <f t="shared" si="92"/>
        <v>CLM0</v>
      </c>
      <c r="AG492" s="80" t="str">
        <f t="shared" si="93"/>
        <v>LCON0</v>
      </c>
      <c r="AH492" s="80" t="str">
        <f t="shared" si="94"/>
        <v>LCOQ0</v>
      </c>
    </row>
    <row r="493" spans="25:34" x14ac:dyDescent="0.35">
      <c r="Y493" s="74">
        <f t="shared" si="95"/>
        <v>43896</v>
      </c>
      <c r="Z493" s="74">
        <f t="shared" ca="1" si="86"/>
        <v>43910</v>
      </c>
      <c r="AA493" s="80" t="str">
        <f t="shared" ca="1" si="87"/>
        <v>CLJ0</v>
      </c>
      <c r="AB493" s="74">
        <f t="shared" si="89"/>
        <v>43921</v>
      </c>
      <c r="AC493" s="80" t="str">
        <f t="shared" si="88"/>
        <v>LCOK0</v>
      </c>
      <c r="AD493" s="80" t="str">
        <f t="shared" si="90"/>
        <v>CLK0</v>
      </c>
      <c r="AE493" s="80" t="str">
        <f t="shared" si="91"/>
        <v>LCOM0</v>
      </c>
      <c r="AF493" s="80" t="str">
        <f t="shared" si="92"/>
        <v>CLM0</v>
      </c>
      <c r="AG493" s="80" t="str">
        <f t="shared" si="93"/>
        <v>LCON0</v>
      </c>
      <c r="AH493" s="80" t="str">
        <f t="shared" si="94"/>
        <v>LCOQ0</v>
      </c>
    </row>
    <row r="494" spans="25:34" x14ac:dyDescent="0.35">
      <c r="Y494" s="74">
        <f t="shared" si="95"/>
        <v>43897</v>
      </c>
      <c r="Z494" s="74">
        <f t="shared" ca="1" si="86"/>
        <v>43910</v>
      </c>
      <c r="AA494" s="80" t="str">
        <f t="shared" ca="1" si="87"/>
        <v>CLJ0</v>
      </c>
      <c r="AB494" s="74">
        <f t="shared" si="89"/>
        <v>43921</v>
      </c>
      <c r="AC494" s="80" t="str">
        <f t="shared" si="88"/>
        <v>LCOK0</v>
      </c>
      <c r="AD494" s="80" t="str">
        <f t="shared" si="90"/>
        <v>CLK0</v>
      </c>
      <c r="AE494" s="80" t="str">
        <f t="shared" si="91"/>
        <v>LCOM0</v>
      </c>
      <c r="AF494" s="80" t="str">
        <f t="shared" si="92"/>
        <v>CLM0</v>
      </c>
      <c r="AG494" s="80" t="str">
        <f t="shared" si="93"/>
        <v>LCON0</v>
      </c>
      <c r="AH494" s="80" t="str">
        <f t="shared" si="94"/>
        <v>LCOQ0</v>
      </c>
    </row>
    <row r="495" spans="25:34" x14ac:dyDescent="0.35">
      <c r="Y495" s="74">
        <f t="shared" si="95"/>
        <v>43898</v>
      </c>
      <c r="Z495" s="74">
        <f t="shared" ca="1" si="86"/>
        <v>43910</v>
      </c>
      <c r="AA495" s="80" t="str">
        <f t="shared" ca="1" si="87"/>
        <v>CLJ0</v>
      </c>
      <c r="AB495" s="74">
        <f t="shared" si="89"/>
        <v>43921</v>
      </c>
      <c r="AC495" s="80" t="str">
        <f t="shared" si="88"/>
        <v>LCOK0</v>
      </c>
      <c r="AD495" s="80" t="str">
        <f t="shared" si="90"/>
        <v>CLK0</v>
      </c>
      <c r="AE495" s="80" t="str">
        <f t="shared" si="91"/>
        <v>LCOM0</v>
      </c>
      <c r="AF495" s="80" t="str">
        <f t="shared" si="92"/>
        <v>CLM0</v>
      </c>
      <c r="AG495" s="80" t="str">
        <f t="shared" si="93"/>
        <v>LCON0</v>
      </c>
      <c r="AH495" s="80" t="str">
        <f t="shared" si="94"/>
        <v>LCOQ0</v>
      </c>
    </row>
    <row r="496" spans="25:34" x14ac:dyDescent="0.35">
      <c r="Y496" s="74">
        <f t="shared" si="95"/>
        <v>43899</v>
      </c>
      <c r="Z496" s="74">
        <f t="shared" ca="1" si="86"/>
        <v>43910</v>
      </c>
      <c r="AA496" s="80" t="str">
        <f t="shared" ca="1" si="87"/>
        <v>CLJ0</v>
      </c>
      <c r="AB496" s="74">
        <f t="shared" si="89"/>
        <v>43921</v>
      </c>
      <c r="AC496" s="80" t="str">
        <f t="shared" si="88"/>
        <v>LCOK0</v>
      </c>
      <c r="AD496" s="80" t="str">
        <f t="shared" si="90"/>
        <v>CLK0</v>
      </c>
      <c r="AE496" s="80" t="str">
        <f t="shared" si="91"/>
        <v>LCOM0</v>
      </c>
      <c r="AF496" s="80" t="str">
        <f t="shared" si="92"/>
        <v>CLM0</v>
      </c>
      <c r="AG496" s="80" t="str">
        <f t="shared" si="93"/>
        <v>LCON0</v>
      </c>
      <c r="AH496" s="80" t="str">
        <f t="shared" si="94"/>
        <v>LCOQ0</v>
      </c>
    </row>
    <row r="497" spans="25:34" x14ac:dyDescent="0.35">
      <c r="Y497" s="74">
        <f t="shared" si="95"/>
        <v>43900</v>
      </c>
      <c r="Z497" s="74">
        <f t="shared" ca="1" si="86"/>
        <v>43910</v>
      </c>
      <c r="AA497" s="80" t="str">
        <f t="shared" ca="1" si="87"/>
        <v>CLJ0</v>
      </c>
      <c r="AB497" s="74">
        <f t="shared" si="89"/>
        <v>43921</v>
      </c>
      <c r="AC497" s="80" t="str">
        <f t="shared" si="88"/>
        <v>LCOK0</v>
      </c>
      <c r="AD497" s="80" t="str">
        <f t="shared" si="90"/>
        <v>CLK0</v>
      </c>
      <c r="AE497" s="80" t="str">
        <f t="shared" si="91"/>
        <v>LCOM0</v>
      </c>
      <c r="AF497" s="80" t="str">
        <f t="shared" si="92"/>
        <v>CLM0</v>
      </c>
      <c r="AG497" s="80" t="str">
        <f t="shared" si="93"/>
        <v>LCON0</v>
      </c>
      <c r="AH497" s="80" t="str">
        <f t="shared" si="94"/>
        <v>LCOQ0</v>
      </c>
    </row>
    <row r="498" spans="25:34" x14ac:dyDescent="0.35">
      <c r="Y498" s="74">
        <f t="shared" si="95"/>
        <v>43901</v>
      </c>
      <c r="Z498" s="74">
        <f t="shared" ca="1" si="86"/>
        <v>43910</v>
      </c>
      <c r="AA498" s="80" t="str">
        <f t="shared" ca="1" si="87"/>
        <v>CLJ0</v>
      </c>
      <c r="AB498" s="74">
        <f t="shared" si="89"/>
        <v>43921</v>
      </c>
      <c r="AC498" s="80" t="str">
        <f t="shared" si="88"/>
        <v>LCOK0</v>
      </c>
      <c r="AD498" s="80" t="str">
        <f t="shared" si="90"/>
        <v>CLK0</v>
      </c>
      <c r="AE498" s="80" t="str">
        <f t="shared" si="91"/>
        <v>LCOM0</v>
      </c>
      <c r="AF498" s="80" t="str">
        <f t="shared" si="92"/>
        <v>CLM0</v>
      </c>
      <c r="AG498" s="80" t="str">
        <f t="shared" si="93"/>
        <v>LCON0</v>
      </c>
      <c r="AH498" s="80" t="str">
        <f t="shared" si="94"/>
        <v>LCOQ0</v>
      </c>
    </row>
    <row r="499" spans="25:34" x14ac:dyDescent="0.35">
      <c r="Y499" s="74">
        <f t="shared" si="95"/>
        <v>43902</v>
      </c>
      <c r="Z499" s="74">
        <f t="shared" ca="1" si="86"/>
        <v>43910</v>
      </c>
      <c r="AA499" s="80" t="str">
        <f t="shared" ca="1" si="87"/>
        <v>CLJ0</v>
      </c>
      <c r="AB499" s="74">
        <f t="shared" si="89"/>
        <v>43921</v>
      </c>
      <c r="AC499" s="80" t="str">
        <f t="shared" si="88"/>
        <v>LCOK0</v>
      </c>
      <c r="AD499" s="80" t="str">
        <f t="shared" si="90"/>
        <v>CLK0</v>
      </c>
      <c r="AE499" s="80" t="str">
        <f t="shared" si="91"/>
        <v>LCOM0</v>
      </c>
      <c r="AF499" s="80" t="str">
        <f t="shared" si="92"/>
        <v>CLM0</v>
      </c>
      <c r="AG499" s="80" t="str">
        <f t="shared" si="93"/>
        <v>LCON0</v>
      </c>
      <c r="AH499" s="80" t="str">
        <f t="shared" si="94"/>
        <v>LCOQ0</v>
      </c>
    </row>
    <row r="500" spans="25:34" x14ac:dyDescent="0.35">
      <c r="Y500" s="74">
        <f t="shared" si="95"/>
        <v>43903</v>
      </c>
      <c r="Z500" s="74">
        <f t="shared" ca="1" si="86"/>
        <v>43910</v>
      </c>
      <c r="AA500" s="80" t="str">
        <f t="shared" ca="1" si="87"/>
        <v>CLJ0</v>
      </c>
      <c r="AB500" s="74">
        <f t="shared" si="89"/>
        <v>43921</v>
      </c>
      <c r="AC500" s="80" t="str">
        <f t="shared" si="88"/>
        <v>LCOK0</v>
      </c>
      <c r="AD500" s="80" t="str">
        <f t="shared" si="90"/>
        <v>CLK0</v>
      </c>
      <c r="AE500" s="80" t="str">
        <f t="shared" si="91"/>
        <v>LCOM0</v>
      </c>
      <c r="AF500" s="80" t="str">
        <f t="shared" si="92"/>
        <v>CLM0</v>
      </c>
      <c r="AG500" s="80" t="str">
        <f t="shared" si="93"/>
        <v>LCON0</v>
      </c>
      <c r="AH500" s="80" t="str">
        <f t="shared" si="94"/>
        <v>LCOQ0</v>
      </c>
    </row>
    <row r="501" spans="25:34" x14ac:dyDescent="0.35">
      <c r="Y501" s="74">
        <f t="shared" si="95"/>
        <v>43904</v>
      </c>
      <c r="Z501" s="74">
        <f t="shared" ca="1" si="86"/>
        <v>43910</v>
      </c>
      <c r="AA501" s="80" t="str">
        <f t="shared" ca="1" si="87"/>
        <v>CLJ0</v>
      </c>
      <c r="AB501" s="74">
        <f t="shared" si="89"/>
        <v>43921</v>
      </c>
      <c r="AC501" s="80" t="str">
        <f t="shared" si="88"/>
        <v>LCOK0</v>
      </c>
      <c r="AD501" s="80" t="str">
        <f t="shared" si="90"/>
        <v>CLK0</v>
      </c>
      <c r="AE501" s="80" t="str">
        <f t="shared" si="91"/>
        <v>LCOM0</v>
      </c>
      <c r="AF501" s="80" t="str">
        <f t="shared" si="92"/>
        <v>CLM0</v>
      </c>
      <c r="AG501" s="80" t="str">
        <f t="shared" si="93"/>
        <v>LCON0</v>
      </c>
      <c r="AH501" s="80" t="str">
        <f t="shared" si="94"/>
        <v>LCOQ0</v>
      </c>
    </row>
    <row r="502" spans="25:34" x14ac:dyDescent="0.35">
      <c r="Y502" s="74">
        <f t="shared" si="95"/>
        <v>43905</v>
      </c>
      <c r="Z502" s="74">
        <f t="shared" ca="1" si="86"/>
        <v>43910</v>
      </c>
      <c r="AA502" s="80" t="str">
        <f t="shared" ca="1" si="87"/>
        <v>CLJ0</v>
      </c>
      <c r="AB502" s="74">
        <f t="shared" si="89"/>
        <v>43921</v>
      </c>
      <c r="AC502" s="80" t="str">
        <f t="shared" si="88"/>
        <v>LCOK0</v>
      </c>
      <c r="AD502" s="80" t="str">
        <f t="shared" si="90"/>
        <v>CLK0</v>
      </c>
      <c r="AE502" s="80" t="str">
        <f t="shared" si="91"/>
        <v>LCOM0</v>
      </c>
      <c r="AF502" s="80" t="str">
        <f t="shared" si="92"/>
        <v>CLM0</v>
      </c>
      <c r="AG502" s="80" t="str">
        <f t="shared" si="93"/>
        <v>LCON0</v>
      </c>
      <c r="AH502" s="80" t="str">
        <f t="shared" si="94"/>
        <v>LCOQ0</v>
      </c>
    </row>
    <row r="503" spans="25:34" x14ac:dyDescent="0.35">
      <c r="Y503" s="74">
        <f t="shared" si="95"/>
        <v>43906</v>
      </c>
      <c r="Z503" s="74">
        <f t="shared" ca="1" si="86"/>
        <v>43910</v>
      </c>
      <c r="AA503" s="80" t="str">
        <f t="shared" ca="1" si="87"/>
        <v>CLJ0</v>
      </c>
      <c r="AB503" s="74">
        <f t="shared" si="89"/>
        <v>43921</v>
      </c>
      <c r="AC503" s="80" t="str">
        <f t="shared" si="88"/>
        <v>LCOK0</v>
      </c>
      <c r="AD503" s="80" t="str">
        <f t="shared" si="90"/>
        <v>CLK0</v>
      </c>
      <c r="AE503" s="80" t="str">
        <f t="shared" si="91"/>
        <v>LCOM0</v>
      </c>
      <c r="AF503" s="80" t="str">
        <f t="shared" si="92"/>
        <v>CLM0</v>
      </c>
      <c r="AG503" s="80" t="str">
        <f t="shared" si="93"/>
        <v>LCON0</v>
      </c>
      <c r="AH503" s="80" t="str">
        <f t="shared" si="94"/>
        <v>LCOQ0</v>
      </c>
    </row>
    <row r="504" spans="25:34" x14ac:dyDescent="0.35">
      <c r="Y504" s="74">
        <f t="shared" si="95"/>
        <v>43907</v>
      </c>
      <c r="Z504" s="74">
        <f t="shared" ca="1" si="86"/>
        <v>43910</v>
      </c>
      <c r="AA504" s="80" t="str">
        <f t="shared" ca="1" si="87"/>
        <v>CLJ0</v>
      </c>
      <c r="AB504" s="74">
        <f t="shared" si="89"/>
        <v>43921</v>
      </c>
      <c r="AC504" s="80" t="str">
        <f t="shared" si="88"/>
        <v>LCOK0</v>
      </c>
      <c r="AD504" s="80" t="str">
        <f t="shared" si="90"/>
        <v>CLK0</v>
      </c>
      <c r="AE504" s="80" t="str">
        <f t="shared" si="91"/>
        <v>LCOM0</v>
      </c>
      <c r="AF504" s="80" t="str">
        <f t="shared" si="92"/>
        <v>CLM0</v>
      </c>
      <c r="AG504" s="80" t="str">
        <f t="shared" si="93"/>
        <v>LCON0</v>
      </c>
      <c r="AH504" s="80" t="str">
        <f t="shared" si="94"/>
        <v>LCOQ0</v>
      </c>
    </row>
    <row r="505" spans="25:34" x14ac:dyDescent="0.35">
      <c r="Y505" s="74">
        <f t="shared" si="95"/>
        <v>43908</v>
      </c>
      <c r="Z505" s="74">
        <f t="shared" ca="1" si="86"/>
        <v>43910</v>
      </c>
      <c r="AA505" s="80" t="str">
        <f t="shared" ca="1" si="87"/>
        <v>CLJ0</v>
      </c>
      <c r="AB505" s="74">
        <f t="shared" si="89"/>
        <v>43921</v>
      </c>
      <c r="AC505" s="80" t="str">
        <f t="shared" si="88"/>
        <v>LCOK0</v>
      </c>
      <c r="AD505" s="80" t="str">
        <f t="shared" si="90"/>
        <v>CLK0</v>
      </c>
      <c r="AE505" s="80" t="str">
        <f t="shared" si="91"/>
        <v>LCOM0</v>
      </c>
      <c r="AF505" s="80" t="str">
        <f t="shared" si="92"/>
        <v>CLM0</v>
      </c>
      <c r="AG505" s="80" t="str">
        <f t="shared" si="93"/>
        <v>LCON0</v>
      </c>
      <c r="AH505" s="80" t="str">
        <f t="shared" si="94"/>
        <v>LCOQ0</v>
      </c>
    </row>
    <row r="506" spans="25:34" x14ac:dyDescent="0.35">
      <c r="Y506" s="74">
        <f t="shared" si="95"/>
        <v>43909</v>
      </c>
      <c r="Z506" s="74">
        <f t="shared" ca="1" si="86"/>
        <v>43910</v>
      </c>
      <c r="AA506" s="80" t="str">
        <f t="shared" ca="1" si="87"/>
        <v>CLJ0</v>
      </c>
      <c r="AB506" s="74">
        <f t="shared" si="89"/>
        <v>43921</v>
      </c>
      <c r="AC506" s="80" t="str">
        <f t="shared" si="88"/>
        <v>LCOK0</v>
      </c>
      <c r="AD506" s="80" t="str">
        <f t="shared" si="90"/>
        <v>CLK0</v>
      </c>
      <c r="AE506" s="80" t="str">
        <f t="shared" si="91"/>
        <v>LCOM0</v>
      </c>
      <c r="AF506" s="80" t="str">
        <f t="shared" si="92"/>
        <v>CLM0</v>
      </c>
      <c r="AG506" s="80" t="str">
        <f t="shared" si="93"/>
        <v>LCON0</v>
      </c>
      <c r="AH506" s="80" t="str">
        <f t="shared" si="94"/>
        <v>LCOQ0</v>
      </c>
    </row>
    <row r="507" spans="25:34" x14ac:dyDescent="0.35">
      <c r="Y507" s="74">
        <f t="shared" si="95"/>
        <v>43910</v>
      </c>
      <c r="Z507" s="74">
        <f t="shared" ca="1" si="86"/>
        <v>43910</v>
      </c>
      <c r="AA507" s="80" t="str">
        <f t="shared" ca="1" si="87"/>
        <v>CLJ0</v>
      </c>
      <c r="AB507" s="74">
        <f t="shared" si="89"/>
        <v>43921</v>
      </c>
      <c r="AC507" s="80" t="str">
        <f t="shared" si="88"/>
        <v>LCOK0</v>
      </c>
      <c r="AD507" s="80" t="str">
        <f t="shared" si="90"/>
        <v>CLK0</v>
      </c>
      <c r="AE507" s="80" t="str">
        <f t="shared" si="91"/>
        <v>LCOM0</v>
      </c>
      <c r="AF507" s="80" t="str">
        <f t="shared" si="92"/>
        <v>CLM0</v>
      </c>
      <c r="AG507" s="80" t="str">
        <f t="shared" si="93"/>
        <v>LCON0</v>
      </c>
      <c r="AH507" s="80" t="str">
        <f t="shared" si="94"/>
        <v>LCOQ0</v>
      </c>
    </row>
    <row r="508" spans="25:34" x14ac:dyDescent="0.35">
      <c r="Y508" s="74">
        <f t="shared" si="95"/>
        <v>43911</v>
      </c>
      <c r="Z508" s="74">
        <f t="shared" ca="1" si="86"/>
        <v>43942</v>
      </c>
      <c r="AA508" s="80" t="str">
        <f t="shared" ca="1" si="87"/>
        <v>CLK0</v>
      </c>
      <c r="AB508" s="74">
        <f t="shared" si="89"/>
        <v>43921</v>
      </c>
      <c r="AC508" s="80" t="str">
        <f t="shared" si="88"/>
        <v>LCOK0</v>
      </c>
      <c r="AD508" s="80" t="str">
        <f t="shared" si="90"/>
        <v>CLK0</v>
      </c>
      <c r="AE508" s="80" t="str">
        <f t="shared" si="91"/>
        <v>LCOM0</v>
      </c>
      <c r="AF508" s="80" t="str">
        <f t="shared" si="92"/>
        <v>CLM0</v>
      </c>
      <c r="AG508" s="80" t="str">
        <f t="shared" si="93"/>
        <v>LCON0</v>
      </c>
      <c r="AH508" s="80" t="str">
        <f t="shared" si="94"/>
        <v>LCOQ0</v>
      </c>
    </row>
    <row r="509" spans="25:34" x14ac:dyDescent="0.35">
      <c r="Y509" s="74">
        <f t="shared" si="95"/>
        <v>43912</v>
      </c>
      <c r="Z509" s="74">
        <f t="shared" ca="1" si="86"/>
        <v>43942</v>
      </c>
      <c r="AA509" s="80" t="str">
        <f t="shared" ca="1" si="87"/>
        <v>CLK0</v>
      </c>
      <c r="AB509" s="74">
        <f t="shared" si="89"/>
        <v>43921</v>
      </c>
      <c r="AC509" s="80" t="str">
        <f t="shared" si="88"/>
        <v>LCOK0</v>
      </c>
      <c r="AD509" s="80" t="str">
        <f t="shared" si="90"/>
        <v>CLK0</v>
      </c>
      <c r="AE509" s="80" t="str">
        <f t="shared" si="91"/>
        <v>LCOM0</v>
      </c>
      <c r="AF509" s="80" t="str">
        <f t="shared" si="92"/>
        <v>CLM0</v>
      </c>
      <c r="AG509" s="80" t="str">
        <f t="shared" si="93"/>
        <v>LCON0</v>
      </c>
      <c r="AH509" s="80" t="str">
        <f t="shared" si="94"/>
        <v>LCOQ0</v>
      </c>
    </row>
    <row r="510" spans="25:34" x14ac:dyDescent="0.35">
      <c r="Y510" s="74">
        <f t="shared" si="95"/>
        <v>43913</v>
      </c>
      <c r="Z510" s="74">
        <f t="shared" ca="1" si="86"/>
        <v>43942</v>
      </c>
      <c r="AA510" s="80" t="str">
        <f t="shared" ca="1" si="87"/>
        <v>CLK0</v>
      </c>
      <c r="AB510" s="74">
        <f t="shared" si="89"/>
        <v>43921</v>
      </c>
      <c r="AC510" s="80" t="str">
        <f t="shared" si="88"/>
        <v>LCOK0</v>
      </c>
      <c r="AD510" s="80" t="str">
        <f t="shared" si="90"/>
        <v>CLK0</v>
      </c>
      <c r="AE510" s="80" t="str">
        <f t="shared" si="91"/>
        <v>LCOM0</v>
      </c>
      <c r="AF510" s="80" t="str">
        <f t="shared" si="92"/>
        <v>CLM0</v>
      </c>
      <c r="AG510" s="80" t="str">
        <f t="shared" si="93"/>
        <v>LCON0</v>
      </c>
      <c r="AH510" s="80" t="str">
        <f t="shared" si="94"/>
        <v>LCOQ0</v>
      </c>
    </row>
    <row r="511" spans="25:34" x14ac:dyDescent="0.35">
      <c r="Y511" s="74">
        <f t="shared" si="95"/>
        <v>43914</v>
      </c>
      <c r="Z511" s="74">
        <f t="shared" ca="1" si="86"/>
        <v>43942</v>
      </c>
      <c r="AA511" s="80" t="str">
        <f t="shared" ca="1" si="87"/>
        <v>CLK0</v>
      </c>
      <c r="AB511" s="74">
        <f t="shared" si="89"/>
        <v>43921</v>
      </c>
      <c r="AC511" s="80" t="str">
        <f t="shared" si="88"/>
        <v>LCOK0</v>
      </c>
      <c r="AD511" s="80" t="str">
        <f t="shared" si="90"/>
        <v>CLK0</v>
      </c>
      <c r="AE511" s="80" t="str">
        <f t="shared" si="91"/>
        <v>LCOM0</v>
      </c>
      <c r="AF511" s="80" t="str">
        <f t="shared" si="92"/>
        <v>CLM0</v>
      </c>
      <c r="AG511" s="80" t="str">
        <f t="shared" si="93"/>
        <v>LCON0</v>
      </c>
      <c r="AH511" s="80" t="str">
        <f t="shared" si="94"/>
        <v>LCOQ0</v>
      </c>
    </row>
    <row r="512" spans="25:34" x14ac:dyDescent="0.35">
      <c r="Y512" s="74">
        <f t="shared" si="95"/>
        <v>43915</v>
      </c>
      <c r="Z512" s="74">
        <f t="shared" ca="1" si="86"/>
        <v>43942</v>
      </c>
      <c r="AA512" s="80" t="str">
        <f t="shared" ca="1" si="87"/>
        <v>CLK0</v>
      </c>
      <c r="AB512" s="74">
        <f t="shared" si="89"/>
        <v>43921</v>
      </c>
      <c r="AC512" s="80" t="str">
        <f t="shared" si="88"/>
        <v>LCOK0</v>
      </c>
      <c r="AD512" s="80" t="str">
        <f t="shared" si="90"/>
        <v>CLK0</v>
      </c>
      <c r="AE512" s="80" t="str">
        <f t="shared" si="91"/>
        <v>LCOM0</v>
      </c>
      <c r="AF512" s="80" t="str">
        <f t="shared" si="92"/>
        <v>CLM0</v>
      </c>
      <c r="AG512" s="80" t="str">
        <f t="shared" si="93"/>
        <v>LCON0</v>
      </c>
      <c r="AH512" s="80" t="str">
        <f t="shared" si="94"/>
        <v>LCOQ0</v>
      </c>
    </row>
    <row r="513" spans="25:34" x14ac:dyDescent="0.35">
      <c r="Y513" s="74">
        <f t="shared" si="95"/>
        <v>43916</v>
      </c>
      <c r="Z513" s="74">
        <f t="shared" ca="1" si="86"/>
        <v>43942</v>
      </c>
      <c r="AA513" s="80" t="str">
        <f t="shared" ca="1" si="87"/>
        <v>CLK0</v>
      </c>
      <c r="AB513" s="74">
        <f t="shared" si="89"/>
        <v>43921</v>
      </c>
      <c r="AC513" s="80" t="str">
        <f t="shared" si="88"/>
        <v>LCOK0</v>
      </c>
      <c r="AD513" s="80" t="str">
        <f t="shared" si="90"/>
        <v>CLK0</v>
      </c>
      <c r="AE513" s="80" t="str">
        <f t="shared" si="91"/>
        <v>LCOM0</v>
      </c>
      <c r="AF513" s="80" t="str">
        <f t="shared" si="92"/>
        <v>CLM0</v>
      </c>
      <c r="AG513" s="80" t="str">
        <f t="shared" si="93"/>
        <v>LCON0</v>
      </c>
      <c r="AH513" s="80" t="str">
        <f t="shared" si="94"/>
        <v>LCOQ0</v>
      </c>
    </row>
    <row r="514" spans="25:34" x14ac:dyDescent="0.35">
      <c r="Y514" s="74">
        <f t="shared" si="95"/>
        <v>43917</v>
      </c>
      <c r="Z514" s="74">
        <f t="shared" ref="Z514:Z577" ca="1" si="96">VLOOKUP(AA514,$I$2:$K$39,3,FALSE)</f>
        <v>43942</v>
      </c>
      <c r="AA514" s="80" t="str">
        <f t="shared" ref="AA514:AA577" ca="1" si="97">LOOKUP(2,1/($J$2:$J$700&lt;=$Y514)/($K$2:$K$700&gt;=$Y514),$L$2:$L$700)</f>
        <v>CLK0</v>
      </c>
      <c r="AB514" s="74">
        <f t="shared" si="89"/>
        <v>43921</v>
      </c>
      <c r="AC514" s="80" t="str">
        <f t="shared" ref="AC514:AC577" si="98">LOOKUP(2,1/($R$2:$R$700&lt;=$Y514)/($S$2:$S$700&gt;=$Y514),$T$2:$T$700)</f>
        <v>LCOK0</v>
      </c>
      <c r="AD514" s="80" t="str">
        <f t="shared" si="90"/>
        <v>CLK0</v>
      </c>
      <c r="AE514" s="80" t="str">
        <f t="shared" si="91"/>
        <v>LCOM0</v>
      </c>
      <c r="AF514" s="80" t="str">
        <f t="shared" si="92"/>
        <v>CLM0</v>
      </c>
      <c r="AG514" s="80" t="str">
        <f t="shared" si="93"/>
        <v>LCON0</v>
      </c>
      <c r="AH514" s="80" t="str">
        <f t="shared" si="94"/>
        <v>LCOQ0</v>
      </c>
    </row>
    <row r="515" spans="25:34" x14ac:dyDescent="0.35">
      <c r="Y515" s="74">
        <f t="shared" si="95"/>
        <v>43918</v>
      </c>
      <c r="Z515" s="74">
        <f t="shared" ca="1" si="96"/>
        <v>43942</v>
      </c>
      <c r="AA515" s="80" t="str">
        <f t="shared" ca="1" si="97"/>
        <v>CLK0</v>
      </c>
      <c r="AB515" s="74">
        <f t="shared" ref="AB515:AB578" si="99">VLOOKUP(AC515,$Q$2:$S$39,3,FALSE)</f>
        <v>43921</v>
      </c>
      <c r="AC515" s="80" t="str">
        <f t="shared" si="98"/>
        <v>LCOK0</v>
      </c>
      <c r="AD515" s="80" t="str">
        <f t="shared" ref="AD515:AD578" si="100">CONCATENATE("CL",RIGHT(AC515,2))</f>
        <v>CLK0</v>
      </c>
      <c r="AE515" s="80" t="str">
        <f t="shared" ref="AE515:AE578" si="101">LOOKUP(2,1/($R$2:$R$700&lt;=$Y515)/($S$2:$S$700&gt;=$Y515),$U$2:$U$700)</f>
        <v>LCOM0</v>
      </c>
      <c r="AF515" s="80" t="str">
        <f t="shared" ref="AF515:AF578" si="102">CONCATENATE("CL",RIGHT(AE515,2))</f>
        <v>CLM0</v>
      </c>
      <c r="AG515" s="80" t="str">
        <f t="shared" ref="AG515:AG578" si="103">LOOKUP(2,1/($R$2:$R$700&lt;=$Y515)/($S$2:$S$700&gt;=$Y515),$V$2:$V$700)</f>
        <v>LCON0</v>
      </c>
      <c r="AH515" s="80" t="str">
        <f t="shared" ref="AH515:AH578" si="104">LOOKUP(2,1/($R$2:$R$700&lt;=$Y515)/($S$2:$S$700&gt;=$Y515),$W$2:$W$700)</f>
        <v>LCOQ0</v>
      </c>
    </row>
    <row r="516" spans="25:34" x14ac:dyDescent="0.35">
      <c r="Y516" s="74">
        <f t="shared" si="95"/>
        <v>43919</v>
      </c>
      <c r="Z516" s="74">
        <f t="shared" ca="1" si="96"/>
        <v>43942</v>
      </c>
      <c r="AA516" s="80" t="str">
        <f t="shared" ca="1" si="97"/>
        <v>CLK0</v>
      </c>
      <c r="AB516" s="74">
        <f t="shared" si="99"/>
        <v>43921</v>
      </c>
      <c r="AC516" s="80" t="str">
        <f t="shared" si="98"/>
        <v>LCOK0</v>
      </c>
      <c r="AD516" s="80" t="str">
        <f t="shared" si="100"/>
        <v>CLK0</v>
      </c>
      <c r="AE516" s="80" t="str">
        <f t="shared" si="101"/>
        <v>LCOM0</v>
      </c>
      <c r="AF516" s="80" t="str">
        <f t="shared" si="102"/>
        <v>CLM0</v>
      </c>
      <c r="AG516" s="80" t="str">
        <f t="shared" si="103"/>
        <v>LCON0</v>
      </c>
      <c r="AH516" s="80" t="str">
        <f t="shared" si="104"/>
        <v>LCOQ0</v>
      </c>
    </row>
    <row r="517" spans="25:34" x14ac:dyDescent="0.35">
      <c r="Y517" s="74">
        <f t="shared" si="95"/>
        <v>43920</v>
      </c>
      <c r="Z517" s="74">
        <f t="shared" ca="1" si="96"/>
        <v>43942</v>
      </c>
      <c r="AA517" s="80" t="str">
        <f t="shared" ca="1" si="97"/>
        <v>CLK0</v>
      </c>
      <c r="AB517" s="74">
        <f t="shared" si="99"/>
        <v>43921</v>
      </c>
      <c r="AC517" s="80" t="str">
        <f t="shared" si="98"/>
        <v>LCOK0</v>
      </c>
      <c r="AD517" s="80" t="str">
        <f t="shared" si="100"/>
        <v>CLK0</v>
      </c>
      <c r="AE517" s="80" t="str">
        <f t="shared" si="101"/>
        <v>LCOM0</v>
      </c>
      <c r="AF517" s="80" t="str">
        <f t="shared" si="102"/>
        <v>CLM0</v>
      </c>
      <c r="AG517" s="80" t="str">
        <f t="shared" si="103"/>
        <v>LCON0</v>
      </c>
      <c r="AH517" s="80" t="str">
        <f t="shared" si="104"/>
        <v>LCOQ0</v>
      </c>
    </row>
    <row r="518" spans="25:34" x14ac:dyDescent="0.35">
      <c r="Y518" s="74">
        <f t="shared" si="95"/>
        <v>43921</v>
      </c>
      <c r="Z518" s="74">
        <f t="shared" ca="1" si="96"/>
        <v>43942</v>
      </c>
      <c r="AA518" s="80" t="str">
        <f t="shared" ca="1" si="97"/>
        <v>CLK0</v>
      </c>
      <c r="AB518" s="74">
        <f t="shared" si="99"/>
        <v>43921</v>
      </c>
      <c r="AC518" s="80" t="str">
        <f t="shared" si="98"/>
        <v>LCOK0</v>
      </c>
      <c r="AD518" s="80" t="str">
        <f t="shared" si="100"/>
        <v>CLK0</v>
      </c>
      <c r="AE518" s="80" t="str">
        <f t="shared" si="101"/>
        <v>LCOM0</v>
      </c>
      <c r="AF518" s="80" t="str">
        <f t="shared" si="102"/>
        <v>CLM0</v>
      </c>
      <c r="AG518" s="80" t="str">
        <f t="shared" si="103"/>
        <v>LCON0</v>
      </c>
      <c r="AH518" s="80" t="str">
        <f t="shared" si="104"/>
        <v>LCOQ0</v>
      </c>
    </row>
    <row r="519" spans="25:34" x14ac:dyDescent="0.35">
      <c r="Y519" s="74">
        <f t="shared" si="95"/>
        <v>43922</v>
      </c>
      <c r="Z519" s="74">
        <f t="shared" ca="1" si="96"/>
        <v>43942</v>
      </c>
      <c r="AA519" s="80" t="str">
        <f t="shared" ca="1" si="97"/>
        <v>CLK0</v>
      </c>
      <c r="AB519" s="74">
        <f t="shared" si="99"/>
        <v>43951</v>
      </c>
      <c r="AC519" s="80" t="str">
        <f t="shared" si="98"/>
        <v>LCOM0</v>
      </c>
      <c r="AD519" s="80" t="str">
        <f t="shared" si="100"/>
        <v>CLM0</v>
      </c>
      <c r="AE519" s="80" t="str">
        <f t="shared" si="101"/>
        <v>LCON0</v>
      </c>
      <c r="AF519" s="80" t="str">
        <f t="shared" si="102"/>
        <v>CLN0</v>
      </c>
      <c r="AG519" s="80" t="str">
        <f t="shared" si="103"/>
        <v>LCOQ0</v>
      </c>
      <c r="AH519" s="80" t="str">
        <f t="shared" si="104"/>
        <v>LCOU0</v>
      </c>
    </row>
    <row r="520" spans="25:34" x14ac:dyDescent="0.35">
      <c r="Y520" s="74">
        <f t="shared" si="95"/>
        <v>43923</v>
      </c>
      <c r="Z520" s="74">
        <f t="shared" ca="1" si="96"/>
        <v>43942</v>
      </c>
      <c r="AA520" s="80" t="str">
        <f t="shared" ca="1" si="97"/>
        <v>CLK0</v>
      </c>
      <c r="AB520" s="74">
        <f t="shared" si="99"/>
        <v>43951</v>
      </c>
      <c r="AC520" s="80" t="str">
        <f t="shared" si="98"/>
        <v>LCOM0</v>
      </c>
      <c r="AD520" s="80" t="str">
        <f t="shared" si="100"/>
        <v>CLM0</v>
      </c>
      <c r="AE520" s="80" t="str">
        <f t="shared" si="101"/>
        <v>LCON0</v>
      </c>
      <c r="AF520" s="80" t="str">
        <f t="shared" si="102"/>
        <v>CLN0</v>
      </c>
      <c r="AG520" s="80" t="str">
        <f t="shared" si="103"/>
        <v>LCOQ0</v>
      </c>
      <c r="AH520" s="80" t="str">
        <f t="shared" si="104"/>
        <v>LCOU0</v>
      </c>
    </row>
    <row r="521" spans="25:34" x14ac:dyDescent="0.35">
      <c r="Y521" s="74">
        <f t="shared" si="95"/>
        <v>43924</v>
      </c>
      <c r="Z521" s="74">
        <f t="shared" ca="1" si="96"/>
        <v>43942</v>
      </c>
      <c r="AA521" s="80" t="str">
        <f t="shared" ca="1" si="97"/>
        <v>CLK0</v>
      </c>
      <c r="AB521" s="74">
        <f t="shared" si="99"/>
        <v>43951</v>
      </c>
      <c r="AC521" s="80" t="str">
        <f t="shared" si="98"/>
        <v>LCOM0</v>
      </c>
      <c r="AD521" s="80" t="str">
        <f t="shared" si="100"/>
        <v>CLM0</v>
      </c>
      <c r="AE521" s="80" t="str">
        <f t="shared" si="101"/>
        <v>LCON0</v>
      </c>
      <c r="AF521" s="80" t="str">
        <f t="shared" si="102"/>
        <v>CLN0</v>
      </c>
      <c r="AG521" s="80" t="str">
        <f t="shared" si="103"/>
        <v>LCOQ0</v>
      </c>
      <c r="AH521" s="80" t="str">
        <f t="shared" si="104"/>
        <v>LCOU0</v>
      </c>
    </row>
    <row r="522" spans="25:34" x14ac:dyDescent="0.35">
      <c r="Y522" s="74">
        <f t="shared" si="95"/>
        <v>43925</v>
      </c>
      <c r="Z522" s="74">
        <f t="shared" ca="1" si="96"/>
        <v>43942</v>
      </c>
      <c r="AA522" s="80" t="str">
        <f t="shared" ca="1" si="97"/>
        <v>CLK0</v>
      </c>
      <c r="AB522" s="74">
        <f t="shared" si="99"/>
        <v>43951</v>
      </c>
      <c r="AC522" s="80" t="str">
        <f t="shared" si="98"/>
        <v>LCOM0</v>
      </c>
      <c r="AD522" s="80" t="str">
        <f t="shared" si="100"/>
        <v>CLM0</v>
      </c>
      <c r="AE522" s="80" t="str">
        <f t="shared" si="101"/>
        <v>LCON0</v>
      </c>
      <c r="AF522" s="80" t="str">
        <f t="shared" si="102"/>
        <v>CLN0</v>
      </c>
      <c r="AG522" s="80" t="str">
        <f t="shared" si="103"/>
        <v>LCOQ0</v>
      </c>
      <c r="AH522" s="80" t="str">
        <f t="shared" si="104"/>
        <v>LCOU0</v>
      </c>
    </row>
    <row r="523" spans="25:34" x14ac:dyDescent="0.35">
      <c r="Y523" s="74">
        <f t="shared" si="95"/>
        <v>43926</v>
      </c>
      <c r="Z523" s="74">
        <f t="shared" ca="1" si="96"/>
        <v>43942</v>
      </c>
      <c r="AA523" s="80" t="str">
        <f t="shared" ca="1" si="97"/>
        <v>CLK0</v>
      </c>
      <c r="AB523" s="74">
        <f t="shared" si="99"/>
        <v>43951</v>
      </c>
      <c r="AC523" s="80" t="str">
        <f t="shared" si="98"/>
        <v>LCOM0</v>
      </c>
      <c r="AD523" s="80" t="str">
        <f t="shared" si="100"/>
        <v>CLM0</v>
      </c>
      <c r="AE523" s="80" t="str">
        <f t="shared" si="101"/>
        <v>LCON0</v>
      </c>
      <c r="AF523" s="80" t="str">
        <f t="shared" si="102"/>
        <v>CLN0</v>
      </c>
      <c r="AG523" s="80" t="str">
        <f t="shared" si="103"/>
        <v>LCOQ0</v>
      </c>
      <c r="AH523" s="80" t="str">
        <f t="shared" si="104"/>
        <v>LCOU0</v>
      </c>
    </row>
    <row r="524" spans="25:34" x14ac:dyDescent="0.35">
      <c r="Y524" s="74">
        <f t="shared" si="95"/>
        <v>43927</v>
      </c>
      <c r="Z524" s="74">
        <f t="shared" ca="1" si="96"/>
        <v>43942</v>
      </c>
      <c r="AA524" s="80" t="str">
        <f t="shared" ca="1" si="97"/>
        <v>CLK0</v>
      </c>
      <c r="AB524" s="74">
        <f t="shared" si="99"/>
        <v>43951</v>
      </c>
      <c r="AC524" s="80" t="str">
        <f t="shared" si="98"/>
        <v>LCOM0</v>
      </c>
      <c r="AD524" s="80" t="str">
        <f t="shared" si="100"/>
        <v>CLM0</v>
      </c>
      <c r="AE524" s="80" t="str">
        <f t="shared" si="101"/>
        <v>LCON0</v>
      </c>
      <c r="AF524" s="80" t="str">
        <f t="shared" si="102"/>
        <v>CLN0</v>
      </c>
      <c r="AG524" s="80" t="str">
        <f t="shared" si="103"/>
        <v>LCOQ0</v>
      </c>
      <c r="AH524" s="80" t="str">
        <f t="shared" si="104"/>
        <v>LCOU0</v>
      </c>
    </row>
    <row r="525" spans="25:34" x14ac:dyDescent="0.35">
      <c r="Y525" s="74">
        <f t="shared" si="95"/>
        <v>43928</v>
      </c>
      <c r="Z525" s="74">
        <f t="shared" ca="1" si="96"/>
        <v>43942</v>
      </c>
      <c r="AA525" s="80" t="str">
        <f t="shared" ca="1" si="97"/>
        <v>CLK0</v>
      </c>
      <c r="AB525" s="74">
        <f t="shared" si="99"/>
        <v>43951</v>
      </c>
      <c r="AC525" s="80" t="str">
        <f t="shared" si="98"/>
        <v>LCOM0</v>
      </c>
      <c r="AD525" s="80" t="str">
        <f t="shared" si="100"/>
        <v>CLM0</v>
      </c>
      <c r="AE525" s="80" t="str">
        <f t="shared" si="101"/>
        <v>LCON0</v>
      </c>
      <c r="AF525" s="80" t="str">
        <f t="shared" si="102"/>
        <v>CLN0</v>
      </c>
      <c r="AG525" s="80" t="str">
        <f t="shared" si="103"/>
        <v>LCOQ0</v>
      </c>
      <c r="AH525" s="80" t="str">
        <f t="shared" si="104"/>
        <v>LCOU0</v>
      </c>
    </row>
    <row r="526" spans="25:34" x14ac:dyDescent="0.35">
      <c r="Y526" s="74">
        <f t="shared" si="95"/>
        <v>43929</v>
      </c>
      <c r="Z526" s="74">
        <f t="shared" ca="1" si="96"/>
        <v>43942</v>
      </c>
      <c r="AA526" s="80" t="str">
        <f t="shared" ca="1" si="97"/>
        <v>CLK0</v>
      </c>
      <c r="AB526" s="74">
        <f t="shared" si="99"/>
        <v>43951</v>
      </c>
      <c r="AC526" s="80" t="str">
        <f t="shared" si="98"/>
        <v>LCOM0</v>
      </c>
      <c r="AD526" s="80" t="str">
        <f t="shared" si="100"/>
        <v>CLM0</v>
      </c>
      <c r="AE526" s="80" t="str">
        <f t="shared" si="101"/>
        <v>LCON0</v>
      </c>
      <c r="AF526" s="80" t="str">
        <f t="shared" si="102"/>
        <v>CLN0</v>
      </c>
      <c r="AG526" s="80" t="str">
        <f t="shared" si="103"/>
        <v>LCOQ0</v>
      </c>
      <c r="AH526" s="80" t="str">
        <f t="shared" si="104"/>
        <v>LCOU0</v>
      </c>
    </row>
    <row r="527" spans="25:34" x14ac:dyDescent="0.35">
      <c r="Y527" s="74">
        <f t="shared" si="95"/>
        <v>43930</v>
      </c>
      <c r="Z527" s="74">
        <f t="shared" ca="1" si="96"/>
        <v>43942</v>
      </c>
      <c r="AA527" s="80" t="str">
        <f t="shared" ca="1" si="97"/>
        <v>CLK0</v>
      </c>
      <c r="AB527" s="74">
        <f t="shared" si="99"/>
        <v>43951</v>
      </c>
      <c r="AC527" s="80" t="str">
        <f t="shared" si="98"/>
        <v>LCOM0</v>
      </c>
      <c r="AD527" s="80" t="str">
        <f t="shared" si="100"/>
        <v>CLM0</v>
      </c>
      <c r="AE527" s="80" t="str">
        <f t="shared" si="101"/>
        <v>LCON0</v>
      </c>
      <c r="AF527" s="80" t="str">
        <f t="shared" si="102"/>
        <v>CLN0</v>
      </c>
      <c r="AG527" s="80" t="str">
        <f t="shared" si="103"/>
        <v>LCOQ0</v>
      </c>
      <c r="AH527" s="80" t="str">
        <f t="shared" si="104"/>
        <v>LCOU0</v>
      </c>
    </row>
    <row r="528" spans="25:34" x14ac:dyDescent="0.35">
      <c r="Y528" s="74">
        <f t="shared" si="95"/>
        <v>43931</v>
      </c>
      <c r="Z528" s="74">
        <f t="shared" ca="1" si="96"/>
        <v>43942</v>
      </c>
      <c r="AA528" s="80" t="str">
        <f t="shared" ca="1" si="97"/>
        <v>CLK0</v>
      </c>
      <c r="AB528" s="74">
        <f t="shared" si="99"/>
        <v>43951</v>
      </c>
      <c r="AC528" s="80" t="str">
        <f t="shared" si="98"/>
        <v>LCOM0</v>
      </c>
      <c r="AD528" s="80" t="str">
        <f t="shared" si="100"/>
        <v>CLM0</v>
      </c>
      <c r="AE528" s="80" t="str">
        <f t="shared" si="101"/>
        <v>LCON0</v>
      </c>
      <c r="AF528" s="80" t="str">
        <f t="shared" si="102"/>
        <v>CLN0</v>
      </c>
      <c r="AG528" s="80" t="str">
        <f t="shared" si="103"/>
        <v>LCOQ0</v>
      </c>
      <c r="AH528" s="80" t="str">
        <f t="shared" si="104"/>
        <v>LCOU0</v>
      </c>
    </row>
    <row r="529" spans="25:34" x14ac:dyDescent="0.35">
      <c r="Y529" s="74">
        <f t="shared" si="95"/>
        <v>43932</v>
      </c>
      <c r="Z529" s="74">
        <f t="shared" ca="1" si="96"/>
        <v>43942</v>
      </c>
      <c r="AA529" s="80" t="str">
        <f t="shared" ca="1" si="97"/>
        <v>CLK0</v>
      </c>
      <c r="AB529" s="74">
        <f t="shared" si="99"/>
        <v>43951</v>
      </c>
      <c r="AC529" s="80" t="str">
        <f t="shared" si="98"/>
        <v>LCOM0</v>
      </c>
      <c r="AD529" s="80" t="str">
        <f t="shared" si="100"/>
        <v>CLM0</v>
      </c>
      <c r="AE529" s="80" t="str">
        <f t="shared" si="101"/>
        <v>LCON0</v>
      </c>
      <c r="AF529" s="80" t="str">
        <f t="shared" si="102"/>
        <v>CLN0</v>
      </c>
      <c r="AG529" s="80" t="str">
        <f t="shared" si="103"/>
        <v>LCOQ0</v>
      </c>
      <c r="AH529" s="80" t="str">
        <f t="shared" si="104"/>
        <v>LCOU0</v>
      </c>
    </row>
    <row r="530" spans="25:34" x14ac:dyDescent="0.35">
      <c r="Y530" s="74">
        <f t="shared" si="95"/>
        <v>43933</v>
      </c>
      <c r="Z530" s="74">
        <f t="shared" ca="1" si="96"/>
        <v>43942</v>
      </c>
      <c r="AA530" s="80" t="str">
        <f t="shared" ca="1" si="97"/>
        <v>CLK0</v>
      </c>
      <c r="AB530" s="74">
        <f t="shared" si="99"/>
        <v>43951</v>
      </c>
      <c r="AC530" s="80" t="str">
        <f t="shared" si="98"/>
        <v>LCOM0</v>
      </c>
      <c r="AD530" s="80" t="str">
        <f t="shared" si="100"/>
        <v>CLM0</v>
      </c>
      <c r="AE530" s="80" t="str">
        <f t="shared" si="101"/>
        <v>LCON0</v>
      </c>
      <c r="AF530" s="80" t="str">
        <f t="shared" si="102"/>
        <v>CLN0</v>
      </c>
      <c r="AG530" s="80" t="str">
        <f t="shared" si="103"/>
        <v>LCOQ0</v>
      </c>
      <c r="AH530" s="80" t="str">
        <f t="shared" si="104"/>
        <v>LCOU0</v>
      </c>
    </row>
    <row r="531" spans="25:34" x14ac:dyDescent="0.35">
      <c r="Y531" s="74">
        <f t="shared" si="95"/>
        <v>43934</v>
      </c>
      <c r="Z531" s="74">
        <f t="shared" ca="1" si="96"/>
        <v>43942</v>
      </c>
      <c r="AA531" s="80" t="str">
        <f t="shared" ca="1" si="97"/>
        <v>CLK0</v>
      </c>
      <c r="AB531" s="74">
        <f t="shared" si="99"/>
        <v>43951</v>
      </c>
      <c r="AC531" s="80" t="str">
        <f t="shared" si="98"/>
        <v>LCOM0</v>
      </c>
      <c r="AD531" s="80" t="str">
        <f t="shared" si="100"/>
        <v>CLM0</v>
      </c>
      <c r="AE531" s="80" t="str">
        <f t="shared" si="101"/>
        <v>LCON0</v>
      </c>
      <c r="AF531" s="80" t="str">
        <f t="shared" si="102"/>
        <v>CLN0</v>
      </c>
      <c r="AG531" s="80" t="str">
        <f t="shared" si="103"/>
        <v>LCOQ0</v>
      </c>
      <c r="AH531" s="80" t="str">
        <f t="shared" si="104"/>
        <v>LCOU0</v>
      </c>
    </row>
    <row r="532" spans="25:34" x14ac:dyDescent="0.35">
      <c r="Y532" s="74">
        <f t="shared" si="95"/>
        <v>43935</v>
      </c>
      <c r="Z532" s="74">
        <f t="shared" ca="1" si="96"/>
        <v>43942</v>
      </c>
      <c r="AA532" s="80" t="str">
        <f t="shared" ca="1" si="97"/>
        <v>CLK0</v>
      </c>
      <c r="AB532" s="74">
        <f t="shared" si="99"/>
        <v>43951</v>
      </c>
      <c r="AC532" s="80" t="str">
        <f t="shared" si="98"/>
        <v>LCOM0</v>
      </c>
      <c r="AD532" s="80" t="str">
        <f t="shared" si="100"/>
        <v>CLM0</v>
      </c>
      <c r="AE532" s="80" t="str">
        <f t="shared" si="101"/>
        <v>LCON0</v>
      </c>
      <c r="AF532" s="80" t="str">
        <f t="shared" si="102"/>
        <v>CLN0</v>
      </c>
      <c r="AG532" s="80" t="str">
        <f t="shared" si="103"/>
        <v>LCOQ0</v>
      </c>
      <c r="AH532" s="80" t="str">
        <f t="shared" si="104"/>
        <v>LCOU0</v>
      </c>
    </row>
    <row r="533" spans="25:34" x14ac:dyDescent="0.35">
      <c r="Y533" s="74">
        <f t="shared" si="95"/>
        <v>43936</v>
      </c>
      <c r="Z533" s="74">
        <f t="shared" ca="1" si="96"/>
        <v>43942</v>
      </c>
      <c r="AA533" s="80" t="str">
        <f t="shared" ca="1" si="97"/>
        <v>CLK0</v>
      </c>
      <c r="AB533" s="74">
        <f t="shared" si="99"/>
        <v>43951</v>
      </c>
      <c r="AC533" s="80" t="str">
        <f t="shared" si="98"/>
        <v>LCOM0</v>
      </c>
      <c r="AD533" s="80" t="str">
        <f t="shared" si="100"/>
        <v>CLM0</v>
      </c>
      <c r="AE533" s="80" t="str">
        <f t="shared" si="101"/>
        <v>LCON0</v>
      </c>
      <c r="AF533" s="80" t="str">
        <f t="shared" si="102"/>
        <v>CLN0</v>
      </c>
      <c r="AG533" s="80" t="str">
        <f t="shared" si="103"/>
        <v>LCOQ0</v>
      </c>
      <c r="AH533" s="80" t="str">
        <f t="shared" si="104"/>
        <v>LCOU0</v>
      </c>
    </row>
    <row r="534" spans="25:34" x14ac:dyDescent="0.35">
      <c r="Y534" s="74">
        <f t="shared" si="95"/>
        <v>43937</v>
      </c>
      <c r="Z534" s="74">
        <f t="shared" ca="1" si="96"/>
        <v>43942</v>
      </c>
      <c r="AA534" s="80" t="str">
        <f t="shared" ca="1" si="97"/>
        <v>CLK0</v>
      </c>
      <c r="AB534" s="74">
        <f t="shared" si="99"/>
        <v>43951</v>
      </c>
      <c r="AC534" s="80" t="str">
        <f t="shared" si="98"/>
        <v>LCOM0</v>
      </c>
      <c r="AD534" s="80" t="str">
        <f t="shared" si="100"/>
        <v>CLM0</v>
      </c>
      <c r="AE534" s="80" t="str">
        <f t="shared" si="101"/>
        <v>LCON0</v>
      </c>
      <c r="AF534" s="80" t="str">
        <f t="shared" si="102"/>
        <v>CLN0</v>
      </c>
      <c r="AG534" s="80" t="str">
        <f t="shared" si="103"/>
        <v>LCOQ0</v>
      </c>
      <c r="AH534" s="80" t="str">
        <f t="shared" si="104"/>
        <v>LCOU0</v>
      </c>
    </row>
    <row r="535" spans="25:34" x14ac:dyDescent="0.35">
      <c r="Y535" s="74">
        <f t="shared" si="95"/>
        <v>43938</v>
      </c>
      <c r="Z535" s="74">
        <f t="shared" ca="1" si="96"/>
        <v>43942</v>
      </c>
      <c r="AA535" s="80" t="str">
        <f t="shared" ca="1" si="97"/>
        <v>CLK0</v>
      </c>
      <c r="AB535" s="74">
        <f t="shared" si="99"/>
        <v>43951</v>
      </c>
      <c r="AC535" s="80" t="str">
        <f t="shared" si="98"/>
        <v>LCOM0</v>
      </c>
      <c r="AD535" s="80" t="str">
        <f t="shared" si="100"/>
        <v>CLM0</v>
      </c>
      <c r="AE535" s="80" t="str">
        <f t="shared" si="101"/>
        <v>LCON0</v>
      </c>
      <c r="AF535" s="80" t="str">
        <f t="shared" si="102"/>
        <v>CLN0</v>
      </c>
      <c r="AG535" s="80" t="str">
        <f t="shared" si="103"/>
        <v>LCOQ0</v>
      </c>
      <c r="AH535" s="80" t="str">
        <f t="shared" si="104"/>
        <v>LCOU0</v>
      </c>
    </row>
    <row r="536" spans="25:34" x14ac:dyDescent="0.35">
      <c r="Y536" s="74">
        <f t="shared" si="95"/>
        <v>43939</v>
      </c>
      <c r="Z536" s="74">
        <f t="shared" ca="1" si="96"/>
        <v>43942</v>
      </c>
      <c r="AA536" s="80" t="str">
        <f t="shared" ca="1" si="97"/>
        <v>CLK0</v>
      </c>
      <c r="AB536" s="74">
        <f t="shared" si="99"/>
        <v>43951</v>
      </c>
      <c r="AC536" s="80" t="str">
        <f t="shared" si="98"/>
        <v>LCOM0</v>
      </c>
      <c r="AD536" s="80" t="str">
        <f t="shared" si="100"/>
        <v>CLM0</v>
      </c>
      <c r="AE536" s="80" t="str">
        <f t="shared" si="101"/>
        <v>LCON0</v>
      </c>
      <c r="AF536" s="80" t="str">
        <f t="shared" si="102"/>
        <v>CLN0</v>
      </c>
      <c r="AG536" s="80" t="str">
        <f t="shared" si="103"/>
        <v>LCOQ0</v>
      </c>
      <c r="AH536" s="80" t="str">
        <f t="shared" si="104"/>
        <v>LCOU0</v>
      </c>
    </row>
    <row r="537" spans="25:34" x14ac:dyDescent="0.35">
      <c r="Y537" s="74">
        <f t="shared" si="95"/>
        <v>43940</v>
      </c>
      <c r="Z537" s="74">
        <f t="shared" ca="1" si="96"/>
        <v>43942</v>
      </c>
      <c r="AA537" s="80" t="str">
        <f t="shared" ca="1" si="97"/>
        <v>CLK0</v>
      </c>
      <c r="AB537" s="74">
        <f t="shared" si="99"/>
        <v>43951</v>
      </c>
      <c r="AC537" s="80" t="str">
        <f t="shared" si="98"/>
        <v>LCOM0</v>
      </c>
      <c r="AD537" s="80" t="str">
        <f t="shared" si="100"/>
        <v>CLM0</v>
      </c>
      <c r="AE537" s="80" t="str">
        <f t="shared" si="101"/>
        <v>LCON0</v>
      </c>
      <c r="AF537" s="80" t="str">
        <f t="shared" si="102"/>
        <v>CLN0</v>
      </c>
      <c r="AG537" s="80" t="str">
        <f t="shared" si="103"/>
        <v>LCOQ0</v>
      </c>
      <c r="AH537" s="80" t="str">
        <f t="shared" si="104"/>
        <v>LCOU0</v>
      </c>
    </row>
    <row r="538" spans="25:34" x14ac:dyDescent="0.35">
      <c r="Y538" s="74">
        <f t="shared" si="95"/>
        <v>43941</v>
      </c>
      <c r="Z538" s="74">
        <f t="shared" ca="1" si="96"/>
        <v>43942</v>
      </c>
      <c r="AA538" s="80" t="str">
        <f t="shared" ca="1" si="97"/>
        <v>CLK0</v>
      </c>
      <c r="AB538" s="74">
        <f t="shared" si="99"/>
        <v>43951</v>
      </c>
      <c r="AC538" s="80" t="str">
        <f t="shared" si="98"/>
        <v>LCOM0</v>
      </c>
      <c r="AD538" s="80" t="str">
        <f t="shared" si="100"/>
        <v>CLM0</v>
      </c>
      <c r="AE538" s="80" t="str">
        <f t="shared" si="101"/>
        <v>LCON0</v>
      </c>
      <c r="AF538" s="80" t="str">
        <f t="shared" si="102"/>
        <v>CLN0</v>
      </c>
      <c r="AG538" s="80" t="str">
        <f t="shared" si="103"/>
        <v>LCOQ0</v>
      </c>
      <c r="AH538" s="80" t="str">
        <f t="shared" si="104"/>
        <v>LCOU0</v>
      </c>
    </row>
    <row r="539" spans="25:34" x14ac:dyDescent="0.35">
      <c r="Y539" s="74">
        <f t="shared" si="95"/>
        <v>43942</v>
      </c>
      <c r="Z539" s="74">
        <f t="shared" ca="1" si="96"/>
        <v>43942</v>
      </c>
      <c r="AA539" s="80" t="str">
        <f t="shared" ca="1" si="97"/>
        <v>CLK0</v>
      </c>
      <c r="AB539" s="74">
        <f t="shared" si="99"/>
        <v>43951</v>
      </c>
      <c r="AC539" s="80" t="str">
        <f t="shared" si="98"/>
        <v>LCOM0</v>
      </c>
      <c r="AD539" s="80" t="str">
        <f t="shared" si="100"/>
        <v>CLM0</v>
      </c>
      <c r="AE539" s="80" t="str">
        <f t="shared" si="101"/>
        <v>LCON0</v>
      </c>
      <c r="AF539" s="80" t="str">
        <f t="shared" si="102"/>
        <v>CLN0</v>
      </c>
      <c r="AG539" s="80" t="str">
        <f t="shared" si="103"/>
        <v>LCOQ0</v>
      </c>
      <c r="AH539" s="80" t="str">
        <f t="shared" si="104"/>
        <v>LCOU0</v>
      </c>
    </row>
    <row r="540" spans="25:34" x14ac:dyDescent="0.35">
      <c r="Y540" s="74">
        <f t="shared" si="95"/>
        <v>43943</v>
      </c>
      <c r="Z540" s="74">
        <f t="shared" ca="1" si="96"/>
        <v>43970</v>
      </c>
      <c r="AA540" s="80" t="str">
        <f t="shared" ca="1" si="97"/>
        <v>CLM0</v>
      </c>
      <c r="AB540" s="74">
        <f t="shared" si="99"/>
        <v>43951</v>
      </c>
      <c r="AC540" s="80" t="str">
        <f t="shared" si="98"/>
        <v>LCOM0</v>
      </c>
      <c r="AD540" s="80" t="str">
        <f t="shared" si="100"/>
        <v>CLM0</v>
      </c>
      <c r="AE540" s="80" t="str">
        <f t="shared" si="101"/>
        <v>LCON0</v>
      </c>
      <c r="AF540" s="80" t="str">
        <f t="shared" si="102"/>
        <v>CLN0</v>
      </c>
      <c r="AG540" s="80" t="str">
        <f t="shared" si="103"/>
        <v>LCOQ0</v>
      </c>
      <c r="AH540" s="80" t="str">
        <f t="shared" si="104"/>
        <v>LCOU0</v>
      </c>
    </row>
    <row r="541" spans="25:34" x14ac:dyDescent="0.35">
      <c r="Y541" s="74">
        <f t="shared" si="95"/>
        <v>43944</v>
      </c>
      <c r="Z541" s="74">
        <f t="shared" ca="1" si="96"/>
        <v>43970</v>
      </c>
      <c r="AA541" s="80" t="str">
        <f t="shared" ca="1" si="97"/>
        <v>CLM0</v>
      </c>
      <c r="AB541" s="74">
        <f t="shared" si="99"/>
        <v>43951</v>
      </c>
      <c r="AC541" s="80" t="str">
        <f t="shared" si="98"/>
        <v>LCOM0</v>
      </c>
      <c r="AD541" s="80" t="str">
        <f t="shared" si="100"/>
        <v>CLM0</v>
      </c>
      <c r="AE541" s="80" t="str">
        <f t="shared" si="101"/>
        <v>LCON0</v>
      </c>
      <c r="AF541" s="80" t="str">
        <f t="shared" si="102"/>
        <v>CLN0</v>
      </c>
      <c r="AG541" s="80" t="str">
        <f t="shared" si="103"/>
        <v>LCOQ0</v>
      </c>
      <c r="AH541" s="80" t="str">
        <f t="shared" si="104"/>
        <v>LCOU0</v>
      </c>
    </row>
    <row r="542" spans="25:34" x14ac:dyDescent="0.35">
      <c r="Y542" s="74">
        <f t="shared" si="95"/>
        <v>43945</v>
      </c>
      <c r="Z542" s="74">
        <f t="shared" ca="1" si="96"/>
        <v>43970</v>
      </c>
      <c r="AA542" s="80" t="str">
        <f t="shared" ca="1" si="97"/>
        <v>CLM0</v>
      </c>
      <c r="AB542" s="74">
        <f t="shared" si="99"/>
        <v>43951</v>
      </c>
      <c r="AC542" s="80" t="str">
        <f t="shared" si="98"/>
        <v>LCOM0</v>
      </c>
      <c r="AD542" s="80" t="str">
        <f t="shared" si="100"/>
        <v>CLM0</v>
      </c>
      <c r="AE542" s="80" t="str">
        <f t="shared" si="101"/>
        <v>LCON0</v>
      </c>
      <c r="AF542" s="80" t="str">
        <f t="shared" si="102"/>
        <v>CLN0</v>
      </c>
      <c r="AG542" s="80" t="str">
        <f t="shared" si="103"/>
        <v>LCOQ0</v>
      </c>
      <c r="AH542" s="80" t="str">
        <f t="shared" si="104"/>
        <v>LCOU0</v>
      </c>
    </row>
    <row r="543" spans="25:34" x14ac:dyDescent="0.35">
      <c r="Y543" s="74">
        <f t="shared" si="95"/>
        <v>43946</v>
      </c>
      <c r="Z543" s="74">
        <f t="shared" ca="1" si="96"/>
        <v>43970</v>
      </c>
      <c r="AA543" s="80" t="str">
        <f t="shared" ca="1" si="97"/>
        <v>CLM0</v>
      </c>
      <c r="AB543" s="74">
        <f t="shared" si="99"/>
        <v>43951</v>
      </c>
      <c r="AC543" s="80" t="str">
        <f t="shared" si="98"/>
        <v>LCOM0</v>
      </c>
      <c r="AD543" s="80" t="str">
        <f t="shared" si="100"/>
        <v>CLM0</v>
      </c>
      <c r="AE543" s="80" t="str">
        <f t="shared" si="101"/>
        <v>LCON0</v>
      </c>
      <c r="AF543" s="80" t="str">
        <f t="shared" si="102"/>
        <v>CLN0</v>
      </c>
      <c r="AG543" s="80" t="str">
        <f t="shared" si="103"/>
        <v>LCOQ0</v>
      </c>
      <c r="AH543" s="80" t="str">
        <f t="shared" si="104"/>
        <v>LCOU0</v>
      </c>
    </row>
    <row r="544" spans="25:34" x14ac:dyDescent="0.35">
      <c r="Y544" s="74">
        <f t="shared" si="95"/>
        <v>43947</v>
      </c>
      <c r="Z544" s="74">
        <f t="shared" ca="1" si="96"/>
        <v>43970</v>
      </c>
      <c r="AA544" s="80" t="str">
        <f t="shared" ca="1" si="97"/>
        <v>CLM0</v>
      </c>
      <c r="AB544" s="74">
        <f t="shared" si="99"/>
        <v>43951</v>
      </c>
      <c r="AC544" s="80" t="str">
        <f t="shared" si="98"/>
        <v>LCOM0</v>
      </c>
      <c r="AD544" s="80" t="str">
        <f t="shared" si="100"/>
        <v>CLM0</v>
      </c>
      <c r="AE544" s="80" t="str">
        <f t="shared" si="101"/>
        <v>LCON0</v>
      </c>
      <c r="AF544" s="80" t="str">
        <f t="shared" si="102"/>
        <v>CLN0</v>
      </c>
      <c r="AG544" s="80" t="str">
        <f t="shared" si="103"/>
        <v>LCOQ0</v>
      </c>
      <c r="AH544" s="80" t="str">
        <f t="shared" si="104"/>
        <v>LCOU0</v>
      </c>
    </row>
    <row r="545" spans="25:34" x14ac:dyDescent="0.35">
      <c r="Y545" s="74">
        <f t="shared" ref="Y545:Y608" si="105">Y544+1</f>
        <v>43948</v>
      </c>
      <c r="Z545" s="74">
        <f t="shared" ca="1" si="96"/>
        <v>43970</v>
      </c>
      <c r="AA545" s="80" t="str">
        <f t="shared" ca="1" si="97"/>
        <v>CLM0</v>
      </c>
      <c r="AB545" s="74">
        <f t="shared" si="99"/>
        <v>43951</v>
      </c>
      <c r="AC545" s="80" t="str">
        <f t="shared" si="98"/>
        <v>LCOM0</v>
      </c>
      <c r="AD545" s="80" t="str">
        <f t="shared" si="100"/>
        <v>CLM0</v>
      </c>
      <c r="AE545" s="80" t="str">
        <f t="shared" si="101"/>
        <v>LCON0</v>
      </c>
      <c r="AF545" s="80" t="str">
        <f t="shared" si="102"/>
        <v>CLN0</v>
      </c>
      <c r="AG545" s="80" t="str">
        <f t="shared" si="103"/>
        <v>LCOQ0</v>
      </c>
      <c r="AH545" s="80" t="str">
        <f t="shared" si="104"/>
        <v>LCOU0</v>
      </c>
    </row>
    <row r="546" spans="25:34" x14ac:dyDescent="0.35">
      <c r="Y546" s="74">
        <f t="shared" si="105"/>
        <v>43949</v>
      </c>
      <c r="Z546" s="74">
        <f t="shared" ca="1" si="96"/>
        <v>43970</v>
      </c>
      <c r="AA546" s="80" t="str">
        <f t="shared" ca="1" si="97"/>
        <v>CLM0</v>
      </c>
      <c r="AB546" s="74">
        <f t="shared" si="99"/>
        <v>43951</v>
      </c>
      <c r="AC546" s="80" t="str">
        <f t="shared" si="98"/>
        <v>LCOM0</v>
      </c>
      <c r="AD546" s="80" t="str">
        <f t="shared" si="100"/>
        <v>CLM0</v>
      </c>
      <c r="AE546" s="80" t="str">
        <f t="shared" si="101"/>
        <v>LCON0</v>
      </c>
      <c r="AF546" s="80" t="str">
        <f t="shared" si="102"/>
        <v>CLN0</v>
      </c>
      <c r="AG546" s="80" t="str">
        <f t="shared" si="103"/>
        <v>LCOQ0</v>
      </c>
      <c r="AH546" s="80" t="str">
        <f t="shared" si="104"/>
        <v>LCOU0</v>
      </c>
    </row>
    <row r="547" spans="25:34" x14ac:dyDescent="0.35">
      <c r="Y547" s="74">
        <f t="shared" si="105"/>
        <v>43950</v>
      </c>
      <c r="Z547" s="74">
        <f t="shared" ca="1" si="96"/>
        <v>43970</v>
      </c>
      <c r="AA547" s="80" t="str">
        <f t="shared" ca="1" si="97"/>
        <v>CLM0</v>
      </c>
      <c r="AB547" s="74">
        <f t="shared" si="99"/>
        <v>43951</v>
      </c>
      <c r="AC547" s="80" t="str">
        <f t="shared" si="98"/>
        <v>LCOM0</v>
      </c>
      <c r="AD547" s="80" t="str">
        <f t="shared" si="100"/>
        <v>CLM0</v>
      </c>
      <c r="AE547" s="80" t="str">
        <f t="shared" si="101"/>
        <v>LCON0</v>
      </c>
      <c r="AF547" s="80" t="str">
        <f t="shared" si="102"/>
        <v>CLN0</v>
      </c>
      <c r="AG547" s="80" t="str">
        <f t="shared" si="103"/>
        <v>LCOQ0</v>
      </c>
      <c r="AH547" s="80" t="str">
        <f t="shared" si="104"/>
        <v>LCOU0</v>
      </c>
    </row>
    <row r="548" spans="25:34" x14ac:dyDescent="0.35">
      <c r="Y548" s="74">
        <f t="shared" si="105"/>
        <v>43951</v>
      </c>
      <c r="Z548" s="74">
        <f t="shared" ca="1" si="96"/>
        <v>43970</v>
      </c>
      <c r="AA548" s="80" t="str">
        <f t="shared" ca="1" si="97"/>
        <v>CLM0</v>
      </c>
      <c r="AB548" s="74">
        <f t="shared" si="99"/>
        <v>43951</v>
      </c>
      <c r="AC548" s="80" t="str">
        <f t="shared" si="98"/>
        <v>LCOM0</v>
      </c>
      <c r="AD548" s="80" t="str">
        <f t="shared" si="100"/>
        <v>CLM0</v>
      </c>
      <c r="AE548" s="80" t="str">
        <f t="shared" si="101"/>
        <v>LCON0</v>
      </c>
      <c r="AF548" s="80" t="str">
        <f t="shared" si="102"/>
        <v>CLN0</v>
      </c>
      <c r="AG548" s="80" t="str">
        <f t="shared" si="103"/>
        <v>LCOQ0</v>
      </c>
      <c r="AH548" s="80" t="str">
        <f t="shared" si="104"/>
        <v>LCOU0</v>
      </c>
    </row>
    <row r="549" spans="25:34" x14ac:dyDescent="0.35">
      <c r="Y549" s="74">
        <f t="shared" si="105"/>
        <v>43952</v>
      </c>
      <c r="Z549" s="74">
        <f t="shared" ca="1" si="96"/>
        <v>43970</v>
      </c>
      <c r="AA549" s="80" t="str">
        <f t="shared" ca="1" si="97"/>
        <v>CLM0</v>
      </c>
      <c r="AB549" s="74">
        <f t="shared" si="99"/>
        <v>43980</v>
      </c>
      <c r="AC549" s="80" t="str">
        <f t="shared" si="98"/>
        <v>LCON0</v>
      </c>
      <c r="AD549" s="80" t="str">
        <f t="shared" si="100"/>
        <v>CLN0</v>
      </c>
      <c r="AE549" s="80" t="str">
        <f t="shared" si="101"/>
        <v>LCOQ0</v>
      </c>
      <c r="AF549" s="80" t="str">
        <f t="shared" si="102"/>
        <v>CLQ0</v>
      </c>
      <c r="AG549" s="80" t="str">
        <f t="shared" si="103"/>
        <v>LCOU0</v>
      </c>
      <c r="AH549" s="80" t="str">
        <f t="shared" si="104"/>
        <v>LCOV0</v>
      </c>
    </row>
    <row r="550" spans="25:34" x14ac:dyDescent="0.35">
      <c r="Y550" s="74">
        <f t="shared" si="105"/>
        <v>43953</v>
      </c>
      <c r="Z550" s="74">
        <f t="shared" ca="1" si="96"/>
        <v>43970</v>
      </c>
      <c r="AA550" s="80" t="str">
        <f t="shared" ca="1" si="97"/>
        <v>CLM0</v>
      </c>
      <c r="AB550" s="74">
        <f t="shared" si="99"/>
        <v>43980</v>
      </c>
      <c r="AC550" s="80" t="str">
        <f t="shared" si="98"/>
        <v>LCON0</v>
      </c>
      <c r="AD550" s="80" t="str">
        <f t="shared" si="100"/>
        <v>CLN0</v>
      </c>
      <c r="AE550" s="80" t="str">
        <f t="shared" si="101"/>
        <v>LCOQ0</v>
      </c>
      <c r="AF550" s="80" t="str">
        <f t="shared" si="102"/>
        <v>CLQ0</v>
      </c>
      <c r="AG550" s="80" t="str">
        <f t="shared" si="103"/>
        <v>LCOU0</v>
      </c>
      <c r="AH550" s="80" t="str">
        <f t="shared" si="104"/>
        <v>LCOV0</v>
      </c>
    </row>
    <row r="551" spans="25:34" x14ac:dyDescent="0.35">
      <c r="Y551" s="74">
        <f t="shared" si="105"/>
        <v>43954</v>
      </c>
      <c r="Z551" s="74">
        <f t="shared" ca="1" si="96"/>
        <v>43970</v>
      </c>
      <c r="AA551" s="80" t="str">
        <f t="shared" ca="1" si="97"/>
        <v>CLM0</v>
      </c>
      <c r="AB551" s="74">
        <f t="shared" si="99"/>
        <v>43980</v>
      </c>
      <c r="AC551" s="80" t="str">
        <f t="shared" si="98"/>
        <v>LCON0</v>
      </c>
      <c r="AD551" s="80" t="str">
        <f t="shared" si="100"/>
        <v>CLN0</v>
      </c>
      <c r="AE551" s="80" t="str">
        <f t="shared" si="101"/>
        <v>LCOQ0</v>
      </c>
      <c r="AF551" s="80" t="str">
        <f t="shared" si="102"/>
        <v>CLQ0</v>
      </c>
      <c r="AG551" s="80" t="str">
        <f t="shared" si="103"/>
        <v>LCOU0</v>
      </c>
      <c r="AH551" s="80" t="str">
        <f t="shared" si="104"/>
        <v>LCOV0</v>
      </c>
    </row>
    <row r="552" spans="25:34" x14ac:dyDescent="0.35">
      <c r="Y552" s="74">
        <f t="shared" si="105"/>
        <v>43955</v>
      </c>
      <c r="Z552" s="74">
        <f t="shared" ca="1" si="96"/>
        <v>43970</v>
      </c>
      <c r="AA552" s="80" t="str">
        <f t="shared" ca="1" si="97"/>
        <v>CLM0</v>
      </c>
      <c r="AB552" s="74">
        <f t="shared" si="99"/>
        <v>43980</v>
      </c>
      <c r="AC552" s="80" t="str">
        <f t="shared" si="98"/>
        <v>LCON0</v>
      </c>
      <c r="AD552" s="80" t="str">
        <f t="shared" si="100"/>
        <v>CLN0</v>
      </c>
      <c r="AE552" s="80" t="str">
        <f t="shared" si="101"/>
        <v>LCOQ0</v>
      </c>
      <c r="AF552" s="80" t="str">
        <f t="shared" si="102"/>
        <v>CLQ0</v>
      </c>
      <c r="AG552" s="80" t="str">
        <f t="shared" si="103"/>
        <v>LCOU0</v>
      </c>
      <c r="AH552" s="80" t="str">
        <f t="shared" si="104"/>
        <v>LCOV0</v>
      </c>
    </row>
    <row r="553" spans="25:34" x14ac:dyDescent="0.35">
      <c r="Y553" s="74">
        <f t="shared" si="105"/>
        <v>43956</v>
      </c>
      <c r="Z553" s="74">
        <f t="shared" ca="1" si="96"/>
        <v>43970</v>
      </c>
      <c r="AA553" s="80" t="str">
        <f t="shared" ca="1" si="97"/>
        <v>CLM0</v>
      </c>
      <c r="AB553" s="74">
        <f t="shared" si="99"/>
        <v>43980</v>
      </c>
      <c r="AC553" s="80" t="str">
        <f t="shared" si="98"/>
        <v>LCON0</v>
      </c>
      <c r="AD553" s="80" t="str">
        <f t="shared" si="100"/>
        <v>CLN0</v>
      </c>
      <c r="AE553" s="80" t="str">
        <f t="shared" si="101"/>
        <v>LCOQ0</v>
      </c>
      <c r="AF553" s="80" t="str">
        <f t="shared" si="102"/>
        <v>CLQ0</v>
      </c>
      <c r="AG553" s="80" t="str">
        <f t="shared" si="103"/>
        <v>LCOU0</v>
      </c>
      <c r="AH553" s="80" t="str">
        <f t="shared" si="104"/>
        <v>LCOV0</v>
      </c>
    </row>
    <row r="554" spans="25:34" x14ac:dyDescent="0.35">
      <c r="Y554" s="74">
        <f t="shared" si="105"/>
        <v>43957</v>
      </c>
      <c r="Z554" s="74">
        <f t="shared" ca="1" si="96"/>
        <v>43970</v>
      </c>
      <c r="AA554" s="80" t="str">
        <f t="shared" ca="1" si="97"/>
        <v>CLM0</v>
      </c>
      <c r="AB554" s="74">
        <f t="shared" si="99"/>
        <v>43980</v>
      </c>
      <c r="AC554" s="80" t="str">
        <f t="shared" si="98"/>
        <v>LCON0</v>
      </c>
      <c r="AD554" s="80" t="str">
        <f t="shared" si="100"/>
        <v>CLN0</v>
      </c>
      <c r="AE554" s="80" t="str">
        <f t="shared" si="101"/>
        <v>LCOQ0</v>
      </c>
      <c r="AF554" s="80" t="str">
        <f t="shared" si="102"/>
        <v>CLQ0</v>
      </c>
      <c r="AG554" s="80" t="str">
        <f t="shared" si="103"/>
        <v>LCOU0</v>
      </c>
      <c r="AH554" s="80" t="str">
        <f t="shared" si="104"/>
        <v>LCOV0</v>
      </c>
    </row>
    <row r="555" spans="25:34" x14ac:dyDescent="0.35">
      <c r="Y555" s="74">
        <f t="shared" si="105"/>
        <v>43958</v>
      </c>
      <c r="Z555" s="74">
        <f t="shared" ca="1" si="96"/>
        <v>43970</v>
      </c>
      <c r="AA555" s="80" t="str">
        <f t="shared" ca="1" si="97"/>
        <v>CLM0</v>
      </c>
      <c r="AB555" s="74">
        <f t="shared" si="99"/>
        <v>43980</v>
      </c>
      <c r="AC555" s="80" t="str">
        <f t="shared" si="98"/>
        <v>LCON0</v>
      </c>
      <c r="AD555" s="80" t="str">
        <f t="shared" si="100"/>
        <v>CLN0</v>
      </c>
      <c r="AE555" s="80" t="str">
        <f t="shared" si="101"/>
        <v>LCOQ0</v>
      </c>
      <c r="AF555" s="80" t="str">
        <f t="shared" si="102"/>
        <v>CLQ0</v>
      </c>
      <c r="AG555" s="80" t="str">
        <f t="shared" si="103"/>
        <v>LCOU0</v>
      </c>
      <c r="AH555" s="80" t="str">
        <f t="shared" si="104"/>
        <v>LCOV0</v>
      </c>
    </row>
    <row r="556" spans="25:34" x14ac:dyDescent="0.35">
      <c r="Y556" s="74">
        <f t="shared" si="105"/>
        <v>43959</v>
      </c>
      <c r="Z556" s="74">
        <f t="shared" ca="1" si="96"/>
        <v>43970</v>
      </c>
      <c r="AA556" s="80" t="str">
        <f t="shared" ca="1" si="97"/>
        <v>CLM0</v>
      </c>
      <c r="AB556" s="74">
        <f t="shared" si="99"/>
        <v>43980</v>
      </c>
      <c r="AC556" s="80" t="str">
        <f t="shared" si="98"/>
        <v>LCON0</v>
      </c>
      <c r="AD556" s="80" t="str">
        <f t="shared" si="100"/>
        <v>CLN0</v>
      </c>
      <c r="AE556" s="80" t="str">
        <f t="shared" si="101"/>
        <v>LCOQ0</v>
      </c>
      <c r="AF556" s="80" t="str">
        <f t="shared" si="102"/>
        <v>CLQ0</v>
      </c>
      <c r="AG556" s="80" t="str">
        <f t="shared" si="103"/>
        <v>LCOU0</v>
      </c>
      <c r="AH556" s="80" t="str">
        <f t="shared" si="104"/>
        <v>LCOV0</v>
      </c>
    </row>
    <row r="557" spans="25:34" x14ac:dyDescent="0.35">
      <c r="Y557" s="74">
        <f t="shared" si="105"/>
        <v>43960</v>
      </c>
      <c r="Z557" s="74">
        <f t="shared" ca="1" si="96"/>
        <v>43970</v>
      </c>
      <c r="AA557" s="80" t="str">
        <f t="shared" ca="1" si="97"/>
        <v>CLM0</v>
      </c>
      <c r="AB557" s="74">
        <f t="shared" si="99"/>
        <v>43980</v>
      </c>
      <c r="AC557" s="80" t="str">
        <f t="shared" si="98"/>
        <v>LCON0</v>
      </c>
      <c r="AD557" s="80" t="str">
        <f t="shared" si="100"/>
        <v>CLN0</v>
      </c>
      <c r="AE557" s="80" t="str">
        <f t="shared" si="101"/>
        <v>LCOQ0</v>
      </c>
      <c r="AF557" s="80" t="str">
        <f t="shared" si="102"/>
        <v>CLQ0</v>
      </c>
      <c r="AG557" s="80" t="str">
        <f t="shared" si="103"/>
        <v>LCOU0</v>
      </c>
      <c r="AH557" s="80" t="str">
        <f t="shared" si="104"/>
        <v>LCOV0</v>
      </c>
    </row>
    <row r="558" spans="25:34" x14ac:dyDescent="0.35">
      <c r="Y558" s="74">
        <f t="shared" si="105"/>
        <v>43961</v>
      </c>
      <c r="Z558" s="74">
        <f t="shared" ca="1" si="96"/>
        <v>43970</v>
      </c>
      <c r="AA558" s="80" t="str">
        <f t="shared" ca="1" si="97"/>
        <v>CLM0</v>
      </c>
      <c r="AB558" s="74">
        <f t="shared" si="99"/>
        <v>43980</v>
      </c>
      <c r="AC558" s="80" t="str">
        <f t="shared" si="98"/>
        <v>LCON0</v>
      </c>
      <c r="AD558" s="80" t="str">
        <f t="shared" si="100"/>
        <v>CLN0</v>
      </c>
      <c r="AE558" s="80" t="str">
        <f t="shared" si="101"/>
        <v>LCOQ0</v>
      </c>
      <c r="AF558" s="80" t="str">
        <f t="shared" si="102"/>
        <v>CLQ0</v>
      </c>
      <c r="AG558" s="80" t="str">
        <f t="shared" si="103"/>
        <v>LCOU0</v>
      </c>
      <c r="AH558" s="80" t="str">
        <f t="shared" si="104"/>
        <v>LCOV0</v>
      </c>
    </row>
    <row r="559" spans="25:34" x14ac:dyDescent="0.35">
      <c r="Y559" s="74">
        <f t="shared" si="105"/>
        <v>43962</v>
      </c>
      <c r="Z559" s="74">
        <f t="shared" ca="1" si="96"/>
        <v>43970</v>
      </c>
      <c r="AA559" s="80" t="str">
        <f t="shared" ca="1" si="97"/>
        <v>CLM0</v>
      </c>
      <c r="AB559" s="74">
        <f t="shared" si="99"/>
        <v>43980</v>
      </c>
      <c r="AC559" s="80" t="str">
        <f t="shared" si="98"/>
        <v>LCON0</v>
      </c>
      <c r="AD559" s="80" t="str">
        <f t="shared" si="100"/>
        <v>CLN0</v>
      </c>
      <c r="AE559" s="80" t="str">
        <f t="shared" si="101"/>
        <v>LCOQ0</v>
      </c>
      <c r="AF559" s="80" t="str">
        <f t="shared" si="102"/>
        <v>CLQ0</v>
      </c>
      <c r="AG559" s="80" t="str">
        <f t="shared" si="103"/>
        <v>LCOU0</v>
      </c>
      <c r="AH559" s="80" t="str">
        <f t="shared" si="104"/>
        <v>LCOV0</v>
      </c>
    </row>
    <row r="560" spans="25:34" x14ac:dyDescent="0.35">
      <c r="Y560" s="74">
        <f t="shared" si="105"/>
        <v>43963</v>
      </c>
      <c r="Z560" s="74">
        <f t="shared" ca="1" si="96"/>
        <v>43970</v>
      </c>
      <c r="AA560" s="80" t="str">
        <f t="shared" ca="1" si="97"/>
        <v>CLM0</v>
      </c>
      <c r="AB560" s="74">
        <f t="shared" si="99"/>
        <v>43980</v>
      </c>
      <c r="AC560" s="80" t="str">
        <f t="shared" si="98"/>
        <v>LCON0</v>
      </c>
      <c r="AD560" s="80" t="str">
        <f t="shared" si="100"/>
        <v>CLN0</v>
      </c>
      <c r="AE560" s="80" t="str">
        <f t="shared" si="101"/>
        <v>LCOQ0</v>
      </c>
      <c r="AF560" s="80" t="str">
        <f t="shared" si="102"/>
        <v>CLQ0</v>
      </c>
      <c r="AG560" s="80" t="str">
        <f t="shared" si="103"/>
        <v>LCOU0</v>
      </c>
      <c r="AH560" s="80" t="str">
        <f t="shared" si="104"/>
        <v>LCOV0</v>
      </c>
    </row>
    <row r="561" spans="25:34" x14ac:dyDescent="0.35">
      <c r="Y561" s="74">
        <f t="shared" si="105"/>
        <v>43964</v>
      </c>
      <c r="Z561" s="74">
        <f t="shared" ca="1" si="96"/>
        <v>43970</v>
      </c>
      <c r="AA561" s="80" t="str">
        <f t="shared" ca="1" si="97"/>
        <v>CLM0</v>
      </c>
      <c r="AB561" s="74">
        <f t="shared" si="99"/>
        <v>43980</v>
      </c>
      <c r="AC561" s="80" t="str">
        <f t="shared" si="98"/>
        <v>LCON0</v>
      </c>
      <c r="AD561" s="80" t="str">
        <f t="shared" si="100"/>
        <v>CLN0</v>
      </c>
      <c r="AE561" s="80" t="str">
        <f t="shared" si="101"/>
        <v>LCOQ0</v>
      </c>
      <c r="AF561" s="80" t="str">
        <f t="shared" si="102"/>
        <v>CLQ0</v>
      </c>
      <c r="AG561" s="80" t="str">
        <f t="shared" si="103"/>
        <v>LCOU0</v>
      </c>
      <c r="AH561" s="80" t="str">
        <f t="shared" si="104"/>
        <v>LCOV0</v>
      </c>
    </row>
    <row r="562" spans="25:34" x14ac:dyDescent="0.35">
      <c r="Y562" s="74">
        <f t="shared" si="105"/>
        <v>43965</v>
      </c>
      <c r="Z562" s="74">
        <f t="shared" ca="1" si="96"/>
        <v>43970</v>
      </c>
      <c r="AA562" s="80" t="str">
        <f t="shared" ca="1" si="97"/>
        <v>CLM0</v>
      </c>
      <c r="AB562" s="74">
        <f t="shared" si="99"/>
        <v>43980</v>
      </c>
      <c r="AC562" s="80" t="str">
        <f t="shared" si="98"/>
        <v>LCON0</v>
      </c>
      <c r="AD562" s="80" t="str">
        <f t="shared" si="100"/>
        <v>CLN0</v>
      </c>
      <c r="AE562" s="80" t="str">
        <f t="shared" si="101"/>
        <v>LCOQ0</v>
      </c>
      <c r="AF562" s="80" t="str">
        <f t="shared" si="102"/>
        <v>CLQ0</v>
      </c>
      <c r="AG562" s="80" t="str">
        <f t="shared" si="103"/>
        <v>LCOU0</v>
      </c>
      <c r="AH562" s="80" t="str">
        <f t="shared" si="104"/>
        <v>LCOV0</v>
      </c>
    </row>
    <row r="563" spans="25:34" x14ac:dyDescent="0.35">
      <c r="Y563" s="74">
        <f t="shared" si="105"/>
        <v>43966</v>
      </c>
      <c r="Z563" s="74">
        <f t="shared" ca="1" si="96"/>
        <v>43970</v>
      </c>
      <c r="AA563" s="80" t="str">
        <f t="shared" ca="1" si="97"/>
        <v>CLM0</v>
      </c>
      <c r="AB563" s="74">
        <f t="shared" si="99"/>
        <v>43980</v>
      </c>
      <c r="AC563" s="80" t="str">
        <f t="shared" si="98"/>
        <v>LCON0</v>
      </c>
      <c r="AD563" s="80" t="str">
        <f t="shared" si="100"/>
        <v>CLN0</v>
      </c>
      <c r="AE563" s="80" t="str">
        <f t="shared" si="101"/>
        <v>LCOQ0</v>
      </c>
      <c r="AF563" s="80" t="str">
        <f t="shared" si="102"/>
        <v>CLQ0</v>
      </c>
      <c r="AG563" s="80" t="str">
        <f t="shared" si="103"/>
        <v>LCOU0</v>
      </c>
      <c r="AH563" s="80" t="str">
        <f t="shared" si="104"/>
        <v>LCOV0</v>
      </c>
    </row>
    <row r="564" spans="25:34" x14ac:dyDescent="0.35">
      <c r="Y564" s="74">
        <f t="shared" si="105"/>
        <v>43967</v>
      </c>
      <c r="Z564" s="74">
        <f t="shared" ca="1" si="96"/>
        <v>43970</v>
      </c>
      <c r="AA564" s="80" t="str">
        <f t="shared" ca="1" si="97"/>
        <v>CLM0</v>
      </c>
      <c r="AB564" s="74">
        <f t="shared" si="99"/>
        <v>43980</v>
      </c>
      <c r="AC564" s="80" t="str">
        <f t="shared" si="98"/>
        <v>LCON0</v>
      </c>
      <c r="AD564" s="80" t="str">
        <f t="shared" si="100"/>
        <v>CLN0</v>
      </c>
      <c r="AE564" s="80" t="str">
        <f t="shared" si="101"/>
        <v>LCOQ0</v>
      </c>
      <c r="AF564" s="80" t="str">
        <f t="shared" si="102"/>
        <v>CLQ0</v>
      </c>
      <c r="AG564" s="80" t="str">
        <f t="shared" si="103"/>
        <v>LCOU0</v>
      </c>
      <c r="AH564" s="80" t="str">
        <f t="shared" si="104"/>
        <v>LCOV0</v>
      </c>
    </row>
    <row r="565" spans="25:34" x14ac:dyDescent="0.35">
      <c r="Y565" s="74">
        <f t="shared" si="105"/>
        <v>43968</v>
      </c>
      <c r="Z565" s="74">
        <f t="shared" ca="1" si="96"/>
        <v>43970</v>
      </c>
      <c r="AA565" s="80" t="str">
        <f t="shared" ca="1" si="97"/>
        <v>CLM0</v>
      </c>
      <c r="AB565" s="74">
        <f t="shared" si="99"/>
        <v>43980</v>
      </c>
      <c r="AC565" s="80" t="str">
        <f t="shared" si="98"/>
        <v>LCON0</v>
      </c>
      <c r="AD565" s="80" t="str">
        <f t="shared" si="100"/>
        <v>CLN0</v>
      </c>
      <c r="AE565" s="80" t="str">
        <f t="shared" si="101"/>
        <v>LCOQ0</v>
      </c>
      <c r="AF565" s="80" t="str">
        <f t="shared" si="102"/>
        <v>CLQ0</v>
      </c>
      <c r="AG565" s="80" t="str">
        <f t="shared" si="103"/>
        <v>LCOU0</v>
      </c>
      <c r="AH565" s="80" t="str">
        <f t="shared" si="104"/>
        <v>LCOV0</v>
      </c>
    </row>
    <row r="566" spans="25:34" x14ac:dyDescent="0.35">
      <c r="Y566" s="74">
        <f t="shared" si="105"/>
        <v>43969</v>
      </c>
      <c r="Z566" s="74">
        <f t="shared" ca="1" si="96"/>
        <v>43970</v>
      </c>
      <c r="AA566" s="80" t="str">
        <f t="shared" ca="1" si="97"/>
        <v>CLM0</v>
      </c>
      <c r="AB566" s="74">
        <f t="shared" si="99"/>
        <v>43980</v>
      </c>
      <c r="AC566" s="80" t="str">
        <f t="shared" si="98"/>
        <v>LCON0</v>
      </c>
      <c r="AD566" s="80" t="str">
        <f t="shared" si="100"/>
        <v>CLN0</v>
      </c>
      <c r="AE566" s="80" t="str">
        <f t="shared" si="101"/>
        <v>LCOQ0</v>
      </c>
      <c r="AF566" s="80" t="str">
        <f t="shared" si="102"/>
        <v>CLQ0</v>
      </c>
      <c r="AG566" s="80" t="str">
        <f t="shared" si="103"/>
        <v>LCOU0</v>
      </c>
      <c r="AH566" s="80" t="str">
        <f t="shared" si="104"/>
        <v>LCOV0</v>
      </c>
    </row>
    <row r="567" spans="25:34" x14ac:dyDescent="0.35">
      <c r="Y567" s="74">
        <f t="shared" si="105"/>
        <v>43970</v>
      </c>
      <c r="Z567" s="74">
        <f t="shared" ca="1" si="96"/>
        <v>43970</v>
      </c>
      <c r="AA567" s="80" t="str">
        <f t="shared" ca="1" si="97"/>
        <v>CLM0</v>
      </c>
      <c r="AB567" s="74">
        <f t="shared" si="99"/>
        <v>43980</v>
      </c>
      <c r="AC567" s="80" t="str">
        <f t="shared" si="98"/>
        <v>LCON0</v>
      </c>
      <c r="AD567" s="80" t="str">
        <f t="shared" si="100"/>
        <v>CLN0</v>
      </c>
      <c r="AE567" s="80" t="str">
        <f t="shared" si="101"/>
        <v>LCOQ0</v>
      </c>
      <c r="AF567" s="80" t="str">
        <f t="shared" si="102"/>
        <v>CLQ0</v>
      </c>
      <c r="AG567" s="80" t="str">
        <f t="shared" si="103"/>
        <v>LCOU0</v>
      </c>
      <c r="AH567" s="80" t="str">
        <f t="shared" si="104"/>
        <v>LCOV0</v>
      </c>
    </row>
    <row r="568" spans="25:34" x14ac:dyDescent="0.35">
      <c r="Y568" s="74">
        <f t="shared" si="105"/>
        <v>43971</v>
      </c>
      <c r="Z568" s="74">
        <f t="shared" ca="1" si="96"/>
        <v>44004</v>
      </c>
      <c r="AA568" s="80" t="str">
        <f t="shared" ca="1" si="97"/>
        <v>CLN0</v>
      </c>
      <c r="AB568" s="74">
        <f t="shared" si="99"/>
        <v>43980</v>
      </c>
      <c r="AC568" s="80" t="str">
        <f t="shared" si="98"/>
        <v>LCON0</v>
      </c>
      <c r="AD568" s="80" t="str">
        <f t="shared" si="100"/>
        <v>CLN0</v>
      </c>
      <c r="AE568" s="80" t="str">
        <f t="shared" si="101"/>
        <v>LCOQ0</v>
      </c>
      <c r="AF568" s="80" t="str">
        <f t="shared" si="102"/>
        <v>CLQ0</v>
      </c>
      <c r="AG568" s="80" t="str">
        <f t="shared" si="103"/>
        <v>LCOU0</v>
      </c>
      <c r="AH568" s="80" t="str">
        <f t="shared" si="104"/>
        <v>LCOV0</v>
      </c>
    </row>
    <row r="569" spans="25:34" x14ac:dyDescent="0.35">
      <c r="Y569" s="74">
        <f t="shared" si="105"/>
        <v>43972</v>
      </c>
      <c r="Z569" s="74">
        <f t="shared" ca="1" si="96"/>
        <v>44004</v>
      </c>
      <c r="AA569" s="80" t="str">
        <f t="shared" ca="1" si="97"/>
        <v>CLN0</v>
      </c>
      <c r="AB569" s="74">
        <f t="shared" si="99"/>
        <v>43980</v>
      </c>
      <c r="AC569" s="80" t="str">
        <f t="shared" si="98"/>
        <v>LCON0</v>
      </c>
      <c r="AD569" s="80" t="str">
        <f t="shared" si="100"/>
        <v>CLN0</v>
      </c>
      <c r="AE569" s="80" t="str">
        <f t="shared" si="101"/>
        <v>LCOQ0</v>
      </c>
      <c r="AF569" s="80" t="str">
        <f t="shared" si="102"/>
        <v>CLQ0</v>
      </c>
      <c r="AG569" s="80" t="str">
        <f t="shared" si="103"/>
        <v>LCOU0</v>
      </c>
      <c r="AH569" s="80" t="str">
        <f t="shared" si="104"/>
        <v>LCOV0</v>
      </c>
    </row>
    <row r="570" spans="25:34" x14ac:dyDescent="0.35">
      <c r="Y570" s="74">
        <f t="shared" si="105"/>
        <v>43973</v>
      </c>
      <c r="Z570" s="74">
        <f t="shared" ca="1" si="96"/>
        <v>44004</v>
      </c>
      <c r="AA570" s="80" t="str">
        <f t="shared" ca="1" si="97"/>
        <v>CLN0</v>
      </c>
      <c r="AB570" s="74">
        <f t="shared" si="99"/>
        <v>43980</v>
      </c>
      <c r="AC570" s="80" t="str">
        <f t="shared" si="98"/>
        <v>LCON0</v>
      </c>
      <c r="AD570" s="80" t="str">
        <f t="shared" si="100"/>
        <v>CLN0</v>
      </c>
      <c r="AE570" s="80" t="str">
        <f t="shared" si="101"/>
        <v>LCOQ0</v>
      </c>
      <c r="AF570" s="80" t="str">
        <f t="shared" si="102"/>
        <v>CLQ0</v>
      </c>
      <c r="AG570" s="80" t="str">
        <f t="shared" si="103"/>
        <v>LCOU0</v>
      </c>
      <c r="AH570" s="80" t="str">
        <f t="shared" si="104"/>
        <v>LCOV0</v>
      </c>
    </row>
    <row r="571" spans="25:34" x14ac:dyDescent="0.35">
      <c r="Y571" s="74">
        <f t="shared" si="105"/>
        <v>43974</v>
      </c>
      <c r="Z571" s="74">
        <f t="shared" ca="1" si="96"/>
        <v>44004</v>
      </c>
      <c r="AA571" s="80" t="str">
        <f t="shared" ca="1" si="97"/>
        <v>CLN0</v>
      </c>
      <c r="AB571" s="74">
        <f t="shared" si="99"/>
        <v>43980</v>
      </c>
      <c r="AC571" s="80" t="str">
        <f t="shared" si="98"/>
        <v>LCON0</v>
      </c>
      <c r="AD571" s="80" t="str">
        <f t="shared" si="100"/>
        <v>CLN0</v>
      </c>
      <c r="AE571" s="80" t="str">
        <f t="shared" si="101"/>
        <v>LCOQ0</v>
      </c>
      <c r="AF571" s="80" t="str">
        <f t="shared" si="102"/>
        <v>CLQ0</v>
      </c>
      <c r="AG571" s="80" t="str">
        <f t="shared" si="103"/>
        <v>LCOU0</v>
      </c>
      <c r="AH571" s="80" t="str">
        <f t="shared" si="104"/>
        <v>LCOV0</v>
      </c>
    </row>
    <row r="572" spans="25:34" x14ac:dyDescent="0.35">
      <c r="Y572" s="74">
        <f t="shared" si="105"/>
        <v>43975</v>
      </c>
      <c r="Z572" s="74">
        <f t="shared" ca="1" si="96"/>
        <v>44004</v>
      </c>
      <c r="AA572" s="80" t="str">
        <f t="shared" ca="1" si="97"/>
        <v>CLN0</v>
      </c>
      <c r="AB572" s="74">
        <f t="shared" si="99"/>
        <v>43980</v>
      </c>
      <c r="AC572" s="80" t="str">
        <f t="shared" si="98"/>
        <v>LCON0</v>
      </c>
      <c r="AD572" s="80" t="str">
        <f t="shared" si="100"/>
        <v>CLN0</v>
      </c>
      <c r="AE572" s="80" t="str">
        <f t="shared" si="101"/>
        <v>LCOQ0</v>
      </c>
      <c r="AF572" s="80" t="str">
        <f t="shared" si="102"/>
        <v>CLQ0</v>
      </c>
      <c r="AG572" s="80" t="str">
        <f t="shared" si="103"/>
        <v>LCOU0</v>
      </c>
      <c r="AH572" s="80" t="str">
        <f t="shared" si="104"/>
        <v>LCOV0</v>
      </c>
    </row>
    <row r="573" spans="25:34" x14ac:dyDescent="0.35">
      <c r="Y573" s="74">
        <f t="shared" si="105"/>
        <v>43976</v>
      </c>
      <c r="Z573" s="74">
        <f t="shared" ca="1" si="96"/>
        <v>44004</v>
      </c>
      <c r="AA573" s="80" t="str">
        <f t="shared" ca="1" si="97"/>
        <v>CLN0</v>
      </c>
      <c r="AB573" s="74">
        <f t="shared" si="99"/>
        <v>43980</v>
      </c>
      <c r="AC573" s="80" t="str">
        <f t="shared" si="98"/>
        <v>LCON0</v>
      </c>
      <c r="AD573" s="80" t="str">
        <f t="shared" si="100"/>
        <v>CLN0</v>
      </c>
      <c r="AE573" s="80" t="str">
        <f t="shared" si="101"/>
        <v>LCOQ0</v>
      </c>
      <c r="AF573" s="80" t="str">
        <f t="shared" si="102"/>
        <v>CLQ0</v>
      </c>
      <c r="AG573" s="80" t="str">
        <f t="shared" si="103"/>
        <v>LCOU0</v>
      </c>
      <c r="AH573" s="80" t="str">
        <f t="shared" si="104"/>
        <v>LCOV0</v>
      </c>
    </row>
    <row r="574" spans="25:34" x14ac:dyDescent="0.35">
      <c r="Y574" s="74">
        <f t="shared" si="105"/>
        <v>43977</v>
      </c>
      <c r="Z574" s="74">
        <f t="shared" ca="1" si="96"/>
        <v>44004</v>
      </c>
      <c r="AA574" s="80" t="str">
        <f t="shared" ca="1" si="97"/>
        <v>CLN0</v>
      </c>
      <c r="AB574" s="74">
        <f t="shared" si="99"/>
        <v>43980</v>
      </c>
      <c r="AC574" s="80" t="str">
        <f t="shared" si="98"/>
        <v>LCON0</v>
      </c>
      <c r="AD574" s="80" t="str">
        <f t="shared" si="100"/>
        <v>CLN0</v>
      </c>
      <c r="AE574" s="80" t="str">
        <f t="shared" si="101"/>
        <v>LCOQ0</v>
      </c>
      <c r="AF574" s="80" t="str">
        <f t="shared" si="102"/>
        <v>CLQ0</v>
      </c>
      <c r="AG574" s="80" t="str">
        <f t="shared" si="103"/>
        <v>LCOU0</v>
      </c>
      <c r="AH574" s="80" t="str">
        <f t="shared" si="104"/>
        <v>LCOV0</v>
      </c>
    </row>
    <row r="575" spans="25:34" x14ac:dyDescent="0.35">
      <c r="Y575" s="74">
        <f t="shared" si="105"/>
        <v>43978</v>
      </c>
      <c r="Z575" s="74">
        <f t="shared" ca="1" si="96"/>
        <v>44004</v>
      </c>
      <c r="AA575" s="80" t="str">
        <f t="shared" ca="1" si="97"/>
        <v>CLN0</v>
      </c>
      <c r="AB575" s="74">
        <f t="shared" si="99"/>
        <v>43980</v>
      </c>
      <c r="AC575" s="80" t="str">
        <f t="shared" si="98"/>
        <v>LCON0</v>
      </c>
      <c r="AD575" s="80" t="str">
        <f t="shared" si="100"/>
        <v>CLN0</v>
      </c>
      <c r="AE575" s="80" t="str">
        <f t="shared" si="101"/>
        <v>LCOQ0</v>
      </c>
      <c r="AF575" s="80" t="str">
        <f t="shared" si="102"/>
        <v>CLQ0</v>
      </c>
      <c r="AG575" s="80" t="str">
        <f t="shared" si="103"/>
        <v>LCOU0</v>
      </c>
      <c r="AH575" s="80" t="str">
        <f t="shared" si="104"/>
        <v>LCOV0</v>
      </c>
    </row>
    <row r="576" spans="25:34" x14ac:dyDescent="0.35">
      <c r="Y576" s="74">
        <f t="shared" si="105"/>
        <v>43979</v>
      </c>
      <c r="Z576" s="74">
        <f t="shared" ca="1" si="96"/>
        <v>44004</v>
      </c>
      <c r="AA576" s="80" t="str">
        <f t="shared" ca="1" si="97"/>
        <v>CLN0</v>
      </c>
      <c r="AB576" s="74">
        <f t="shared" si="99"/>
        <v>43980</v>
      </c>
      <c r="AC576" s="80" t="str">
        <f t="shared" si="98"/>
        <v>LCON0</v>
      </c>
      <c r="AD576" s="80" t="str">
        <f t="shared" si="100"/>
        <v>CLN0</v>
      </c>
      <c r="AE576" s="80" t="str">
        <f t="shared" si="101"/>
        <v>LCOQ0</v>
      </c>
      <c r="AF576" s="80" t="str">
        <f t="shared" si="102"/>
        <v>CLQ0</v>
      </c>
      <c r="AG576" s="80" t="str">
        <f t="shared" si="103"/>
        <v>LCOU0</v>
      </c>
      <c r="AH576" s="80" t="str">
        <f t="shared" si="104"/>
        <v>LCOV0</v>
      </c>
    </row>
    <row r="577" spans="25:34" x14ac:dyDescent="0.35">
      <c r="Y577" s="74">
        <f t="shared" si="105"/>
        <v>43980</v>
      </c>
      <c r="Z577" s="74">
        <f t="shared" ca="1" si="96"/>
        <v>44004</v>
      </c>
      <c r="AA577" s="80" t="str">
        <f t="shared" ca="1" si="97"/>
        <v>CLN0</v>
      </c>
      <c r="AB577" s="74">
        <f t="shared" si="99"/>
        <v>43980</v>
      </c>
      <c r="AC577" s="80" t="str">
        <f t="shared" si="98"/>
        <v>LCON0</v>
      </c>
      <c r="AD577" s="80" t="str">
        <f t="shared" si="100"/>
        <v>CLN0</v>
      </c>
      <c r="AE577" s="80" t="str">
        <f t="shared" si="101"/>
        <v>LCOQ0</v>
      </c>
      <c r="AF577" s="80" t="str">
        <f t="shared" si="102"/>
        <v>CLQ0</v>
      </c>
      <c r="AG577" s="80" t="str">
        <f t="shared" si="103"/>
        <v>LCOU0</v>
      </c>
      <c r="AH577" s="80" t="str">
        <f t="shared" si="104"/>
        <v>LCOV0</v>
      </c>
    </row>
    <row r="578" spans="25:34" x14ac:dyDescent="0.35">
      <c r="Y578" s="74">
        <f t="shared" si="105"/>
        <v>43981</v>
      </c>
      <c r="Z578" s="74">
        <f t="shared" ref="Z578:Z641" ca="1" si="106">VLOOKUP(AA578,$I$2:$K$39,3,FALSE)</f>
        <v>44004</v>
      </c>
      <c r="AA578" s="80" t="str">
        <f t="shared" ref="AA578:AA641" ca="1" si="107">LOOKUP(2,1/($J$2:$J$700&lt;=$Y578)/($K$2:$K$700&gt;=$Y578),$L$2:$L$700)</f>
        <v>CLN0</v>
      </c>
      <c r="AB578" s="74">
        <f t="shared" si="99"/>
        <v>44012</v>
      </c>
      <c r="AC578" s="80" t="str">
        <f t="shared" ref="AC578:AC641" si="108">LOOKUP(2,1/($R$2:$R$700&lt;=$Y578)/($S$2:$S$700&gt;=$Y578),$T$2:$T$700)</f>
        <v>LCOQ0</v>
      </c>
      <c r="AD578" s="80" t="str">
        <f t="shared" si="100"/>
        <v>CLQ0</v>
      </c>
      <c r="AE578" s="80" t="str">
        <f t="shared" si="101"/>
        <v>LCOU0</v>
      </c>
      <c r="AF578" s="80" t="str">
        <f t="shared" si="102"/>
        <v>CLU0</v>
      </c>
      <c r="AG578" s="80" t="str">
        <f t="shared" si="103"/>
        <v>LCOV0</v>
      </c>
      <c r="AH578" s="80" t="str">
        <f t="shared" si="104"/>
        <v>LCOX0</v>
      </c>
    </row>
    <row r="579" spans="25:34" x14ac:dyDescent="0.35">
      <c r="Y579" s="74">
        <f t="shared" si="105"/>
        <v>43982</v>
      </c>
      <c r="Z579" s="74">
        <f t="shared" ca="1" si="106"/>
        <v>44004</v>
      </c>
      <c r="AA579" s="80" t="str">
        <f t="shared" ca="1" si="107"/>
        <v>CLN0</v>
      </c>
      <c r="AB579" s="74">
        <f t="shared" ref="AB579:AB642" si="109">VLOOKUP(AC579,$Q$2:$S$39,3,FALSE)</f>
        <v>44012</v>
      </c>
      <c r="AC579" s="80" t="str">
        <f t="shared" si="108"/>
        <v>LCOQ0</v>
      </c>
      <c r="AD579" s="80" t="str">
        <f t="shared" ref="AD579:AD642" si="110">CONCATENATE("CL",RIGHT(AC579,2))</f>
        <v>CLQ0</v>
      </c>
      <c r="AE579" s="80" t="str">
        <f t="shared" ref="AE579:AE642" si="111">LOOKUP(2,1/($R$2:$R$700&lt;=$Y579)/($S$2:$S$700&gt;=$Y579),$U$2:$U$700)</f>
        <v>LCOU0</v>
      </c>
      <c r="AF579" s="80" t="str">
        <f t="shared" ref="AF579:AF642" si="112">CONCATENATE("CL",RIGHT(AE579,2))</f>
        <v>CLU0</v>
      </c>
      <c r="AG579" s="80" t="str">
        <f t="shared" ref="AG579:AG642" si="113">LOOKUP(2,1/($R$2:$R$700&lt;=$Y579)/($S$2:$S$700&gt;=$Y579),$V$2:$V$700)</f>
        <v>LCOV0</v>
      </c>
      <c r="AH579" s="80" t="str">
        <f t="shared" ref="AH579:AH642" si="114">LOOKUP(2,1/($R$2:$R$700&lt;=$Y579)/($S$2:$S$700&gt;=$Y579),$W$2:$W$700)</f>
        <v>LCOX0</v>
      </c>
    </row>
    <row r="580" spans="25:34" x14ac:dyDescent="0.35">
      <c r="Y580" s="74">
        <f t="shared" si="105"/>
        <v>43983</v>
      </c>
      <c r="Z580" s="74">
        <f t="shared" ca="1" si="106"/>
        <v>44004</v>
      </c>
      <c r="AA580" s="80" t="str">
        <f t="shared" ca="1" si="107"/>
        <v>CLN0</v>
      </c>
      <c r="AB580" s="74">
        <f t="shared" si="109"/>
        <v>44012</v>
      </c>
      <c r="AC580" s="80" t="str">
        <f t="shared" si="108"/>
        <v>LCOQ0</v>
      </c>
      <c r="AD580" s="80" t="str">
        <f t="shared" si="110"/>
        <v>CLQ0</v>
      </c>
      <c r="AE580" s="80" t="str">
        <f t="shared" si="111"/>
        <v>LCOU0</v>
      </c>
      <c r="AF580" s="80" t="str">
        <f t="shared" si="112"/>
        <v>CLU0</v>
      </c>
      <c r="AG580" s="80" t="str">
        <f t="shared" si="113"/>
        <v>LCOV0</v>
      </c>
      <c r="AH580" s="80" t="str">
        <f t="shared" si="114"/>
        <v>LCOX0</v>
      </c>
    </row>
    <row r="581" spans="25:34" x14ac:dyDescent="0.35">
      <c r="Y581" s="74">
        <f t="shared" si="105"/>
        <v>43984</v>
      </c>
      <c r="Z581" s="74">
        <f t="shared" ca="1" si="106"/>
        <v>44004</v>
      </c>
      <c r="AA581" s="80" t="str">
        <f t="shared" ca="1" si="107"/>
        <v>CLN0</v>
      </c>
      <c r="AB581" s="74">
        <f t="shared" si="109"/>
        <v>44012</v>
      </c>
      <c r="AC581" s="80" t="str">
        <f t="shared" si="108"/>
        <v>LCOQ0</v>
      </c>
      <c r="AD581" s="80" t="str">
        <f t="shared" si="110"/>
        <v>CLQ0</v>
      </c>
      <c r="AE581" s="80" t="str">
        <f t="shared" si="111"/>
        <v>LCOU0</v>
      </c>
      <c r="AF581" s="80" t="str">
        <f t="shared" si="112"/>
        <v>CLU0</v>
      </c>
      <c r="AG581" s="80" t="str">
        <f t="shared" si="113"/>
        <v>LCOV0</v>
      </c>
      <c r="AH581" s="80" t="str">
        <f t="shared" si="114"/>
        <v>LCOX0</v>
      </c>
    </row>
    <row r="582" spans="25:34" x14ac:dyDescent="0.35">
      <c r="Y582" s="74">
        <f t="shared" si="105"/>
        <v>43985</v>
      </c>
      <c r="Z582" s="74">
        <f t="shared" ca="1" si="106"/>
        <v>44004</v>
      </c>
      <c r="AA582" s="80" t="str">
        <f t="shared" ca="1" si="107"/>
        <v>CLN0</v>
      </c>
      <c r="AB582" s="74">
        <f t="shared" si="109"/>
        <v>44012</v>
      </c>
      <c r="AC582" s="80" t="str">
        <f t="shared" si="108"/>
        <v>LCOQ0</v>
      </c>
      <c r="AD582" s="80" t="str">
        <f t="shared" si="110"/>
        <v>CLQ0</v>
      </c>
      <c r="AE582" s="80" t="str">
        <f t="shared" si="111"/>
        <v>LCOU0</v>
      </c>
      <c r="AF582" s="80" t="str">
        <f t="shared" si="112"/>
        <v>CLU0</v>
      </c>
      <c r="AG582" s="80" t="str">
        <f t="shared" si="113"/>
        <v>LCOV0</v>
      </c>
      <c r="AH582" s="80" t="str">
        <f t="shared" si="114"/>
        <v>LCOX0</v>
      </c>
    </row>
    <row r="583" spans="25:34" x14ac:dyDescent="0.35">
      <c r="Y583" s="74">
        <f t="shared" si="105"/>
        <v>43986</v>
      </c>
      <c r="Z583" s="74">
        <f t="shared" ca="1" si="106"/>
        <v>44004</v>
      </c>
      <c r="AA583" s="80" t="str">
        <f t="shared" ca="1" si="107"/>
        <v>CLN0</v>
      </c>
      <c r="AB583" s="74">
        <f t="shared" si="109"/>
        <v>44012</v>
      </c>
      <c r="AC583" s="80" t="str">
        <f t="shared" si="108"/>
        <v>LCOQ0</v>
      </c>
      <c r="AD583" s="80" t="str">
        <f t="shared" si="110"/>
        <v>CLQ0</v>
      </c>
      <c r="AE583" s="80" t="str">
        <f t="shared" si="111"/>
        <v>LCOU0</v>
      </c>
      <c r="AF583" s="80" t="str">
        <f t="shared" si="112"/>
        <v>CLU0</v>
      </c>
      <c r="AG583" s="80" t="str">
        <f t="shared" si="113"/>
        <v>LCOV0</v>
      </c>
      <c r="AH583" s="80" t="str">
        <f t="shared" si="114"/>
        <v>LCOX0</v>
      </c>
    </row>
    <row r="584" spans="25:34" x14ac:dyDescent="0.35">
      <c r="Y584" s="74">
        <f t="shared" si="105"/>
        <v>43987</v>
      </c>
      <c r="Z584" s="74">
        <f t="shared" ca="1" si="106"/>
        <v>44004</v>
      </c>
      <c r="AA584" s="80" t="str">
        <f t="shared" ca="1" si="107"/>
        <v>CLN0</v>
      </c>
      <c r="AB584" s="74">
        <f t="shared" si="109"/>
        <v>44012</v>
      </c>
      <c r="AC584" s="80" t="str">
        <f t="shared" si="108"/>
        <v>LCOQ0</v>
      </c>
      <c r="AD584" s="80" t="str">
        <f t="shared" si="110"/>
        <v>CLQ0</v>
      </c>
      <c r="AE584" s="80" t="str">
        <f t="shared" si="111"/>
        <v>LCOU0</v>
      </c>
      <c r="AF584" s="80" t="str">
        <f t="shared" si="112"/>
        <v>CLU0</v>
      </c>
      <c r="AG584" s="80" t="str">
        <f t="shared" si="113"/>
        <v>LCOV0</v>
      </c>
      <c r="AH584" s="80" t="str">
        <f t="shared" si="114"/>
        <v>LCOX0</v>
      </c>
    </row>
    <row r="585" spans="25:34" x14ac:dyDescent="0.35">
      <c r="Y585" s="74">
        <f t="shared" si="105"/>
        <v>43988</v>
      </c>
      <c r="Z585" s="74">
        <f t="shared" ca="1" si="106"/>
        <v>44004</v>
      </c>
      <c r="AA585" s="80" t="str">
        <f t="shared" ca="1" si="107"/>
        <v>CLN0</v>
      </c>
      <c r="AB585" s="74">
        <f t="shared" si="109"/>
        <v>44012</v>
      </c>
      <c r="AC585" s="80" t="str">
        <f t="shared" si="108"/>
        <v>LCOQ0</v>
      </c>
      <c r="AD585" s="80" t="str">
        <f t="shared" si="110"/>
        <v>CLQ0</v>
      </c>
      <c r="AE585" s="80" t="str">
        <f t="shared" si="111"/>
        <v>LCOU0</v>
      </c>
      <c r="AF585" s="80" t="str">
        <f t="shared" si="112"/>
        <v>CLU0</v>
      </c>
      <c r="AG585" s="80" t="str">
        <f t="shared" si="113"/>
        <v>LCOV0</v>
      </c>
      <c r="AH585" s="80" t="str">
        <f t="shared" si="114"/>
        <v>LCOX0</v>
      </c>
    </row>
    <row r="586" spans="25:34" x14ac:dyDescent="0.35">
      <c r="Y586" s="74">
        <f t="shared" si="105"/>
        <v>43989</v>
      </c>
      <c r="Z586" s="74">
        <f t="shared" ca="1" si="106"/>
        <v>44004</v>
      </c>
      <c r="AA586" s="80" t="str">
        <f t="shared" ca="1" si="107"/>
        <v>CLN0</v>
      </c>
      <c r="AB586" s="74">
        <f t="shared" si="109"/>
        <v>44012</v>
      </c>
      <c r="AC586" s="80" t="str">
        <f t="shared" si="108"/>
        <v>LCOQ0</v>
      </c>
      <c r="AD586" s="80" t="str">
        <f t="shared" si="110"/>
        <v>CLQ0</v>
      </c>
      <c r="AE586" s="80" t="str">
        <f t="shared" si="111"/>
        <v>LCOU0</v>
      </c>
      <c r="AF586" s="80" t="str">
        <f t="shared" si="112"/>
        <v>CLU0</v>
      </c>
      <c r="AG586" s="80" t="str">
        <f t="shared" si="113"/>
        <v>LCOV0</v>
      </c>
      <c r="AH586" s="80" t="str">
        <f t="shared" si="114"/>
        <v>LCOX0</v>
      </c>
    </row>
    <row r="587" spans="25:34" x14ac:dyDescent="0.35">
      <c r="Y587" s="74">
        <f t="shared" si="105"/>
        <v>43990</v>
      </c>
      <c r="Z587" s="74">
        <f t="shared" ca="1" si="106"/>
        <v>44004</v>
      </c>
      <c r="AA587" s="80" t="str">
        <f t="shared" ca="1" si="107"/>
        <v>CLN0</v>
      </c>
      <c r="AB587" s="74">
        <f t="shared" si="109"/>
        <v>44012</v>
      </c>
      <c r="AC587" s="80" t="str">
        <f t="shared" si="108"/>
        <v>LCOQ0</v>
      </c>
      <c r="AD587" s="80" t="str">
        <f t="shared" si="110"/>
        <v>CLQ0</v>
      </c>
      <c r="AE587" s="80" t="str">
        <f t="shared" si="111"/>
        <v>LCOU0</v>
      </c>
      <c r="AF587" s="80" t="str">
        <f t="shared" si="112"/>
        <v>CLU0</v>
      </c>
      <c r="AG587" s="80" t="str">
        <f t="shared" si="113"/>
        <v>LCOV0</v>
      </c>
      <c r="AH587" s="80" t="str">
        <f t="shared" si="114"/>
        <v>LCOX0</v>
      </c>
    </row>
    <row r="588" spans="25:34" x14ac:dyDescent="0.35">
      <c r="Y588" s="74">
        <f t="shared" si="105"/>
        <v>43991</v>
      </c>
      <c r="Z588" s="74">
        <f t="shared" ca="1" si="106"/>
        <v>44004</v>
      </c>
      <c r="AA588" s="80" t="str">
        <f t="shared" ca="1" si="107"/>
        <v>CLN0</v>
      </c>
      <c r="AB588" s="74">
        <f t="shared" si="109"/>
        <v>44012</v>
      </c>
      <c r="AC588" s="80" t="str">
        <f t="shared" si="108"/>
        <v>LCOQ0</v>
      </c>
      <c r="AD588" s="80" t="str">
        <f t="shared" si="110"/>
        <v>CLQ0</v>
      </c>
      <c r="AE588" s="80" t="str">
        <f t="shared" si="111"/>
        <v>LCOU0</v>
      </c>
      <c r="AF588" s="80" t="str">
        <f t="shared" si="112"/>
        <v>CLU0</v>
      </c>
      <c r="AG588" s="80" t="str">
        <f t="shared" si="113"/>
        <v>LCOV0</v>
      </c>
      <c r="AH588" s="80" t="str">
        <f t="shared" si="114"/>
        <v>LCOX0</v>
      </c>
    </row>
    <row r="589" spans="25:34" x14ac:dyDescent="0.35">
      <c r="Y589" s="74">
        <f t="shared" si="105"/>
        <v>43992</v>
      </c>
      <c r="Z589" s="74">
        <f t="shared" ca="1" si="106"/>
        <v>44004</v>
      </c>
      <c r="AA589" s="80" t="str">
        <f t="shared" ca="1" si="107"/>
        <v>CLN0</v>
      </c>
      <c r="AB589" s="74">
        <f t="shared" si="109"/>
        <v>44012</v>
      </c>
      <c r="AC589" s="80" t="str">
        <f t="shared" si="108"/>
        <v>LCOQ0</v>
      </c>
      <c r="AD589" s="80" t="str">
        <f t="shared" si="110"/>
        <v>CLQ0</v>
      </c>
      <c r="AE589" s="80" t="str">
        <f t="shared" si="111"/>
        <v>LCOU0</v>
      </c>
      <c r="AF589" s="80" t="str">
        <f t="shared" si="112"/>
        <v>CLU0</v>
      </c>
      <c r="AG589" s="80" t="str">
        <f t="shared" si="113"/>
        <v>LCOV0</v>
      </c>
      <c r="AH589" s="80" t="str">
        <f t="shared" si="114"/>
        <v>LCOX0</v>
      </c>
    </row>
    <row r="590" spans="25:34" x14ac:dyDescent="0.35">
      <c r="Y590" s="74">
        <f t="shared" si="105"/>
        <v>43993</v>
      </c>
      <c r="Z590" s="74">
        <f t="shared" ca="1" si="106"/>
        <v>44004</v>
      </c>
      <c r="AA590" s="80" t="str">
        <f t="shared" ca="1" si="107"/>
        <v>CLN0</v>
      </c>
      <c r="AB590" s="74">
        <f t="shared" si="109"/>
        <v>44012</v>
      </c>
      <c r="AC590" s="80" t="str">
        <f t="shared" si="108"/>
        <v>LCOQ0</v>
      </c>
      <c r="AD590" s="80" t="str">
        <f t="shared" si="110"/>
        <v>CLQ0</v>
      </c>
      <c r="AE590" s="80" t="str">
        <f t="shared" si="111"/>
        <v>LCOU0</v>
      </c>
      <c r="AF590" s="80" t="str">
        <f t="shared" si="112"/>
        <v>CLU0</v>
      </c>
      <c r="AG590" s="80" t="str">
        <f t="shared" si="113"/>
        <v>LCOV0</v>
      </c>
      <c r="AH590" s="80" t="str">
        <f t="shared" si="114"/>
        <v>LCOX0</v>
      </c>
    </row>
    <row r="591" spans="25:34" x14ac:dyDescent="0.35">
      <c r="Y591" s="74">
        <f t="shared" si="105"/>
        <v>43994</v>
      </c>
      <c r="Z591" s="74">
        <f t="shared" ca="1" si="106"/>
        <v>44004</v>
      </c>
      <c r="AA591" s="80" t="str">
        <f t="shared" ca="1" si="107"/>
        <v>CLN0</v>
      </c>
      <c r="AB591" s="74">
        <f t="shared" si="109"/>
        <v>44012</v>
      </c>
      <c r="AC591" s="80" t="str">
        <f t="shared" si="108"/>
        <v>LCOQ0</v>
      </c>
      <c r="AD591" s="80" t="str">
        <f t="shared" si="110"/>
        <v>CLQ0</v>
      </c>
      <c r="AE591" s="80" t="str">
        <f t="shared" si="111"/>
        <v>LCOU0</v>
      </c>
      <c r="AF591" s="80" t="str">
        <f t="shared" si="112"/>
        <v>CLU0</v>
      </c>
      <c r="AG591" s="80" t="str">
        <f t="shared" si="113"/>
        <v>LCOV0</v>
      </c>
      <c r="AH591" s="80" t="str">
        <f t="shared" si="114"/>
        <v>LCOX0</v>
      </c>
    </row>
    <row r="592" spans="25:34" x14ac:dyDescent="0.35">
      <c r="Y592" s="74">
        <f t="shared" si="105"/>
        <v>43995</v>
      </c>
      <c r="Z592" s="74">
        <f t="shared" ca="1" si="106"/>
        <v>44004</v>
      </c>
      <c r="AA592" s="80" t="str">
        <f t="shared" ca="1" si="107"/>
        <v>CLN0</v>
      </c>
      <c r="AB592" s="74">
        <f t="shared" si="109"/>
        <v>44012</v>
      </c>
      <c r="AC592" s="80" t="str">
        <f t="shared" si="108"/>
        <v>LCOQ0</v>
      </c>
      <c r="AD592" s="80" t="str">
        <f t="shared" si="110"/>
        <v>CLQ0</v>
      </c>
      <c r="AE592" s="80" t="str">
        <f t="shared" si="111"/>
        <v>LCOU0</v>
      </c>
      <c r="AF592" s="80" t="str">
        <f t="shared" si="112"/>
        <v>CLU0</v>
      </c>
      <c r="AG592" s="80" t="str">
        <f t="shared" si="113"/>
        <v>LCOV0</v>
      </c>
      <c r="AH592" s="80" t="str">
        <f t="shared" si="114"/>
        <v>LCOX0</v>
      </c>
    </row>
    <row r="593" spans="25:34" x14ac:dyDescent="0.35">
      <c r="Y593" s="74">
        <f t="shared" si="105"/>
        <v>43996</v>
      </c>
      <c r="Z593" s="74">
        <f t="shared" ca="1" si="106"/>
        <v>44004</v>
      </c>
      <c r="AA593" s="80" t="str">
        <f t="shared" ca="1" si="107"/>
        <v>CLN0</v>
      </c>
      <c r="AB593" s="74">
        <f t="shared" si="109"/>
        <v>44012</v>
      </c>
      <c r="AC593" s="80" t="str">
        <f t="shared" si="108"/>
        <v>LCOQ0</v>
      </c>
      <c r="AD593" s="80" t="str">
        <f t="shared" si="110"/>
        <v>CLQ0</v>
      </c>
      <c r="AE593" s="80" t="str">
        <f t="shared" si="111"/>
        <v>LCOU0</v>
      </c>
      <c r="AF593" s="80" t="str">
        <f t="shared" si="112"/>
        <v>CLU0</v>
      </c>
      <c r="AG593" s="80" t="str">
        <f t="shared" si="113"/>
        <v>LCOV0</v>
      </c>
      <c r="AH593" s="80" t="str">
        <f t="shared" si="114"/>
        <v>LCOX0</v>
      </c>
    </row>
    <row r="594" spans="25:34" x14ac:dyDescent="0.35">
      <c r="Y594" s="74">
        <f t="shared" si="105"/>
        <v>43997</v>
      </c>
      <c r="Z594" s="74">
        <f t="shared" ca="1" si="106"/>
        <v>44004</v>
      </c>
      <c r="AA594" s="80" t="str">
        <f t="shared" ca="1" si="107"/>
        <v>CLN0</v>
      </c>
      <c r="AB594" s="74">
        <f t="shared" si="109"/>
        <v>44012</v>
      </c>
      <c r="AC594" s="80" t="str">
        <f t="shared" si="108"/>
        <v>LCOQ0</v>
      </c>
      <c r="AD594" s="80" t="str">
        <f t="shared" si="110"/>
        <v>CLQ0</v>
      </c>
      <c r="AE594" s="80" t="str">
        <f t="shared" si="111"/>
        <v>LCOU0</v>
      </c>
      <c r="AF594" s="80" t="str">
        <f t="shared" si="112"/>
        <v>CLU0</v>
      </c>
      <c r="AG594" s="80" t="str">
        <f t="shared" si="113"/>
        <v>LCOV0</v>
      </c>
      <c r="AH594" s="80" t="str">
        <f t="shared" si="114"/>
        <v>LCOX0</v>
      </c>
    </row>
    <row r="595" spans="25:34" x14ac:dyDescent="0.35">
      <c r="Y595" s="74">
        <f t="shared" si="105"/>
        <v>43998</v>
      </c>
      <c r="Z595" s="74">
        <f t="shared" ca="1" si="106"/>
        <v>44004</v>
      </c>
      <c r="AA595" s="80" t="str">
        <f t="shared" ca="1" si="107"/>
        <v>CLN0</v>
      </c>
      <c r="AB595" s="74">
        <f t="shared" si="109"/>
        <v>44012</v>
      </c>
      <c r="AC595" s="80" t="str">
        <f t="shared" si="108"/>
        <v>LCOQ0</v>
      </c>
      <c r="AD595" s="80" t="str">
        <f t="shared" si="110"/>
        <v>CLQ0</v>
      </c>
      <c r="AE595" s="80" t="str">
        <f t="shared" si="111"/>
        <v>LCOU0</v>
      </c>
      <c r="AF595" s="80" t="str">
        <f t="shared" si="112"/>
        <v>CLU0</v>
      </c>
      <c r="AG595" s="80" t="str">
        <f t="shared" si="113"/>
        <v>LCOV0</v>
      </c>
      <c r="AH595" s="80" t="str">
        <f t="shared" si="114"/>
        <v>LCOX0</v>
      </c>
    </row>
    <row r="596" spans="25:34" x14ac:dyDescent="0.35">
      <c r="Y596" s="74">
        <f t="shared" si="105"/>
        <v>43999</v>
      </c>
      <c r="Z596" s="74">
        <f t="shared" ca="1" si="106"/>
        <v>44004</v>
      </c>
      <c r="AA596" s="80" t="str">
        <f t="shared" ca="1" si="107"/>
        <v>CLN0</v>
      </c>
      <c r="AB596" s="74">
        <f t="shared" si="109"/>
        <v>44012</v>
      </c>
      <c r="AC596" s="80" t="str">
        <f t="shared" si="108"/>
        <v>LCOQ0</v>
      </c>
      <c r="AD596" s="80" t="str">
        <f t="shared" si="110"/>
        <v>CLQ0</v>
      </c>
      <c r="AE596" s="80" t="str">
        <f t="shared" si="111"/>
        <v>LCOU0</v>
      </c>
      <c r="AF596" s="80" t="str">
        <f t="shared" si="112"/>
        <v>CLU0</v>
      </c>
      <c r="AG596" s="80" t="str">
        <f t="shared" si="113"/>
        <v>LCOV0</v>
      </c>
      <c r="AH596" s="80" t="str">
        <f t="shared" si="114"/>
        <v>LCOX0</v>
      </c>
    </row>
    <row r="597" spans="25:34" x14ac:dyDescent="0.35">
      <c r="Y597" s="74">
        <f t="shared" si="105"/>
        <v>44000</v>
      </c>
      <c r="Z597" s="74">
        <f t="shared" ca="1" si="106"/>
        <v>44004</v>
      </c>
      <c r="AA597" s="80" t="str">
        <f t="shared" ca="1" si="107"/>
        <v>CLN0</v>
      </c>
      <c r="AB597" s="74">
        <f t="shared" si="109"/>
        <v>44012</v>
      </c>
      <c r="AC597" s="80" t="str">
        <f t="shared" si="108"/>
        <v>LCOQ0</v>
      </c>
      <c r="AD597" s="80" t="str">
        <f t="shared" si="110"/>
        <v>CLQ0</v>
      </c>
      <c r="AE597" s="80" t="str">
        <f t="shared" si="111"/>
        <v>LCOU0</v>
      </c>
      <c r="AF597" s="80" t="str">
        <f t="shared" si="112"/>
        <v>CLU0</v>
      </c>
      <c r="AG597" s="80" t="str">
        <f t="shared" si="113"/>
        <v>LCOV0</v>
      </c>
      <c r="AH597" s="80" t="str">
        <f t="shared" si="114"/>
        <v>LCOX0</v>
      </c>
    </row>
    <row r="598" spans="25:34" x14ac:dyDescent="0.35">
      <c r="Y598" s="74">
        <f t="shared" si="105"/>
        <v>44001</v>
      </c>
      <c r="Z598" s="74">
        <f t="shared" ca="1" si="106"/>
        <v>44004</v>
      </c>
      <c r="AA598" s="80" t="str">
        <f t="shared" ca="1" si="107"/>
        <v>CLN0</v>
      </c>
      <c r="AB598" s="74">
        <f t="shared" si="109"/>
        <v>44012</v>
      </c>
      <c r="AC598" s="80" t="str">
        <f t="shared" si="108"/>
        <v>LCOQ0</v>
      </c>
      <c r="AD598" s="80" t="str">
        <f t="shared" si="110"/>
        <v>CLQ0</v>
      </c>
      <c r="AE598" s="80" t="str">
        <f t="shared" si="111"/>
        <v>LCOU0</v>
      </c>
      <c r="AF598" s="80" t="str">
        <f t="shared" si="112"/>
        <v>CLU0</v>
      </c>
      <c r="AG598" s="80" t="str">
        <f t="shared" si="113"/>
        <v>LCOV0</v>
      </c>
      <c r="AH598" s="80" t="str">
        <f t="shared" si="114"/>
        <v>LCOX0</v>
      </c>
    </row>
    <row r="599" spans="25:34" x14ac:dyDescent="0.35">
      <c r="Y599" s="74">
        <f t="shared" si="105"/>
        <v>44002</v>
      </c>
      <c r="Z599" s="74">
        <f t="shared" ca="1" si="106"/>
        <v>44004</v>
      </c>
      <c r="AA599" s="80" t="str">
        <f t="shared" ca="1" si="107"/>
        <v>CLN0</v>
      </c>
      <c r="AB599" s="74">
        <f t="shared" si="109"/>
        <v>44012</v>
      </c>
      <c r="AC599" s="80" t="str">
        <f t="shared" si="108"/>
        <v>LCOQ0</v>
      </c>
      <c r="AD599" s="80" t="str">
        <f t="shared" si="110"/>
        <v>CLQ0</v>
      </c>
      <c r="AE599" s="80" t="str">
        <f t="shared" si="111"/>
        <v>LCOU0</v>
      </c>
      <c r="AF599" s="80" t="str">
        <f t="shared" si="112"/>
        <v>CLU0</v>
      </c>
      <c r="AG599" s="80" t="str">
        <f t="shared" si="113"/>
        <v>LCOV0</v>
      </c>
      <c r="AH599" s="80" t="str">
        <f t="shared" si="114"/>
        <v>LCOX0</v>
      </c>
    </row>
    <row r="600" spans="25:34" x14ac:dyDescent="0.35">
      <c r="Y600" s="74">
        <f t="shared" si="105"/>
        <v>44003</v>
      </c>
      <c r="Z600" s="74">
        <f t="shared" ca="1" si="106"/>
        <v>44004</v>
      </c>
      <c r="AA600" s="80" t="str">
        <f t="shared" ca="1" si="107"/>
        <v>CLN0</v>
      </c>
      <c r="AB600" s="74">
        <f t="shared" si="109"/>
        <v>44012</v>
      </c>
      <c r="AC600" s="80" t="str">
        <f t="shared" si="108"/>
        <v>LCOQ0</v>
      </c>
      <c r="AD600" s="80" t="str">
        <f t="shared" si="110"/>
        <v>CLQ0</v>
      </c>
      <c r="AE600" s="80" t="str">
        <f t="shared" si="111"/>
        <v>LCOU0</v>
      </c>
      <c r="AF600" s="80" t="str">
        <f t="shared" si="112"/>
        <v>CLU0</v>
      </c>
      <c r="AG600" s="80" t="str">
        <f t="shared" si="113"/>
        <v>LCOV0</v>
      </c>
      <c r="AH600" s="80" t="str">
        <f t="shared" si="114"/>
        <v>LCOX0</v>
      </c>
    </row>
    <row r="601" spans="25:34" x14ac:dyDescent="0.35">
      <c r="Y601" s="74">
        <f t="shared" si="105"/>
        <v>44004</v>
      </c>
      <c r="Z601" s="74">
        <f t="shared" ca="1" si="106"/>
        <v>44004</v>
      </c>
      <c r="AA601" s="80" t="str">
        <f t="shared" ca="1" si="107"/>
        <v>CLN0</v>
      </c>
      <c r="AB601" s="74">
        <f t="shared" si="109"/>
        <v>44012</v>
      </c>
      <c r="AC601" s="80" t="str">
        <f t="shared" si="108"/>
        <v>LCOQ0</v>
      </c>
      <c r="AD601" s="80" t="str">
        <f t="shared" si="110"/>
        <v>CLQ0</v>
      </c>
      <c r="AE601" s="80" t="str">
        <f t="shared" si="111"/>
        <v>LCOU0</v>
      </c>
      <c r="AF601" s="80" t="str">
        <f t="shared" si="112"/>
        <v>CLU0</v>
      </c>
      <c r="AG601" s="80" t="str">
        <f t="shared" si="113"/>
        <v>LCOV0</v>
      </c>
      <c r="AH601" s="80" t="str">
        <f t="shared" si="114"/>
        <v>LCOX0</v>
      </c>
    </row>
    <row r="602" spans="25:34" x14ac:dyDescent="0.35">
      <c r="Y602" s="74">
        <f t="shared" si="105"/>
        <v>44005</v>
      </c>
      <c r="Z602" s="74">
        <f t="shared" ca="1" si="106"/>
        <v>44033</v>
      </c>
      <c r="AA602" s="80" t="str">
        <f t="shared" ca="1" si="107"/>
        <v>CLQ0</v>
      </c>
      <c r="AB602" s="74">
        <f t="shared" si="109"/>
        <v>44012</v>
      </c>
      <c r="AC602" s="80" t="str">
        <f t="shared" si="108"/>
        <v>LCOQ0</v>
      </c>
      <c r="AD602" s="80" t="str">
        <f t="shared" si="110"/>
        <v>CLQ0</v>
      </c>
      <c r="AE602" s="80" t="str">
        <f t="shared" si="111"/>
        <v>LCOU0</v>
      </c>
      <c r="AF602" s="80" t="str">
        <f t="shared" si="112"/>
        <v>CLU0</v>
      </c>
      <c r="AG602" s="80" t="str">
        <f t="shared" si="113"/>
        <v>LCOV0</v>
      </c>
      <c r="AH602" s="80" t="str">
        <f t="shared" si="114"/>
        <v>LCOX0</v>
      </c>
    </row>
    <row r="603" spans="25:34" x14ac:dyDescent="0.35">
      <c r="Y603" s="74">
        <f t="shared" si="105"/>
        <v>44006</v>
      </c>
      <c r="Z603" s="74">
        <f t="shared" ca="1" si="106"/>
        <v>44033</v>
      </c>
      <c r="AA603" s="80" t="str">
        <f t="shared" ca="1" si="107"/>
        <v>CLQ0</v>
      </c>
      <c r="AB603" s="74">
        <f t="shared" si="109"/>
        <v>44012</v>
      </c>
      <c r="AC603" s="80" t="str">
        <f t="shared" si="108"/>
        <v>LCOQ0</v>
      </c>
      <c r="AD603" s="80" t="str">
        <f t="shared" si="110"/>
        <v>CLQ0</v>
      </c>
      <c r="AE603" s="80" t="str">
        <f t="shared" si="111"/>
        <v>LCOU0</v>
      </c>
      <c r="AF603" s="80" t="str">
        <f t="shared" si="112"/>
        <v>CLU0</v>
      </c>
      <c r="AG603" s="80" t="str">
        <f t="shared" si="113"/>
        <v>LCOV0</v>
      </c>
      <c r="AH603" s="80" t="str">
        <f t="shared" si="114"/>
        <v>LCOX0</v>
      </c>
    </row>
    <row r="604" spans="25:34" x14ac:dyDescent="0.35">
      <c r="Y604" s="74">
        <f t="shared" si="105"/>
        <v>44007</v>
      </c>
      <c r="Z604" s="74">
        <f t="shared" ca="1" si="106"/>
        <v>44033</v>
      </c>
      <c r="AA604" s="80" t="str">
        <f t="shared" ca="1" si="107"/>
        <v>CLQ0</v>
      </c>
      <c r="AB604" s="74">
        <f t="shared" si="109"/>
        <v>44012</v>
      </c>
      <c r="AC604" s="80" t="str">
        <f t="shared" si="108"/>
        <v>LCOQ0</v>
      </c>
      <c r="AD604" s="80" t="str">
        <f t="shared" si="110"/>
        <v>CLQ0</v>
      </c>
      <c r="AE604" s="80" t="str">
        <f t="shared" si="111"/>
        <v>LCOU0</v>
      </c>
      <c r="AF604" s="80" t="str">
        <f t="shared" si="112"/>
        <v>CLU0</v>
      </c>
      <c r="AG604" s="80" t="str">
        <f t="shared" si="113"/>
        <v>LCOV0</v>
      </c>
      <c r="AH604" s="80" t="str">
        <f t="shared" si="114"/>
        <v>LCOX0</v>
      </c>
    </row>
    <row r="605" spans="25:34" x14ac:dyDescent="0.35">
      <c r="Y605" s="74">
        <f t="shared" si="105"/>
        <v>44008</v>
      </c>
      <c r="Z605" s="74">
        <f t="shared" ca="1" si="106"/>
        <v>44033</v>
      </c>
      <c r="AA605" s="80" t="str">
        <f t="shared" ca="1" si="107"/>
        <v>CLQ0</v>
      </c>
      <c r="AB605" s="74">
        <f t="shared" si="109"/>
        <v>44012</v>
      </c>
      <c r="AC605" s="80" t="str">
        <f t="shared" si="108"/>
        <v>LCOQ0</v>
      </c>
      <c r="AD605" s="80" t="str">
        <f t="shared" si="110"/>
        <v>CLQ0</v>
      </c>
      <c r="AE605" s="80" t="str">
        <f t="shared" si="111"/>
        <v>LCOU0</v>
      </c>
      <c r="AF605" s="80" t="str">
        <f t="shared" si="112"/>
        <v>CLU0</v>
      </c>
      <c r="AG605" s="80" t="str">
        <f t="shared" si="113"/>
        <v>LCOV0</v>
      </c>
      <c r="AH605" s="80" t="str">
        <f t="shared" si="114"/>
        <v>LCOX0</v>
      </c>
    </row>
    <row r="606" spans="25:34" x14ac:dyDescent="0.35">
      <c r="Y606" s="74">
        <f t="shared" si="105"/>
        <v>44009</v>
      </c>
      <c r="Z606" s="74">
        <f t="shared" ca="1" si="106"/>
        <v>44033</v>
      </c>
      <c r="AA606" s="80" t="str">
        <f t="shared" ca="1" si="107"/>
        <v>CLQ0</v>
      </c>
      <c r="AB606" s="74">
        <f t="shared" si="109"/>
        <v>44012</v>
      </c>
      <c r="AC606" s="80" t="str">
        <f t="shared" si="108"/>
        <v>LCOQ0</v>
      </c>
      <c r="AD606" s="80" t="str">
        <f t="shared" si="110"/>
        <v>CLQ0</v>
      </c>
      <c r="AE606" s="80" t="str">
        <f t="shared" si="111"/>
        <v>LCOU0</v>
      </c>
      <c r="AF606" s="80" t="str">
        <f t="shared" si="112"/>
        <v>CLU0</v>
      </c>
      <c r="AG606" s="80" t="str">
        <f t="shared" si="113"/>
        <v>LCOV0</v>
      </c>
      <c r="AH606" s="80" t="str">
        <f t="shared" si="114"/>
        <v>LCOX0</v>
      </c>
    </row>
    <row r="607" spans="25:34" x14ac:dyDescent="0.35">
      <c r="Y607" s="74">
        <f t="shared" si="105"/>
        <v>44010</v>
      </c>
      <c r="Z607" s="74">
        <f t="shared" ca="1" si="106"/>
        <v>44033</v>
      </c>
      <c r="AA607" s="80" t="str">
        <f t="shared" ca="1" si="107"/>
        <v>CLQ0</v>
      </c>
      <c r="AB607" s="74">
        <f t="shared" si="109"/>
        <v>44012</v>
      </c>
      <c r="AC607" s="80" t="str">
        <f t="shared" si="108"/>
        <v>LCOQ0</v>
      </c>
      <c r="AD607" s="80" t="str">
        <f t="shared" si="110"/>
        <v>CLQ0</v>
      </c>
      <c r="AE607" s="80" t="str">
        <f t="shared" si="111"/>
        <v>LCOU0</v>
      </c>
      <c r="AF607" s="80" t="str">
        <f t="shared" si="112"/>
        <v>CLU0</v>
      </c>
      <c r="AG607" s="80" t="str">
        <f t="shared" si="113"/>
        <v>LCOV0</v>
      </c>
      <c r="AH607" s="80" t="str">
        <f t="shared" si="114"/>
        <v>LCOX0</v>
      </c>
    </row>
    <row r="608" spans="25:34" x14ac:dyDescent="0.35">
      <c r="Y608" s="74">
        <f t="shared" si="105"/>
        <v>44011</v>
      </c>
      <c r="Z608" s="74">
        <f t="shared" ca="1" si="106"/>
        <v>44033</v>
      </c>
      <c r="AA608" s="80" t="str">
        <f t="shared" ca="1" si="107"/>
        <v>CLQ0</v>
      </c>
      <c r="AB608" s="74">
        <f t="shared" si="109"/>
        <v>44012</v>
      </c>
      <c r="AC608" s="80" t="str">
        <f t="shared" si="108"/>
        <v>LCOQ0</v>
      </c>
      <c r="AD608" s="80" t="str">
        <f t="shared" si="110"/>
        <v>CLQ0</v>
      </c>
      <c r="AE608" s="80" t="str">
        <f t="shared" si="111"/>
        <v>LCOU0</v>
      </c>
      <c r="AF608" s="80" t="str">
        <f t="shared" si="112"/>
        <v>CLU0</v>
      </c>
      <c r="AG608" s="80" t="str">
        <f t="shared" si="113"/>
        <v>LCOV0</v>
      </c>
      <c r="AH608" s="80" t="str">
        <f t="shared" si="114"/>
        <v>LCOX0</v>
      </c>
    </row>
    <row r="609" spans="25:34" x14ac:dyDescent="0.35">
      <c r="Y609" s="74">
        <f t="shared" ref="Y609:Y672" si="115">Y608+1</f>
        <v>44012</v>
      </c>
      <c r="Z609" s="74">
        <f t="shared" ca="1" si="106"/>
        <v>44033</v>
      </c>
      <c r="AA609" s="80" t="str">
        <f t="shared" ca="1" si="107"/>
        <v>CLQ0</v>
      </c>
      <c r="AB609" s="74">
        <f t="shared" si="109"/>
        <v>44012</v>
      </c>
      <c r="AC609" s="80" t="str">
        <f t="shared" si="108"/>
        <v>LCOQ0</v>
      </c>
      <c r="AD609" s="80" t="str">
        <f t="shared" si="110"/>
        <v>CLQ0</v>
      </c>
      <c r="AE609" s="80" t="str">
        <f t="shared" si="111"/>
        <v>LCOU0</v>
      </c>
      <c r="AF609" s="80" t="str">
        <f t="shared" si="112"/>
        <v>CLU0</v>
      </c>
      <c r="AG609" s="80" t="str">
        <f t="shared" si="113"/>
        <v>LCOV0</v>
      </c>
      <c r="AH609" s="80" t="str">
        <f t="shared" si="114"/>
        <v>LCOX0</v>
      </c>
    </row>
    <row r="610" spans="25:34" x14ac:dyDescent="0.35">
      <c r="Y610" s="74">
        <f t="shared" si="115"/>
        <v>44013</v>
      </c>
      <c r="Z610" s="74">
        <f t="shared" ca="1" si="106"/>
        <v>44033</v>
      </c>
      <c r="AA610" s="80" t="str">
        <f t="shared" ca="1" si="107"/>
        <v>CLQ0</v>
      </c>
      <c r="AB610" s="74">
        <f t="shared" si="109"/>
        <v>44043</v>
      </c>
      <c r="AC610" s="80" t="str">
        <f t="shared" si="108"/>
        <v>LCOU0</v>
      </c>
      <c r="AD610" s="80" t="str">
        <f t="shared" si="110"/>
        <v>CLU0</v>
      </c>
      <c r="AE610" s="80" t="str">
        <f t="shared" si="111"/>
        <v>LCOV0</v>
      </c>
      <c r="AF610" s="80" t="str">
        <f t="shared" si="112"/>
        <v>CLV0</v>
      </c>
      <c r="AG610" s="80" t="str">
        <f t="shared" si="113"/>
        <v>LCOX0</v>
      </c>
      <c r="AH610" s="80" t="str">
        <f t="shared" si="114"/>
        <v>LCOZ0</v>
      </c>
    </row>
    <row r="611" spans="25:34" x14ac:dyDescent="0.35">
      <c r="Y611" s="74">
        <f t="shared" si="115"/>
        <v>44014</v>
      </c>
      <c r="Z611" s="74">
        <f t="shared" ca="1" si="106"/>
        <v>44033</v>
      </c>
      <c r="AA611" s="80" t="str">
        <f t="shared" ca="1" si="107"/>
        <v>CLQ0</v>
      </c>
      <c r="AB611" s="74">
        <f t="shared" si="109"/>
        <v>44043</v>
      </c>
      <c r="AC611" s="80" t="str">
        <f t="shared" si="108"/>
        <v>LCOU0</v>
      </c>
      <c r="AD611" s="80" t="str">
        <f t="shared" si="110"/>
        <v>CLU0</v>
      </c>
      <c r="AE611" s="80" t="str">
        <f t="shared" si="111"/>
        <v>LCOV0</v>
      </c>
      <c r="AF611" s="80" t="str">
        <f t="shared" si="112"/>
        <v>CLV0</v>
      </c>
      <c r="AG611" s="80" t="str">
        <f t="shared" si="113"/>
        <v>LCOX0</v>
      </c>
      <c r="AH611" s="80" t="str">
        <f t="shared" si="114"/>
        <v>LCOZ0</v>
      </c>
    </row>
    <row r="612" spans="25:34" x14ac:dyDescent="0.35">
      <c r="Y612" s="74">
        <f t="shared" si="115"/>
        <v>44015</v>
      </c>
      <c r="Z612" s="74">
        <f t="shared" ca="1" si="106"/>
        <v>44033</v>
      </c>
      <c r="AA612" s="80" t="str">
        <f t="shared" ca="1" si="107"/>
        <v>CLQ0</v>
      </c>
      <c r="AB612" s="74">
        <f t="shared" si="109"/>
        <v>44043</v>
      </c>
      <c r="AC612" s="80" t="str">
        <f t="shared" si="108"/>
        <v>LCOU0</v>
      </c>
      <c r="AD612" s="80" t="str">
        <f t="shared" si="110"/>
        <v>CLU0</v>
      </c>
      <c r="AE612" s="80" t="str">
        <f t="shared" si="111"/>
        <v>LCOV0</v>
      </c>
      <c r="AF612" s="80" t="str">
        <f t="shared" si="112"/>
        <v>CLV0</v>
      </c>
      <c r="AG612" s="80" t="str">
        <f t="shared" si="113"/>
        <v>LCOX0</v>
      </c>
      <c r="AH612" s="80" t="str">
        <f t="shared" si="114"/>
        <v>LCOZ0</v>
      </c>
    </row>
    <row r="613" spans="25:34" x14ac:dyDescent="0.35">
      <c r="Y613" s="74">
        <f t="shared" si="115"/>
        <v>44016</v>
      </c>
      <c r="Z613" s="74">
        <f t="shared" ca="1" si="106"/>
        <v>44033</v>
      </c>
      <c r="AA613" s="80" t="str">
        <f t="shared" ca="1" si="107"/>
        <v>CLQ0</v>
      </c>
      <c r="AB613" s="74">
        <f t="shared" si="109"/>
        <v>44043</v>
      </c>
      <c r="AC613" s="80" t="str">
        <f t="shared" si="108"/>
        <v>LCOU0</v>
      </c>
      <c r="AD613" s="80" t="str">
        <f t="shared" si="110"/>
        <v>CLU0</v>
      </c>
      <c r="AE613" s="80" t="str">
        <f t="shared" si="111"/>
        <v>LCOV0</v>
      </c>
      <c r="AF613" s="80" t="str">
        <f t="shared" si="112"/>
        <v>CLV0</v>
      </c>
      <c r="AG613" s="80" t="str">
        <f t="shared" si="113"/>
        <v>LCOX0</v>
      </c>
      <c r="AH613" s="80" t="str">
        <f t="shared" si="114"/>
        <v>LCOZ0</v>
      </c>
    </row>
    <row r="614" spans="25:34" x14ac:dyDescent="0.35">
      <c r="Y614" s="74">
        <f t="shared" si="115"/>
        <v>44017</v>
      </c>
      <c r="Z614" s="74">
        <f t="shared" ca="1" si="106"/>
        <v>44033</v>
      </c>
      <c r="AA614" s="80" t="str">
        <f t="shared" ca="1" si="107"/>
        <v>CLQ0</v>
      </c>
      <c r="AB614" s="74">
        <f t="shared" si="109"/>
        <v>44043</v>
      </c>
      <c r="AC614" s="80" t="str">
        <f t="shared" si="108"/>
        <v>LCOU0</v>
      </c>
      <c r="AD614" s="80" t="str">
        <f t="shared" si="110"/>
        <v>CLU0</v>
      </c>
      <c r="AE614" s="80" t="str">
        <f t="shared" si="111"/>
        <v>LCOV0</v>
      </c>
      <c r="AF614" s="80" t="str">
        <f t="shared" si="112"/>
        <v>CLV0</v>
      </c>
      <c r="AG614" s="80" t="str">
        <f t="shared" si="113"/>
        <v>LCOX0</v>
      </c>
      <c r="AH614" s="80" t="str">
        <f t="shared" si="114"/>
        <v>LCOZ0</v>
      </c>
    </row>
    <row r="615" spans="25:34" x14ac:dyDescent="0.35">
      <c r="Y615" s="74">
        <f t="shared" si="115"/>
        <v>44018</v>
      </c>
      <c r="Z615" s="74">
        <f t="shared" ca="1" si="106"/>
        <v>44033</v>
      </c>
      <c r="AA615" s="80" t="str">
        <f t="shared" ca="1" si="107"/>
        <v>CLQ0</v>
      </c>
      <c r="AB615" s="74">
        <f t="shared" si="109"/>
        <v>44043</v>
      </c>
      <c r="AC615" s="80" t="str">
        <f t="shared" si="108"/>
        <v>LCOU0</v>
      </c>
      <c r="AD615" s="80" t="str">
        <f t="shared" si="110"/>
        <v>CLU0</v>
      </c>
      <c r="AE615" s="80" t="str">
        <f t="shared" si="111"/>
        <v>LCOV0</v>
      </c>
      <c r="AF615" s="80" t="str">
        <f t="shared" si="112"/>
        <v>CLV0</v>
      </c>
      <c r="AG615" s="80" t="str">
        <f t="shared" si="113"/>
        <v>LCOX0</v>
      </c>
      <c r="AH615" s="80" t="str">
        <f t="shared" si="114"/>
        <v>LCOZ0</v>
      </c>
    </row>
    <row r="616" spans="25:34" x14ac:dyDescent="0.35">
      <c r="Y616" s="74">
        <f t="shared" si="115"/>
        <v>44019</v>
      </c>
      <c r="Z616" s="74">
        <f t="shared" ca="1" si="106"/>
        <v>44033</v>
      </c>
      <c r="AA616" s="80" t="str">
        <f t="shared" ca="1" si="107"/>
        <v>CLQ0</v>
      </c>
      <c r="AB616" s="74">
        <f t="shared" si="109"/>
        <v>44043</v>
      </c>
      <c r="AC616" s="80" t="str">
        <f t="shared" si="108"/>
        <v>LCOU0</v>
      </c>
      <c r="AD616" s="80" t="str">
        <f t="shared" si="110"/>
        <v>CLU0</v>
      </c>
      <c r="AE616" s="80" t="str">
        <f t="shared" si="111"/>
        <v>LCOV0</v>
      </c>
      <c r="AF616" s="80" t="str">
        <f t="shared" si="112"/>
        <v>CLV0</v>
      </c>
      <c r="AG616" s="80" t="str">
        <f t="shared" si="113"/>
        <v>LCOX0</v>
      </c>
      <c r="AH616" s="80" t="str">
        <f t="shared" si="114"/>
        <v>LCOZ0</v>
      </c>
    </row>
    <row r="617" spans="25:34" x14ac:dyDescent="0.35">
      <c r="Y617" s="74">
        <f t="shared" si="115"/>
        <v>44020</v>
      </c>
      <c r="Z617" s="74">
        <f t="shared" ca="1" si="106"/>
        <v>44033</v>
      </c>
      <c r="AA617" s="80" t="str">
        <f t="shared" ca="1" si="107"/>
        <v>CLQ0</v>
      </c>
      <c r="AB617" s="74">
        <f t="shared" si="109"/>
        <v>44043</v>
      </c>
      <c r="AC617" s="80" t="str">
        <f t="shared" si="108"/>
        <v>LCOU0</v>
      </c>
      <c r="AD617" s="80" t="str">
        <f t="shared" si="110"/>
        <v>CLU0</v>
      </c>
      <c r="AE617" s="80" t="str">
        <f t="shared" si="111"/>
        <v>LCOV0</v>
      </c>
      <c r="AF617" s="80" t="str">
        <f t="shared" si="112"/>
        <v>CLV0</v>
      </c>
      <c r="AG617" s="80" t="str">
        <f t="shared" si="113"/>
        <v>LCOX0</v>
      </c>
      <c r="AH617" s="80" t="str">
        <f t="shared" si="114"/>
        <v>LCOZ0</v>
      </c>
    </row>
    <row r="618" spans="25:34" x14ac:dyDescent="0.35">
      <c r="Y618" s="74">
        <f t="shared" si="115"/>
        <v>44021</v>
      </c>
      <c r="Z618" s="74">
        <f t="shared" ca="1" si="106"/>
        <v>44033</v>
      </c>
      <c r="AA618" s="80" t="str">
        <f t="shared" ca="1" si="107"/>
        <v>CLQ0</v>
      </c>
      <c r="AB618" s="74">
        <f t="shared" si="109"/>
        <v>44043</v>
      </c>
      <c r="AC618" s="80" t="str">
        <f t="shared" si="108"/>
        <v>LCOU0</v>
      </c>
      <c r="AD618" s="80" t="str">
        <f t="shared" si="110"/>
        <v>CLU0</v>
      </c>
      <c r="AE618" s="80" t="str">
        <f t="shared" si="111"/>
        <v>LCOV0</v>
      </c>
      <c r="AF618" s="80" t="str">
        <f t="shared" si="112"/>
        <v>CLV0</v>
      </c>
      <c r="AG618" s="80" t="str">
        <f t="shared" si="113"/>
        <v>LCOX0</v>
      </c>
      <c r="AH618" s="80" t="str">
        <f t="shared" si="114"/>
        <v>LCOZ0</v>
      </c>
    </row>
    <row r="619" spans="25:34" x14ac:dyDescent="0.35">
      <c r="Y619" s="74">
        <f t="shared" si="115"/>
        <v>44022</v>
      </c>
      <c r="Z619" s="74">
        <f t="shared" ca="1" si="106"/>
        <v>44033</v>
      </c>
      <c r="AA619" s="80" t="str">
        <f t="shared" ca="1" si="107"/>
        <v>CLQ0</v>
      </c>
      <c r="AB619" s="74">
        <f t="shared" si="109"/>
        <v>44043</v>
      </c>
      <c r="AC619" s="80" t="str">
        <f t="shared" si="108"/>
        <v>LCOU0</v>
      </c>
      <c r="AD619" s="80" t="str">
        <f t="shared" si="110"/>
        <v>CLU0</v>
      </c>
      <c r="AE619" s="80" t="str">
        <f t="shared" si="111"/>
        <v>LCOV0</v>
      </c>
      <c r="AF619" s="80" t="str">
        <f t="shared" si="112"/>
        <v>CLV0</v>
      </c>
      <c r="AG619" s="80" t="str">
        <f t="shared" si="113"/>
        <v>LCOX0</v>
      </c>
      <c r="AH619" s="80" t="str">
        <f t="shared" si="114"/>
        <v>LCOZ0</v>
      </c>
    </row>
    <row r="620" spans="25:34" x14ac:dyDescent="0.35">
      <c r="Y620" s="74">
        <f t="shared" si="115"/>
        <v>44023</v>
      </c>
      <c r="Z620" s="74">
        <f t="shared" ca="1" si="106"/>
        <v>44033</v>
      </c>
      <c r="AA620" s="80" t="str">
        <f t="shared" ca="1" si="107"/>
        <v>CLQ0</v>
      </c>
      <c r="AB620" s="74">
        <f t="shared" si="109"/>
        <v>44043</v>
      </c>
      <c r="AC620" s="80" t="str">
        <f t="shared" si="108"/>
        <v>LCOU0</v>
      </c>
      <c r="AD620" s="80" t="str">
        <f t="shared" si="110"/>
        <v>CLU0</v>
      </c>
      <c r="AE620" s="80" t="str">
        <f t="shared" si="111"/>
        <v>LCOV0</v>
      </c>
      <c r="AF620" s="80" t="str">
        <f t="shared" si="112"/>
        <v>CLV0</v>
      </c>
      <c r="AG620" s="80" t="str">
        <f t="shared" si="113"/>
        <v>LCOX0</v>
      </c>
      <c r="AH620" s="80" t="str">
        <f t="shared" si="114"/>
        <v>LCOZ0</v>
      </c>
    </row>
    <row r="621" spans="25:34" x14ac:dyDescent="0.35">
      <c r="Y621" s="74">
        <f t="shared" si="115"/>
        <v>44024</v>
      </c>
      <c r="Z621" s="74">
        <f t="shared" ca="1" si="106"/>
        <v>44033</v>
      </c>
      <c r="AA621" s="80" t="str">
        <f t="shared" ca="1" si="107"/>
        <v>CLQ0</v>
      </c>
      <c r="AB621" s="74">
        <f t="shared" si="109"/>
        <v>44043</v>
      </c>
      <c r="AC621" s="80" t="str">
        <f t="shared" si="108"/>
        <v>LCOU0</v>
      </c>
      <c r="AD621" s="80" t="str">
        <f t="shared" si="110"/>
        <v>CLU0</v>
      </c>
      <c r="AE621" s="80" t="str">
        <f t="shared" si="111"/>
        <v>LCOV0</v>
      </c>
      <c r="AF621" s="80" t="str">
        <f t="shared" si="112"/>
        <v>CLV0</v>
      </c>
      <c r="AG621" s="80" t="str">
        <f t="shared" si="113"/>
        <v>LCOX0</v>
      </c>
      <c r="AH621" s="80" t="str">
        <f t="shared" si="114"/>
        <v>LCOZ0</v>
      </c>
    </row>
    <row r="622" spans="25:34" x14ac:dyDescent="0.35">
      <c r="Y622" s="74">
        <f t="shared" si="115"/>
        <v>44025</v>
      </c>
      <c r="Z622" s="74">
        <f t="shared" ca="1" si="106"/>
        <v>44033</v>
      </c>
      <c r="AA622" s="80" t="str">
        <f t="shared" ca="1" si="107"/>
        <v>CLQ0</v>
      </c>
      <c r="AB622" s="74">
        <f t="shared" si="109"/>
        <v>44043</v>
      </c>
      <c r="AC622" s="80" t="str">
        <f t="shared" si="108"/>
        <v>LCOU0</v>
      </c>
      <c r="AD622" s="80" t="str">
        <f t="shared" si="110"/>
        <v>CLU0</v>
      </c>
      <c r="AE622" s="80" t="str">
        <f t="shared" si="111"/>
        <v>LCOV0</v>
      </c>
      <c r="AF622" s="80" t="str">
        <f t="shared" si="112"/>
        <v>CLV0</v>
      </c>
      <c r="AG622" s="80" t="str">
        <f t="shared" si="113"/>
        <v>LCOX0</v>
      </c>
      <c r="AH622" s="80" t="str">
        <f t="shared" si="114"/>
        <v>LCOZ0</v>
      </c>
    </row>
    <row r="623" spans="25:34" x14ac:dyDescent="0.35">
      <c r="Y623" s="74">
        <f t="shared" si="115"/>
        <v>44026</v>
      </c>
      <c r="Z623" s="74">
        <f t="shared" ca="1" si="106"/>
        <v>44033</v>
      </c>
      <c r="AA623" s="80" t="str">
        <f t="shared" ca="1" si="107"/>
        <v>CLQ0</v>
      </c>
      <c r="AB623" s="74">
        <f t="shared" si="109"/>
        <v>44043</v>
      </c>
      <c r="AC623" s="80" t="str">
        <f t="shared" si="108"/>
        <v>LCOU0</v>
      </c>
      <c r="AD623" s="80" t="str">
        <f t="shared" si="110"/>
        <v>CLU0</v>
      </c>
      <c r="AE623" s="80" t="str">
        <f t="shared" si="111"/>
        <v>LCOV0</v>
      </c>
      <c r="AF623" s="80" t="str">
        <f t="shared" si="112"/>
        <v>CLV0</v>
      </c>
      <c r="AG623" s="80" t="str">
        <f t="shared" si="113"/>
        <v>LCOX0</v>
      </c>
      <c r="AH623" s="80" t="str">
        <f t="shared" si="114"/>
        <v>LCOZ0</v>
      </c>
    </row>
    <row r="624" spans="25:34" x14ac:dyDescent="0.35">
      <c r="Y624" s="74">
        <f t="shared" si="115"/>
        <v>44027</v>
      </c>
      <c r="Z624" s="74">
        <f t="shared" ca="1" si="106"/>
        <v>44033</v>
      </c>
      <c r="AA624" s="80" t="str">
        <f t="shared" ca="1" si="107"/>
        <v>CLQ0</v>
      </c>
      <c r="AB624" s="74">
        <f t="shared" si="109"/>
        <v>44043</v>
      </c>
      <c r="AC624" s="80" t="str">
        <f t="shared" si="108"/>
        <v>LCOU0</v>
      </c>
      <c r="AD624" s="80" t="str">
        <f t="shared" si="110"/>
        <v>CLU0</v>
      </c>
      <c r="AE624" s="80" t="str">
        <f t="shared" si="111"/>
        <v>LCOV0</v>
      </c>
      <c r="AF624" s="80" t="str">
        <f t="shared" si="112"/>
        <v>CLV0</v>
      </c>
      <c r="AG624" s="80" t="str">
        <f t="shared" si="113"/>
        <v>LCOX0</v>
      </c>
      <c r="AH624" s="80" t="str">
        <f t="shared" si="114"/>
        <v>LCOZ0</v>
      </c>
    </row>
    <row r="625" spans="25:34" x14ac:dyDescent="0.35">
      <c r="Y625" s="74">
        <f t="shared" si="115"/>
        <v>44028</v>
      </c>
      <c r="Z625" s="74">
        <f t="shared" ca="1" si="106"/>
        <v>44033</v>
      </c>
      <c r="AA625" s="80" t="str">
        <f t="shared" ca="1" si="107"/>
        <v>CLQ0</v>
      </c>
      <c r="AB625" s="74">
        <f t="shared" si="109"/>
        <v>44043</v>
      </c>
      <c r="AC625" s="80" t="str">
        <f t="shared" si="108"/>
        <v>LCOU0</v>
      </c>
      <c r="AD625" s="80" t="str">
        <f t="shared" si="110"/>
        <v>CLU0</v>
      </c>
      <c r="AE625" s="80" t="str">
        <f t="shared" si="111"/>
        <v>LCOV0</v>
      </c>
      <c r="AF625" s="80" t="str">
        <f t="shared" si="112"/>
        <v>CLV0</v>
      </c>
      <c r="AG625" s="80" t="str">
        <f t="shared" si="113"/>
        <v>LCOX0</v>
      </c>
      <c r="AH625" s="80" t="str">
        <f t="shared" si="114"/>
        <v>LCOZ0</v>
      </c>
    </row>
    <row r="626" spans="25:34" x14ac:dyDescent="0.35">
      <c r="Y626" s="74">
        <f t="shared" si="115"/>
        <v>44029</v>
      </c>
      <c r="Z626" s="74">
        <f t="shared" ca="1" si="106"/>
        <v>44033</v>
      </c>
      <c r="AA626" s="80" t="str">
        <f t="shared" ca="1" si="107"/>
        <v>CLQ0</v>
      </c>
      <c r="AB626" s="74">
        <f t="shared" si="109"/>
        <v>44043</v>
      </c>
      <c r="AC626" s="80" t="str">
        <f t="shared" si="108"/>
        <v>LCOU0</v>
      </c>
      <c r="AD626" s="80" t="str">
        <f t="shared" si="110"/>
        <v>CLU0</v>
      </c>
      <c r="AE626" s="80" t="str">
        <f t="shared" si="111"/>
        <v>LCOV0</v>
      </c>
      <c r="AF626" s="80" t="str">
        <f t="shared" si="112"/>
        <v>CLV0</v>
      </c>
      <c r="AG626" s="80" t="str">
        <f t="shared" si="113"/>
        <v>LCOX0</v>
      </c>
      <c r="AH626" s="80" t="str">
        <f t="shared" si="114"/>
        <v>LCOZ0</v>
      </c>
    </row>
    <row r="627" spans="25:34" x14ac:dyDescent="0.35">
      <c r="Y627" s="74">
        <f t="shared" si="115"/>
        <v>44030</v>
      </c>
      <c r="Z627" s="74">
        <f t="shared" ca="1" si="106"/>
        <v>44033</v>
      </c>
      <c r="AA627" s="80" t="str">
        <f t="shared" ca="1" si="107"/>
        <v>CLQ0</v>
      </c>
      <c r="AB627" s="74">
        <f t="shared" si="109"/>
        <v>44043</v>
      </c>
      <c r="AC627" s="80" t="str">
        <f t="shared" si="108"/>
        <v>LCOU0</v>
      </c>
      <c r="AD627" s="80" t="str">
        <f t="shared" si="110"/>
        <v>CLU0</v>
      </c>
      <c r="AE627" s="80" t="str">
        <f t="shared" si="111"/>
        <v>LCOV0</v>
      </c>
      <c r="AF627" s="80" t="str">
        <f t="shared" si="112"/>
        <v>CLV0</v>
      </c>
      <c r="AG627" s="80" t="str">
        <f t="shared" si="113"/>
        <v>LCOX0</v>
      </c>
      <c r="AH627" s="80" t="str">
        <f t="shared" si="114"/>
        <v>LCOZ0</v>
      </c>
    </row>
    <row r="628" spans="25:34" x14ac:dyDescent="0.35">
      <c r="Y628" s="74">
        <f t="shared" si="115"/>
        <v>44031</v>
      </c>
      <c r="Z628" s="74">
        <f t="shared" ca="1" si="106"/>
        <v>44033</v>
      </c>
      <c r="AA628" s="80" t="str">
        <f t="shared" ca="1" si="107"/>
        <v>CLQ0</v>
      </c>
      <c r="AB628" s="74">
        <f t="shared" si="109"/>
        <v>44043</v>
      </c>
      <c r="AC628" s="80" t="str">
        <f t="shared" si="108"/>
        <v>LCOU0</v>
      </c>
      <c r="AD628" s="80" t="str">
        <f t="shared" si="110"/>
        <v>CLU0</v>
      </c>
      <c r="AE628" s="80" t="str">
        <f t="shared" si="111"/>
        <v>LCOV0</v>
      </c>
      <c r="AF628" s="80" t="str">
        <f t="shared" si="112"/>
        <v>CLV0</v>
      </c>
      <c r="AG628" s="80" t="str">
        <f t="shared" si="113"/>
        <v>LCOX0</v>
      </c>
      <c r="AH628" s="80" t="str">
        <f t="shared" si="114"/>
        <v>LCOZ0</v>
      </c>
    </row>
    <row r="629" spans="25:34" x14ac:dyDescent="0.35">
      <c r="Y629" s="74">
        <f t="shared" si="115"/>
        <v>44032</v>
      </c>
      <c r="Z629" s="74">
        <f t="shared" ca="1" si="106"/>
        <v>44033</v>
      </c>
      <c r="AA629" s="80" t="str">
        <f t="shared" ca="1" si="107"/>
        <v>CLQ0</v>
      </c>
      <c r="AB629" s="74">
        <f t="shared" si="109"/>
        <v>44043</v>
      </c>
      <c r="AC629" s="80" t="str">
        <f t="shared" si="108"/>
        <v>LCOU0</v>
      </c>
      <c r="AD629" s="80" t="str">
        <f t="shared" si="110"/>
        <v>CLU0</v>
      </c>
      <c r="AE629" s="80" t="str">
        <f t="shared" si="111"/>
        <v>LCOV0</v>
      </c>
      <c r="AF629" s="80" t="str">
        <f t="shared" si="112"/>
        <v>CLV0</v>
      </c>
      <c r="AG629" s="80" t="str">
        <f t="shared" si="113"/>
        <v>LCOX0</v>
      </c>
      <c r="AH629" s="80" t="str">
        <f t="shared" si="114"/>
        <v>LCOZ0</v>
      </c>
    </row>
    <row r="630" spans="25:34" x14ac:dyDescent="0.35">
      <c r="Y630" s="74">
        <f t="shared" si="115"/>
        <v>44033</v>
      </c>
      <c r="Z630" s="74">
        <f t="shared" ca="1" si="106"/>
        <v>44033</v>
      </c>
      <c r="AA630" s="80" t="str">
        <f t="shared" ca="1" si="107"/>
        <v>CLQ0</v>
      </c>
      <c r="AB630" s="74">
        <f t="shared" si="109"/>
        <v>44043</v>
      </c>
      <c r="AC630" s="80" t="str">
        <f t="shared" si="108"/>
        <v>LCOU0</v>
      </c>
      <c r="AD630" s="80" t="str">
        <f t="shared" si="110"/>
        <v>CLU0</v>
      </c>
      <c r="AE630" s="80" t="str">
        <f t="shared" si="111"/>
        <v>LCOV0</v>
      </c>
      <c r="AF630" s="80" t="str">
        <f t="shared" si="112"/>
        <v>CLV0</v>
      </c>
      <c r="AG630" s="80" t="str">
        <f t="shared" si="113"/>
        <v>LCOX0</v>
      </c>
      <c r="AH630" s="80" t="str">
        <f t="shared" si="114"/>
        <v>LCOZ0</v>
      </c>
    </row>
    <row r="631" spans="25:34" x14ac:dyDescent="0.35">
      <c r="Y631" s="74">
        <f t="shared" si="115"/>
        <v>44034</v>
      </c>
      <c r="Z631" s="74">
        <f t="shared" ca="1" si="106"/>
        <v>44063</v>
      </c>
      <c r="AA631" s="80" t="str">
        <f t="shared" ca="1" si="107"/>
        <v>CLU0</v>
      </c>
      <c r="AB631" s="74">
        <f t="shared" si="109"/>
        <v>44043</v>
      </c>
      <c r="AC631" s="80" t="str">
        <f t="shared" si="108"/>
        <v>LCOU0</v>
      </c>
      <c r="AD631" s="80" t="str">
        <f t="shared" si="110"/>
        <v>CLU0</v>
      </c>
      <c r="AE631" s="80" t="str">
        <f t="shared" si="111"/>
        <v>LCOV0</v>
      </c>
      <c r="AF631" s="80" t="str">
        <f t="shared" si="112"/>
        <v>CLV0</v>
      </c>
      <c r="AG631" s="80" t="str">
        <f t="shared" si="113"/>
        <v>LCOX0</v>
      </c>
      <c r="AH631" s="80" t="str">
        <f t="shared" si="114"/>
        <v>LCOZ0</v>
      </c>
    </row>
    <row r="632" spans="25:34" x14ac:dyDescent="0.35">
      <c r="Y632" s="74">
        <f t="shared" si="115"/>
        <v>44035</v>
      </c>
      <c r="Z632" s="74">
        <f t="shared" ca="1" si="106"/>
        <v>44063</v>
      </c>
      <c r="AA632" s="80" t="str">
        <f t="shared" ca="1" si="107"/>
        <v>CLU0</v>
      </c>
      <c r="AB632" s="74">
        <f t="shared" si="109"/>
        <v>44043</v>
      </c>
      <c r="AC632" s="80" t="str">
        <f t="shared" si="108"/>
        <v>LCOU0</v>
      </c>
      <c r="AD632" s="80" t="str">
        <f t="shared" si="110"/>
        <v>CLU0</v>
      </c>
      <c r="AE632" s="80" t="str">
        <f t="shared" si="111"/>
        <v>LCOV0</v>
      </c>
      <c r="AF632" s="80" t="str">
        <f t="shared" si="112"/>
        <v>CLV0</v>
      </c>
      <c r="AG632" s="80" t="str">
        <f t="shared" si="113"/>
        <v>LCOX0</v>
      </c>
      <c r="AH632" s="80" t="str">
        <f t="shared" si="114"/>
        <v>LCOZ0</v>
      </c>
    </row>
    <row r="633" spans="25:34" x14ac:dyDescent="0.35">
      <c r="Y633" s="74">
        <f t="shared" si="115"/>
        <v>44036</v>
      </c>
      <c r="Z633" s="74">
        <f t="shared" ca="1" si="106"/>
        <v>44063</v>
      </c>
      <c r="AA633" s="80" t="str">
        <f t="shared" ca="1" si="107"/>
        <v>CLU0</v>
      </c>
      <c r="AB633" s="74">
        <f t="shared" si="109"/>
        <v>44043</v>
      </c>
      <c r="AC633" s="80" t="str">
        <f t="shared" si="108"/>
        <v>LCOU0</v>
      </c>
      <c r="AD633" s="80" t="str">
        <f t="shared" si="110"/>
        <v>CLU0</v>
      </c>
      <c r="AE633" s="80" t="str">
        <f t="shared" si="111"/>
        <v>LCOV0</v>
      </c>
      <c r="AF633" s="80" t="str">
        <f t="shared" si="112"/>
        <v>CLV0</v>
      </c>
      <c r="AG633" s="80" t="str">
        <f t="shared" si="113"/>
        <v>LCOX0</v>
      </c>
      <c r="AH633" s="80" t="str">
        <f t="shared" si="114"/>
        <v>LCOZ0</v>
      </c>
    </row>
    <row r="634" spans="25:34" x14ac:dyDescent="0.35">
      <c r="Y634" s="74">
        <f t="shared" si="115"/>
        <v>44037</v>
      </c>
      <c r="Z634" s="74">
        <f t="shared" ca="1" si="106"/>
        <v>44063</v>
      </c>
      <c r="AA634" s="80" t="str">
        <f t="shared" ca="1" si="107"/>
        <v>CLU0</v>
      </c>
      <c r="AB634" s="74">
        <f t="shared" si="109"/>
        <v>44043</v>
      </c>
      <c r="AC634" s="80" t="str">
        <f t="shared" si="108"/>
        <v>LCOU0</v>
      </c>
      <c r="AD634" s="80" t="str">
        <f t="shared" si="110"/>
        <v>CLU0</v>
      </c>
      <c r="AE634" s="80" t="str">
        <f t="shared" si="111"/>
        <v>LCOV0</v>
      </c>
      <c r="AF634" s="80" t="str">
        <f t="shared" si="112"/>
        <v>CLV0</v>
      </c>
      <c r="AG634" s="80" t="str">
        <f t="shared" si="113"/>
        <v>LCOX0</v>
      </c>
      <c r="AH634" s="80" t="str">
        <f t="shared" si="114"/>
        <v>LCOZ0</v>
      </c>
    </row>
    <row r="635" spans="25:34" x14ac:dyDescent="0.35">
      <c r="Y635" s="74">
        <f t="shared" si="115"/>
        <v>44038</v>
      </c>
      <c r="Z635" s="74">
        <f t="shared" ca="1" si="106"/>
        <v>44063</v>
      </c>
      <c r="AA635" s="80" t="str">
        <f t="shared" ca="1" si="107"/>
        <v>CLU0</v>
      </c>
      <c r="AB635" s="74">
        <f t="shared" si="109"/>
        <v>44043</v>
      </c>
      <c r="AC635" s="80" t="str">
        <f t="shared" si="108"/>
        <v>LCOU0</v>
      </c>
      <c r="AD635" s="80" t="str">
        <f t="shared" si="110"/>
        <v>CLU0</v>
      </c>
      <c r="AE635" s="80" t="str">
        <f t="shared" si="111"/>
        <v>LCOV0</v>
      </c>
      <c r="AF635" s="80" t="str">
        <f t="shared" si="112"/>
        <v>CLV0</v>
      </c>
      <c r="AG635" s="80" t="str">
        <f t="shared" si="113"/>
        <v>LCOX0</v>
      </c>
      <c r="AH635" s="80" t="str">
        <f t="shared" si="114"/>
        <v>LCOZ0</v>
      </c>
    </row>
    <row r="636" spans="25:34" x14ac:dyDescent="0.35">
      <c r="Y636" s="74">
        <f t="shared" si="115"/>
        <v>44039</v>
      </c>
      <c r="Z636" s="74">
        <f t="shared" ca="1" si="106"/>
        <v>44063</v>
      </c>
      <c r="AA636" s="80" t="str">
        <f t="shared" ca="1" si="107"/>
        <v>CLU0</v>
      </c>
      <c r="AB636" s="74">
        <f t="shared" si="109"/>
        <v>44043</v>
      </c>
      <c r="AC636" s="80" t="str">
        <f t="shared" si="108"/>
        <v>LCOU0</v>
      </c>
      <c r="AD636" s="80" t="str">
        <f t="shared" si="110"/>
        <v>CLU0</v>
      </c>
      <c r="AE636" s="80" t="str">
        <f t="shared" si="111"/>
        <v>LCOV0</v>
      </c>
      <c r="AF636" s="80" t="str">
        <f t="shared" si="112"/>
        <v>CLV0</v>
      </c>
      <c r="AG636" s="80" t="str">
        <f t="shared" si="113"/>
        <v>LCOX0</v>
      </c>
      <c r="AH636" s="80" t="str">
        <f t="shared" si="114"/>
        <v>LCOZ0</v>
      </c>
    </row>
    <row r="637" spans="25:34" x14ac:dyDescent="0.35">
      <c r="Y637" s="74">
        <f t="shared" si="115"/>
        <v>44040</v>
      </c>
      <c r="Z637" s="74">
        <f t="shared" ca="1" si="106"/>
        <v>44063</v>
      </c>
      <c r="AA637" s="80" t="str">
        <f t="shared" ca="1" si="107"/>
        <v>CLU0</v>
      </c>
      <c r="AB637" s="74">
        <f t="shared" si="109"/>
        <v>44043</v>
      </c>
      <c r="AC637" s="80" t="str">
        <f t="shared" si="108"/>
        <v>LCOU0</v>
      </c>
      <c r="AD637" s="80" t="str">
        <f t="shared" si="110"/>
        <v>CLU0</v>
      </c>
      <c r="AE637" s="80" t="str">
        <f t="shared" si="111"/>
        <v>LCOV0</v>
      </c>
      <c r="AF637" s="80" t="str">
        <f t="shared" si="112"/>
        <v>CLV0</v>
      </c>
      <c r="AG637" s="80" t="str">
        <f t="shared" si="113"/>
        <v>LCOX0</v>
      </c>
      <c r="AH637" s="80" t="str">
        <f t="shared" si="114"/>
        <v>LCOZ0</v>
      </c>
    </row>
    <row r="638" spans="25:34" x14ac:dyDescent="0.35">
      <c r="Y638" s="74">
        <f t="shared" si="115"/>
        <v>44041</v>
      </c>
      <c r="Z638" s="74">
        <f t="shared" ca="1" si="106"/>
        <v>44063</v>
      </c>
      <c r="AA638" s="80" t="str">
        <f t="shared" ca="1" si="107"/>
        <v>CLU0</v>
      </c>
      <c r="AB638" s="74">
        <f t="shared" si="109"/>
        <v>44043</v>
      </c>
      <c r="AC638" s="80" t="str">
        <f t="shared" si="108"/>
        <v>LCOU0</v>
      </c>
      <c r="AD638" s="80" t="str">
        <f t="shared" si="110"/>
        <v>CLU0</v>
      </c>
      <c r="AE638" s="80" t="str">
        <f t="shared" si="111"/>
        <v>LCOV0</v>
      </c>
      <c r="AF638" s="80" t="str">
        <f t="shared" si="112"/>
        <v>CLV0</v>
      </c>
      <c r="AG638" s="80" t="str">
        <f t="shared" si="113"/>
        <v>LCOX0</v>
      </c>
      <c r="AH638" s="80" t="str">
        <f t="shared" si="114"/>
        <v>LCOZ0</v>
      </c>
    </row>
    <row r="639" spans="25:34" x14ac:dyDescent="0.35">
      <c r="Y639" s="74">
        <f t="shared" si="115"/>
        <v>44042</v>
      </c>
      <c r="Z639" s="74">
        <f t="shared" ca="1" si="106"/>
        <v>44063</v>
      </c>
      <c r="AA639" s="80" t="str">
        <f t="shared" ca="1" si="107"/>
        <v>CLU0</v>
      </c>
      <c r="AB639" s="74">
        <f t="shared" si="109"/>
        <v>44043</v>
      </c>
      <c r="AC639" s="80" t="str">
        <f t="shared" si="108"/>
        <v>LCOU0</v>
      </c>
      <c r="AD639" s="80" t="str">
        <f t="shared" si="110"/>
        <v>CLU0</v>
      </c>
      <c r="AE639" s="80" t="str">
        <f t="shared" si="111"/>
        <v>LCOV0</v>
      </c>
      <c r="AF639" s="80" t="str">
        <f t="shared" si="112"/>
        <v>CLV0</v>
      </c>
      <c r="AG639" s="80" t="str">
        <f t="shared" si="113"/>
        <v>LCOX0</v>
      </c>
      <c r="AH639" s="80" t="str">
        <f t="shared" si="114"/>
        <v>LCOZ0</v>
      </c>
    </row>
    <row r="640" spans="25:34" x14ac:dyDescent="0.35">
      <c r="Y640" s="74">
        <f t="shared" si="115"/>
        <v>44043</v>
      </c>
      <c r="Z640" s="74">
        <f t="shared" ca="1" si="106"/>
        <v>44063</v>
      </c>
      <c r="AA640" s="80" t="str">
        <f t="shared" ca="1" si="107"/>
        <v>CLU0</v>
      </c>
      <c r="AB640" s="74">
        <f t="shared" si="109"/>
        <v>44043</v>
      </c>
      <c r="AC640" s="80" t="str">
        <f t="shared" si="108"/>
        <v>LCOU0</v>
      </c>
      <c r="AD640" s="80" t="str">
        <f t="shared" si="110"/>
        <v>CLU0</v>
      </c>
      <c r="AE640" s="80" t="str">
        <f t="shared" si="111"/>
        <v>LCOV0</v>
      </c>
      <c r="AF640" s="80" t="str">
        <f t="shared" si="112"/>
        <v>CLV0</v>
      </c>
      <c r="AG640" s="80" t="str">
        <f t="shared" si="113"/>
        <v>LCOX0</v>
      </c>
      <c r="AH640" s="80" t="str">
        <f t="shared" si="114"/>
        <v>LCOZ0</v>
      </c>
    </row>
    <row r="641" spans="25:34" x14ac:dyDescent="0.35">
      <c r="Y641" s="74">
        <f t="shared" si="115"/>
        <v>44044</v>
      </c>
      <c r="Z641" s="74">
        <f t="shared" ca="1" si="106"/>
        <v>44063</v>
      </c>
      <c r="AA641" s="80" t="str">
        <f t="shared" ca="1" si="107"/>
        <v>CLU0</v>
      </c>
      <c r="AB641" s="74">
        <f t="shared" si="109"/>
        <v>44071</v>
      </c>
      <c r="AC641" s="80" t="str">
        <f t="shared" si="108"/>
        <v>LCOV0</v>
      </c>
      <c r="AD641" s="80" t="str">
        <f t="shared" si="110"/>
        <v>CLV0</v>
      </c>
      <c r="AE641" s="80" t="str">
        <f t="shared" si="111"/>
        <v>LCOX0</v>
      </c>
      <c r="AF641" s="80" t="str">
        <f t="shared" si="112"/>
        <v>CLX0</v>
      </c>
      <c r="AG641" s="80" t="str">
        <f t="shared" si="113"/>
        <v>LCOZ0</v>
      </c>
      <c r="AH641" s="80" t="str">
        <f t="shared" si="114"/>
        <v>LCOF1</v>
      </c>
    </row>
    <row r="642" spans="25:34" x14ac:dyDescent="0.35">
      <c r="Y642" s="74">
        <f t="shared" si="115"/>
        <v>44045</v>
      </c>
      <c r="Z642" s="74">
        <f t="shared" ref="Z642:Z705" ca="1" si="116">VLOOKUP(AA642,$I$2:$K$39,3,FALSE)</f>
        <v>44063</v>
      </c>
      <c r="AA642" s="80" t="str">
        <f t="shared" ref="AA642:AA705" ca="1" si="117">LOOKUP(2,1/($J$2:$J$700&lt;=$Y642)/($K$2:$K$700&gt;=$Y642),$L$2:$L$700)</f>
        <v>CLU0</v>
      </c>
      <c r="AB642" s="74">
        <f t="shared" si="109"/>
        <v>44071</v>
      </c>
      <c r="AC642" s="80" t="str">
        <f t="shared" ref="AC642:AC705" si="118">LOOKUP(2,1/($R$2:$R$700&lt;=$Y642)/($S$2:$S$700&gt;=$Y642),$T$2:$T$700)</f>
        <v>LCOV0</v>
      </c>
      <c r="AD642" s="80" t="str">
        <f t="shared" si="110"/>
        <v>CLV0</v>
      </c>
      <c r="AE642" s="80" t="str">
        <f t="shared" si="111"/>
        <v>LCOX0</v>
      </c>
      <c r="AF642" s="80" t="str">
        <f t="shared" si="112"/>
        <v>CLX0</v>
      </c>
      <c r="AG642" s="80" t="str">
        <f t="shared" si="113"/>
        <v>LCOZ0</v>
      </c>
      <c r="AH642" s="80" t="str">
        <f t="shared" si="114"/>
        <v>LCOF1</v>
      </c>
    </row>
    <row r="643" spans="25:34" x14ac:dyDescent="0.35">
      <c r="Y643" s="74">
        <f t="shared" si="115"/>
        <v>44046</v>
      </c>
      <c r="Z643" s="74">
        <f t="shared" ca="1" si="116"/>
        <v>44063</v>
      </c>
      <c r="AA643" s="80" t="str">
        <f t="shared" ca="1" si="117"/>
        <v>CLU0</v>
      </c>
      <c r="AB643" s="74">
        <f t="shared" ref="AB643:AB706" si="119">VLOOKUP(AC643,$Q$2:$S$39,3,FALSE)</f>
        <v>44071</v>
      </c>
      <c r="AC643" s="80" t="str">
        <f t="shared" si="118"/>
        <v>LCOV0</v>
      </c>
      <c r="AD643" s="80" t="str">
        <f t="shared" ref="AD643:AD706" si="120">CONCATENATE("CL",RIGHT(AC643,2))</f>
        <v>CLV0</v>
      </c>
      <c r="AE643" s="80" t="str">
        <f t="shared" ref="AE643:AE706" si="121">LOOKUP(2,1/($R$2:$R$700&lt;=$Y643)/($S$2:$S$700&gt;=$Y643),$U$2:$U$700)</f>
        <v>LCOX0</v>
      </c>
      <c r="AF643" s="80" t="str">
        <f t="shared" ref="AF643:AF706" si="122">CONCATENATE("CL",RIGHT(AE643,2))</f>
        <v>CLX0</v>
      </c>
      <c r="AG643" s="80" t="str">
        <f t="shared" ref="AG643:AG706" si="123">LOOKUP(2,1/($R$2:$R$700&lt;=$Y643)/($S$2:$S$700&gt;=$Y643),$V$2:$V$700)</f>
        <v>LCOZ0</v>
      </c>
      <c r="AH643" s="80" t="str">
        <f t="shared" ref="AH643:AH706" si="124">LOOKUP(2,1/($R$2:$R$700&lt;=$Y643)/($S$2:$S$700&gt;=$Y643),$W$2:$W$700)</f>
        <v>LCOF1</v>
      </c>
    </row>
    <row r="644" spans="25:34" x14ac:dyDescent="0.35">
      <c r="Y644" s="74">
        <f t="shared" si="115"/>
        <v>44047</v>
      </c>
      <c r="Z644" s="74">
        <f t="shared" ca="1" si="116"/>
        <v>44063</v>
      </c>
      <c r="AA644" s="80" t="str">
        <f t="shared" ca="1" si="117"/>
        <v>CLU0</v>
      </c>
      <c r="AB644" s="74">
        <f t="shared" si="119"/>
        <v>44071</v>
      </c>
      <c r="AC644" s="80" t="str">
        <f t="shared" si="118"/>
        <v>LCOV0</v>
      </c>
      <c r="AD644" s="80" t="str">
        <f t="shared" si="120"/>
        <v>CLV0</v>
      </c>
      <c r="AE644" s="80" t="str">
        <f t="shared" si="121"/>
        <v>LCOX0</v>
      </c>
      <c r="AF644" s="80" t="str">
        <f t="shared" si="122"/>
        <v>CLX0</v>
      </c>
      <c r="AG644" s="80" t="str">
        <f t="shared" si="123"/>
        <v>LCOZ0</v>
      </c>
      <c r="AH644" s="80" t="str">
        <f t="shared" si="124"/>
        <v>LCOF1</v>
      </c>
    </row>
    <row r="645" spans="25:34" x14ac:dyDescent="0.35">
      <c r="Y645" s="74">
        <f t="shared" si="115"/>
        <v>44048</v>
      </c>
      <c r="Z645" s="74">
        <f t="shared" ca="1" si="116"/>
        <v>44063</v>
      </c>
      <c r="AA645" s="80" t="str">
        <f t="shared" ca="1" si="117"/>
        <v>CLU0</v>
      </c>
      <c r="AB645" s="74">
        <f t="shared" si="119"/>
        <v>44071</v>
      </c>
      <c r="AC645" s="80" t="str">
        <f t="shared" si="118"/>
        <v>LCOV0</v>
      </c>
      <c r="AD645" s="80" t="str">
        <f t="shared" si="120"/>
        <v>CLV0</v>
      </c>
      <c r="AE645" s="80" t="str">
        <f t="shared" si="121"/>
        <v>LCOX0</v>
      </c>
      <c r="AF645" s="80" t="str">
        <f t="shared" si="122"/>
        <v>CLX0</v>
      </c>
      <c r="AG645" s="80" t="str">
        <f t="shared" si="123"/>
        <v>LCOZ0</v>
      </c>
      <c r="AH645" s="80" t="str">
        <f t="shared" si="124"/>
        <v>LCOF1</v>
      </c>
    </row>
    <row r="646" spans="25:34" x14ac:dyDescent="0.35">
      <c r="Y646" s="74">
        <f t="shared" si="115"/>
        <v>44049</v>
      </c>
      <c r="Z646" s="74">
        <f t="shared" ca="1" si="116"/>
        <v>44063</v>
      </c>
      <c r="AA646" s="80" t="str">
        <f t="shared" ca="1" si="117"/>
        <v>CLU0</v>
      </c>
      <c r="AB646" s="74">
        <f t="shared" si="119"/>
        <v>44071</v>
      </c>
      <c r="AC646" s="80" t="str">
        <f t="shared" si="118"/>
        <v>LCOV0</v>
      </c>
      <c r="AD646" s="80" t="str">
        <f t="shared" si="120"/>
        <v>CLV0</v>
      </c>
      <c r="AE646" s="80" t="str">
        <f t="shared" si="121"/>
        <v>LCOX0</v>
      </c>
      <c r="AF646" s="80" t="str">
        <f t="shared" si="122"/>
        <v>CLX0</v>
      </c>
      <c r="AG646" s="80" t="str">
        <f t="shared" si="123"/>
        <v>LCOZ0</v>
      </c>
      <c r="AH646" s="80" t="str">
        <f t="shared" si="124"/>
        <v>LCOF1</v>
      </c>
    </row>
    <row r="647" spans="25:34" x14ac:dyDescent="0.35">
      <c r="Y647" s="74">
        <f t="shared" si="115"/>
        <v>44050</v>
      </c>
      <c r="Z647" s="74">
        <f t="shared" ca="1" si="116"/>
        <v>44063</v>
      </c>
      <c r="AA647" s="80" t="str">
        <f t="shared" ca="1" si="117"/>
        <v>CLU0</v>
      </c>
      <c r="AB647" s="74">
        <f t="shared" si="119"/>
        <v>44071</v>
      </c>
      <c r="AC647" s="80" t="str">
        <f t="shared" si="118"/>
        <v>LCOV0</v>
      </c>
      <c r="AD647" s="80" t="str">
        <f t="shared" si="120"/>
        <v>CLV0</v>
      </c>
      <c r="AE647" s="80" t="str">
        <f t="shared" si="121"/>
        <v>LCOX0</v>
      </c>
      <c r="AF647" s="80" t="str">
        <f t="shared" si="122"/>
        <v>CLX0</v>
      </c>
      <c r="AG647" s="80" t="str">
        <f t="shared" si="123"/>
        <v>LCOZ0</v>
      </c>
      <c r="AH647" s="80" t="str">
        <f t="shared" si="124"/>
        <v>LCOF1</v>
      </c>
    </row>
    <row r="648" spans="25:34" x14ac:dyDescent="0.35">
      <c r="Y648" s="74">
        <f t="shared" si="115"/>
        <v>44051</v>
      </c>
      <c r="Z648" s="74">
        <f t="shared" ca="1" si="116"/>
        <v>44063</v>
      </c>
      <c r="AA648" s="80" t="str">
        <f t="shared" ca="1" si="117"/>
        <v>CLU0</v>
      </c>
      <c r="AB648" s="74">
        <f t="shared" si="119"/>
        <v>44071</v>
      </c>
      <c r="AC648" s="80" t="str">
        <f t="shared" si="118"/>
        <v>LCOV0</v>
      </c>
      <c r="AD648" s="80" t="str">
        <f t="shared" si="120"/>
        <v>CLV0</v>
      </c>
      <c r="AE648" s="80" t="str">
        <f t="shared" si="121"/>
        <v>LCOX0</v>
      </c>
      <c r="AF648" s="80" t="str">
        <f t="shared" si="122"/>
        <v>CLX0</v>
      </c>
      <c r="AG648" s="80" t="str">
        <f t="shared" si="123"/>
        <v>LCOZ0</v>
      </c>
      <c r="AH648" s="80" t="str">
        <f t="shared" si="124"/>
        <v>LCOF1</v>
      </c>
    </row>
    <row r="649" spans="25:34" x14ac:dyDescent="0.35">
      <c r="Y649" s="74">
        <f t="shared" si="115"/>
        <v>44052</v>
      </c>
      <c r="Z649" s="74">
        <f t="shared" ca="1" si="116"/>
        <v>44063</v>
      </c>
      <c r="AA649" s="80" t="str">
        <f t="shared" ca="1" si="117"/>
        <v>CLU0</v>
      </c>
      <c r="AB649" s="74">
        <f t="shared" si="119"/>
        <v>44071</v>
      </c>
      <c r="AC649" s="80" t="str">
        <f t="shared" si="118"/>
        <v>LCOV0</v>
      </c>
      <c r="AD649" s="80" t="str">
        <f t="shared" si="120"/>
        <v>CLV0</v>
      </c>
      <c r="AE649" s="80" t="str">
        <f t="shared" si="121"/>
        <v>LCOX0</v>
      </c>
      <c r="AF649" s="80" t="str">
        <f t="shared" si="122"/>
        <v>CLX0</v>
      </c>
      <c r="AG649" s="80" t="str">
        <f t="shared" si="123"/>
        <v>LCOZ0</v>
      </c>
      <c r="AH649" s="80" t="str">
        <f t="shared" si="124"/>
        <v>LCOF1</v>
      </c>
    </row>
    <row r="650" spans="25:34" x14ac:dyDescent="0.35">
      <c r="Y650" s="74">
        <f t="shared" si="115"/>
        <v>44053</v>
      </c>
      <c r="Z650" s="74">
        <f t="shared" ca="1" si="116"/>
        <v>44063</v>
      </c>
      <c r="AA650" s="80" t="str">
        <f t="shared" ca="1" si="117"/>
        <v>CLU0</v>
      </c>
      <c r="AB650" s="74">
        <f t="shared" si="119"/>
        <v>44071</v>
      </c>
      <c r="AC650" s="80" t="str">
        <f t="shared" si="118"/>
        <v>LCOV0</v>
      </c>
      <c r="AD650" s="80" t="str">
        <f t="shared" si="120"/>
        <v>CLV0</v>
      </c>
      <c r="AE650" s="80" t="str">
        <f t="shared" si="121"/>
        <v>LCOX0</v>
      </c>
      <c r="AF650" s="80" t="str">
        <f t="shared" si="122"/>
        <v>CLX0</v>
      </c>
      <c r="AG650" s="80" t="str">
        <f t="shared" si="123"/>
        <v>LCOZ0</v>
      </c>
      <c r="AH650" s="80" t="str">
        <f t="shared" si="124"/>
        <v>LCOF1</v>
      </c>
    </row>
    <row r="651" spans="25:34" x14ac:dyDescent="0.35">
      <c r="Y651" s="74">
        <f t="shared" si="115"/>
        <v>44054</v>
      </c>
      <c r="Z651" s="74">
        <f t="shared" ca="1" si="116"/>
        <v>44063</v>
      </c>
      <c r="AA651" s="80" t="str">
        <f t="shared" ca="1" si="117"/>
        <v>CLU0</v>
      </c>
      <c r="AB651" s="74">
        <f t="shared" si="119"/>
        <v>44071</v>
      </c>
      <c r="AC651" s="80" t="str">
        <f t="shared" si="118"/>
        <v>LCOV0</v>
      </c>
      <c r="AD651" s="80" t="str">
        <f t="shared" si="120"/>
        <v>CLV0</v>
      </c>
      <c r="AE651" s="80" t="str">
        <f t="shared" si="121"/>
        <v>LCOX0</v>
      </c>
      <c r="AF651" s="80" t="str">
        <f t="shared" si="122"/>
        <v>CLX0</v>
      </c>
      <c r="AG651" s="80" t="str">
        <f t="shared" si="123"/>
        <v>LCOZ0</v>
      </c>
      <c r="AH651" s="80" t="str">
        <f t="shared" si="124"/>
        <v>LCOF1</v>
      </c>
    </row>
    <row r="652" spans="25:34" x14ac:dyDescent="0.35">
      <c r="Y652" s="74">
        <f t="shared" si="115"/>
        <v>44055</v>
      </c>
      <c r="Z652" s="74">
        <f t="shared" ca="1" si="116"/>
        <v>44063</v>
      </c>
      <c r="AA652" s="80" t="str">
        <f t="shared" ca="1" si="117"/>
        <v>CLU0</v>
      </c>
      <c r="AB652" s="74">
        <f t="shared" si="119"/>
        <v>44071</v>
      </c>
      <c r="AC652" s="80" t="str">
        <f t="shared" si="118"/>
        <v>LCOV0</v>
      </c>
      <c r="AD652" s="80" t="str">
        <f t="shared" si="120"/>
        <v>CLV0</v>
      </c>
      <c r="AE652" s="80" t="str">
        <f t="shared" si="121"/>
        <v>LCOX0</v>
      </c>
      <c r="AF652" s="80" t="str">
        <f t="shared" si="122"/>
        <v>CLX0</v>
      </c>
      <c r="AG652" s="80" t="str">
        <f t="shared" si="123"/>
        <v>LCOZ0</v>
      </c>
      <c r="AH652" s="80" t="str">
        <f t="shared" si="124"/>
        <v>LCOF1</v>
      </c>
    </row>
    <row r="653" spans="25:34" x14ac:dyDescent="0.35">
      <c r="Y653" s="74">
        <f t="shared" si="115"/>
        <v>44056</v>
      </c>
      <c r="Z653" s="74">
        <f t="shared" ca="1" si="116"/>
        <v>44063</v>
      </c>
      <c r="AA653" s="80" t="str">
        <f t="shared" ca="1" si="117"/>
        <v>CLU0</v>
      </c>
      <c r="AB653" s="74">
        <f t="shared" si="119"/>
        <v>44071</v>
      </c>
      <c r="AC653" s="80" t="str">
        <f t="shared" si="118"/>
        <v>LCOV0</v>
      </c>
      <c r="AD653" s="80" t="str">
        <f t="shared" si="120"/>
        <v>CLV0</v>
      </c>
      <c r="AE653" s="80" t="str">
        <f t="shared" si="121"/>
        <v>LCOX0</v>
      </c>
      <c r="AF653" s="80" t="str">
        <f t="shared" si="122"/>
        <v>CLX0</v>
      </c>
      <c r="AG653" s="80" t="str">
        <f t="shared" si="123"/>
        <v>LCOZ0</v>
      </c>
      <c r="AH653" s="80" t="str">
        <f t="shared" si="124"/>
        <v>LCOF1</v>
      </c>
    </row>
    <row r="654" spans="25:34" x14ac:dyDescent="0.35">
      <c r="Y654" s="74">
        <f t="shared" si="115"/>
        <v>44057</v>
      </c>
      <c r="Z654" s="74">
        <f t="shared" ca="1" si="116"/>
        <v>44063</v>
      </c>
      <c r="AA654" s="80" t="str">
        <f t="shared" ca="1" si="117"/>
        <v>CLU0</v>
      </c>
      <c r="AB654" s="74">
        <f t="shared" si="119"/>
        <v>44071</v>
      </c>
      <c r="AC654" s="80" t="str">
        <f t="shared" si="118"/>
        <v>LCOV0</v>
      </c>
      <c r="AD654" s="80" t="str">
        <f t="shared" si="120"/>
        <v>CLV0</v>
      </c>
      <c r="AE654" s="80" t="str">
        <f t="shared" si="121"/>
        <v>LCOX0</v>
      </c>
      <c r="AF654" s="80" t="str">
        <f t="shared" si="122"/>
        <v>CLX0</v>
      </c>
      <c r="AG654" s="80" t="str">
        <f t="shared" si="123"/>
        <v>LCOZ0</v>
      </c>
      <c r="AH654" s="80" t="str">
        <f t="shared" si="124"/>
        <v>LCOF1</v>
      </c>
    </row>
    <row r="655" spans="25:34" x14ac:dyDescent="0.35">
      <c r="Y655" s="74">
        <f t="shared" si="115"/>
        <v>44058</v>
      </c>
      <c r="Z655" s="74">
        <f t="shared" ca="1" si="116"/>
        <v>44063</v>
      </c>
      <c r="AA655" s="80" t="str">
        <f t="shared" ca="1" si="117"/>
        <v>CLU0</v>
      </c>
      <c r="AB655" s="74">
        <f t="shared" si="119"/>
        <v>44071</v>
      </c>
      <c r="AC655" s="80" t="str">
        <f t="shared" si="118"/>
        <v>LCOV0</v>
      </c>
      <c r="AD655" s="80" t="str">
        <f t="shared" si="120"/>
        <v>CLV0</v>
      </c>
      <c r="AE655" s="80" t="str">
        <f t="shared" si="121"/>
        <v>LCOX0</v>
      </c>
      <c r="AF655" s="80" t="str">
        <f t="shared" si="122"/>
        <v>CLX0</v>
      </c>
      <c r="AG655" s="80" t="str">
        <f t="shared" si="123"/>
        <v>LCOZ0</v>
      </c>
      <c r="AH655" s="80" t="str">
        <f t="shared" si="124"/>
        <v>LCOF1</v>
      </c>
    </row>
    <row r="656" spans="25:34" x14ac:dyDescent="0.35">
      <c r="Y656" s="74">
        <f t="shared" si="115"/>
        <v>44059</v>
      </c>
      <c r="Z656" s="74">
        <f t="shared" ca="1" si="116"/>
        <v>44063</v>
      </c>
      <c r="AA656" s="80" t="str">
        <f t="shared" ca="1" si="117"/>
        <v>CLU0</v>
      </c>
      <c r="AB656" s="74">
        <f t="shared" si="119"/>
        <v>44071</v>
      </c>
      <c r="AC656" s="80" t="str">
        <f t="shared" si="118"/>
        <v>LCOV0</v>
      </c>
      <c r="AD656" s="80" t="str">
        <f t="shared" si="120"/>
        <v>CLV0</v>
      </c>
      <c r="AE656" s="80" t="str">
        <f t="shared" si="121"/>
        <v>LCOX0</v>
      </c>
      <c r="AF656" s="80" t="str">
        <f t="shared" si="122"/>
        <v>CLX0</v>
      </c>
      <c r="AG656" s="80" t="str">
        <f t="shared" si="123"/>
        <v>LCOZ0</v>
      </c>
      <c r="AH656" s="80" t="str">
        <f t="shared" si="124"/>
        <v>LCOF1</v>
      </c>
    </row>
    <row r="657" spans="25:34" x14ac:dyDescent="0.35">
      <c r="Y657" s="74">
        <f t="shared" si="115"/>
        <v>44060</v>
      </c>
      <c r="Z657" s="74">
        <f t="shared" ca="1" si="116"/>
        <v>44063</v>
      </c>
      <c r="AA657" s="80" t="str">
        <f t="shared" ca="1" si="117"/>
        <v>CLU0</v>
      </c>
      <c r="AB657" s="74">
        <f t="shared" si="119"/>
        <v>44071</v>
      </c>
      <c r="AC657" s="80" t="str">
        <f t="shared" si="118"/>
        <v>LCOV0</v>
      </c>
      <c r="AD657" s="80" t="str">
        <f t="shared" si="120"/>
        <v>CLV0</v>
      </c>
      <c r="AE657" s="80" t="str">
        <f t="shared" si="121"/>
        <v>LCOX0</v>
      </c>
      <c r="AF657" s="80" t="str">
        <f t="shared" si="122"/>
        <v>CLX0</v>
      </c>
      <c r="AG657" s="80" t="str">
        <f t="shared" si="123"/>
        <v>LCOZ0</v>
      </c>
      <c r="AH657" s="80" t="str">
        <f t="shared" si="124"/>
        <v>LCOF1</v>
      </c>
    </row>
    <row r="658" spans="25:34" x14ac:dyDescent="0.35">
      <c r="Y658" s="74">
        <f t="shared" si="115"/>
        <v>44061</v>
      </c>
      <c r="Z658" s="74">
        <f t="shared" ca="1" si="116"/>
        <v>44063</v>
      </c>
      <c r="AA658" s="80" t="str">
        <f t="shared" ca="1" si="117"/>
        <v>CLU0</v>
      </c>
      <c r="AB658" s="74">
        <f t="shared" si="119"/>
        <v>44071</v>
      </c>
      <c r="AC658" s="80" t="str">
        <f t="shared" si="118"/>
        <v>LCOV0</v>
      </c>
      <c r="AD658" s="80" t="str">
        <f t="shared" si="120"/>
        <v>CLV0</v>
      </c>
      <c r="AE658" s="80" t="str">
        <f t="shared" si="121"/>
        <v>LCOX0</v>
      </c>
      <c r="AF658" s="80" t="str">
        <f t="shared" si="122"/>
        <v>CLX0</v>
      </c>
      <c r="AG658" s="80" t="str">
        <f t="shared" si="123"/>
        <v>LCOZ0</v>
      </c>
      <c r="AH658" s="80" t="str">
        <f t="shared" si="124"/>
        <v>LCOF1</v>
      </c>
    </row>
    <row r="659" spans="25:34" x14ac:dyDescent="0.35">
      <c r="Y659" s="74">
        <f t="shared" si="115"/>
        <v>44062</v>
      </c>
      <c r="Z659" s="74">
        <f t="shared" ca="1" si="116"/>
        <v>44063</v>
      </c>
      <c r="AA659" s="80" t="str">
        <f t="shared" ca="1" si="117"/>
        <v>CLU0</v>
      </c>
      <c r="AB659" s="74">
        <f t="shared" si="119"/>
        <v>44071</v>
      </c>
      <c r="AC659" s="80" t="str">
        <f t="shared" si="118"/>
        <v>LCOV0</v>
      </c>
      <c r="AD659" s="80" t="str">
        <f t="shared" si="120"/>
        <v>CLV0</v>
      </c>
      <c r="AE659" s="80" t="str">
        <f t="shared" si="121"/>
        <v>LCOX0</v>
      </c>
      <c r="AF659" s="80" t="str">
        <f t="shared" si="122"/>
        <v>CLX0</v>
      </c>
      <c r="AG659" s="80" t="str">
        <f t="shared" si="123"/>
        <v>LCOZ0</v>
      </c>
      <c r="AH659" s="80" t="str">
        <f t="shared" si="124"/>
        <v>LCOF1</v>
      </c>
    </row>
    <row r="660" spans="25:34" x14ac:dyDescent="0.35">
      <c r="Y660" s="74">
        <f t="shared" si="115"/>
        <v>44063</v>
      </c>
      <c r="Z660" s="74">
        <f t="shared" ca="1" si="116"/>
        <v>44063</v>
      </c>
      <c r="AA660" s="80" t="str">
        <f t="shared" ca="1" si="117"/>
        <v>CLU0</v>
      </c>
      <c r="AB660" s="74">
        <f t="shared" si="119"/>
        <v>44071</v>
      </c>
      <c r="AC660" s="80" t="str">
        <f t="shared" si="118"/>
        <v>LCOV0</v>
      </c>
      <c r="AD660" s="80" t="str">
        <f t="shared" si="120"/>
        <v>CLV0</v>
      </c>
      <c r="AE660" s="80" t="str">
        <f t="shared" si="121"/>
        <v>LCOX0</v>
      </c>
      <c r="AF660" s="80" t="str">
        <f t="shared" si="122"/>
        <v>CLX0</v>
      </c>
      <c r="AG660" s="80" t="str">
        <f t="shared" si="123"/>
        <v>LCOZ0</v>
      </c>
      <c r="AH660" s="80" t="str">
        <f t="shared" si="124"/>
        <v>LCOF1</v>
      </c>
    </row>
    <row r="661" spans="25:34" x14ac:dyDescent="0.35">
      <c r="Y661" s="74">
        <f t="shared" si="115"/>
        <v>44064</v>
      </c>
      <c r="Z661" s="74">
        <f t="shared" ca="1" si="116"/>
        <v>44096</v>
      </c>
      <c r="AA661" s="80" t="str">
        <f t="shared" ca="1" si="117"/>
        <v>CLV0</v>
      </c>
      <c r="AB661" s="74">
        <f t="shared" si="119"/>
        <v>44071</v>
      </c>
      <c r="AC661" s="80" t="str">
        <f t="shared" si="118"/>
        <v>LCOV0</v>
      </c>
      <c r="AD661" s="80" t="str">
        <f t="shared" si="120"/>
        <v>CLV0</v>
      </c>
      <c r="AE661" s="80" t="str">
        <f t="shared" si="121"/>
        <v>LCOX0</v>
      </c>
      <c r="AF661" s="80" t="str">
        <f t="shared" si="122"/>
        <v>CLX0</v>
      </c>
      <c r="AG661" s="80" t="str">
        <f t="shared" si="123"/>
        <v>LCOZ0</v>
      </c>
      <c r="AH661" s="80" t="str">
        <f t="shared" si="124"/>
        <v>LCOF1</v>
      </c>
    </row>
    <row r="662" spans="25:34" x14ac:dyDescent="0.35">
      <c r="Y662" s="74">
        <f t="shared" si="115"/>
        <v>44065</v>
      </c>
      <c r="Z662" s="74">
        <f t="shared" ca="1" si="116"/>
        <v>44096</v>
      </c>
      <c r="AA662" s="80" t="str">
        <f t="shared" ca="1" si="117"/>
        <v>CLV0</v>
      </c>
      <c r="AB662" s="74">
        <f t="shared" si="119"/>
        <v>44071</v>
      </c>
      <c r="AC662" s="80" t="str">
        <f t="shared" si="118"/>
        <v>LCOV0</v>
      </c>
      <c r="AD662" s="80" t="str">
        <f t="shared" si="120"/>
        <v>CLV0</v>
      </c>
      <c r="AE662" s="80" t="str">
        <f t="shared" si="121"/>
        <v>LCOX0</v>
      </c>
      <c r="AF662" s="80" t="str">
        <f t="shared" si="122"/>
        <v>CLX0</v>
      </c>
      <c r="AG662" s="80" t="str">
        <f t="shared" si="123"/>
        <v>LCOZ0</v>
      </c>
      <c r="AH662" s="80" t="str">
        <f t="shared" si="124"/>
        <v>LCOF1</v>
      </c>
    </row>
    <row r="663" spans="25:34" x14ac:dyDescent="0.35">
      <c r="Y663" s="74">
        <f t="shared" si="115"/>
        <v>44066</v>
      </c>
      <c r="Z663" s="74">
        <f t="shared" ca="1" si="116"/>
        <v>44096</v>
      </c>
      <c r="AA663" s="80" t="str">
        <f t="shared" ca="1" si="117"/>
        <v>CLV0</v>
      </c>
      <c r="AB663" s="74">
        <f t="shared" si="119"/>
        <v>44071</v>
      </c>
      <c r="AC663" s="80" t="str">
        <f t="shared" si="118"/>
        <v>LCOV0</v>
      </c>
      <c r="AD663" s="80" t="str">
        <f t="shared" si="120"/>
        <v>CLV0</v>
      </c>
      <c r="AE663" s="80" t="str">
        <f t="shared" si="121"/>
        <v>LCOX0</v>
      </c>
      <c r="AF663" s="80" t="str">
        <f t="shared" si="122"/>
        <v>CLX0</v>
      </c>
      <c r="AG663" s="80" t="str">
        <f t="shared" si="123"/>
        <v>LCOZ0</v>
      </c>
      <c r="AH663" s="80" t="str">
        <f t="shared" si="124"/>
        <v>LCOF1</v>
      </c>
    </row>
    <row r="664" spans="25:34" x14ac:dyDescent="0.35">
      <c r="Y664" s="74">
        <f t="shared" si="115"/>
        <v>44067</v>
      </c>
      <c r="Z664" s="74">
        <f t="shared" ca="1" si="116"/>
        <v>44096</v>
      </c>
      <c r="AA664" s="80" t="str">
        <f t="shared" ca="1" si="117"/>
        <v>CLV0</v>
      </c>
      <c r="AB664" s="74">
        <f t="shared" si="119"/>
        <v>44071</v>
      </c>
      <c r="AC664" s="80" t="str">
        <f t="shared" si="118"/>
        <v>LCOV0</v>
      </c>
      <c r="AD664" s="80" t="str">
        <f t="shared" si="120"/>
        <v>CLV0</v>
      </c>
      <c r="AE664" s="80" t="str">
        <f t="shared" si="121"/>
        <v>LCOX0</v>
      </c>
      <c r="AF664" s="80" t="str">
        <f t="shared" si="122"/>
        <v>CLX0</v>
      </c>
      <c r="AG664" s="80" t="str">
        <f t="shared" si="123"/>
        <v>LCOZ0</v>
      </c>
      <c r="AH664" s="80" t="str">
        <f t="shared" si="124"/>
        <v>LCOF1</v>
      </c>
    </row>
    <row r="665" spans="25:34" x14ac:dyDescent="0.35">
      <c r="Y665" s="74">
        <f t="shared" si="115"/>
        <v>44068</v>
      </c>
      <c r="Z665" s="74">
        <f t="shared" ca="1" si="116"/>
        <v>44096</v>
      </c>
      <c r="AA665" s="80" t="str">
        <f t="shared" ca="1" si="117"/>
        <v>CLV0</v>
      </c>
      <c r="AB665" s="74">
        <f t="shared" si="119"/>
        <v>44071</v>
      </c>
      <c r="AC665" s="80" t="str">
        <f t="shared" si="118"/>
        <v>LCOV0</v>
      </c>
      <c r="AD665" s="80" t="str">
        <f t="shared" si="120"/>
        <v>CLV0</v>
      </c>
      <c r="AE665" s="80" t="str">
        <f t="shared" si="121"/>
        <v>LCOX0</v>
      </c>
      <c r="AF665" s="80" t="str">
        <f t="shared" si="122"/>
        <v>CLX0</v>
      </c>
      <c r="AG665" s="80" t="str">
        <f t="shared" si="123"/>
        <v>LCOZ0</v>
      </c>
      <c r="AH665" s="80" t="str">
        <f t="shared" si="124"/>
        <v>LCOF1</v>
      </c>
    </row>
    <row r="666" spans="25:34" x14ac:dyDescent="0.35">
      <c r="Y666" s="74">
        <f t="shared" si="115"/>
        <v>44069</v>
      </c>
      <c r="Z666" s="74">
        <f t="shared" ca="1" si="116"/>
        <v>44096</v>
      </c>
      <c r="AA666" s="80" t="str">
        <f t="shared" ca="1" si="117"/>
        <v>CLV0</v>
      </c>
      <c r="AB666" s="74">
        <f t="shared" si="119"/>
        <v>44071</v>
      </c>
      <c r="AC666" s="80" t="str">
        <f t="shared" si="118"/>
        <v>LCOV0</v>
      </c>
      <c r="AD666" s="80" t="str">
        <f t="shared" si="120"/>
        <v>CLV0</v>
      </c>
      <c r="AE666" s="80" t="str">
        <f t="shared" si="121"/>
        <v>LCOX0</v>
      </c>
      <c r="AF666" s="80" t="str">
        <f t="shared" si="122"/>
        <v>CLX0</v>
      </c>
      <c r="AG666" s="80" t="str">
        <f t="shared" si="123"/>
        <v>LCOZ0</v>
      </c>
      <c r="AH666" s="80" t="str">
        <f t="shared" si="124"/>
        <v>LCOF1</v>
      </c>
    </row>
    <row r="667" spans="25:34" x14ac:dyDescent="0.35">
      <c r="Y667" s="74">
        <f t="shared" si="115"/>
        <v>44070</v>
      </c>
      <c r="Z667" s="74">
        <f t="shared" ca="1" si="116"/>
        <v>44096</v>
      </c>
      <c r="AA667" s="80" t="str">
        <f t="shared" ca="1" si="117"/>
        <v>CLV0</v>
      </c>
      <c r="AB667" s="74">
        <f t="shared" si="119"/>
        <v>44071</v>
      </c>
      <c r="AC667" s="80" t="str">
        <f t="shared" si="118"/>
        <v>LCOV0</v>
      </c>
      <c r="AD667" s="80" t="str">
        <f t="shared" si="120"/>
        <v>CLV0</v>
      </c>
      <c r="AE667" s="80" t="str">
        <f t="shared" si="121"/>
        <v>LCOX0</v>
      </c>
      <c r="AF667" s="80" t="str">
        <f t="shared" si="122"/>
        <v>CLX0</v>
      </c>
      <c r="AG667" s="80" t="str">
        <f t="shared" si="123"/>
        <v>LCOZ0</v>
      </c>
      <c r="AH667" s="80" t="str">
        <f t="shared" si="124"/>
        <v>LCOF1</v>
      </c>
    </row>
    <row r="668" spans="25:34" x14ac:dyDescent="0.35">
      <c r="Y668" s="74">
        <f t="shared" si="115"/>
        <v>44071</v>
      </c>
      <c r="Z668" s="74">
        <f t="shared" ca="1" si="116"/>
        <v>44096</v>
      </c>
      <c r="AA668" s="80" t="str">
        <f t="shared" ca="1" si="117"/>
        <v>CLV0</v>
      </c>
      <c r="AB668" s="74">
        <f t="shared" si="119"/>
        <v>44071</v>
      </c>
      <c r="AC668" s="80" t="str">
        <f t="shared" si="118"/>
        <v>LCOV0</v>
      </c>
      <c r="AD668" s="80" t="str">
        <f t="shared" si="120"/>
        <v>CLV0</v>
      </c>
      <c r="AE668" s="80" t="str">
        <f t="shared" si="121"/>
        <v>LCOX0</v>
      </c>
      <c r="AF668" s="80" t="str">
        <f t="shared" si="122"/>
        <v>CLX0</v>
      </c>
      <c r="AG668" s="80" t="str">
        <f t="shared" si="123"/>
        <v>LCOZ0</v>
      </c>
      <c r="AH668" s="80" t="str">
        <f t="shared" si="124"/>
        <v>LCOF1</v>
      </c>
    </row>
    <row r="669" spans="25:34" x14ac:dyDescent="0.35">
      <c r="Y669" s="74">
        <f t="shared" si="115"/>
        <v>44072</v>
      </c>
      <c r="Z669" s="74">
        <f t="shared" ca="1" si="116"/>
        <v>44096</v>
      </c>
      <c r="AA669" s="80" t="str">
        <f t="shared" ca="1" si="117"/>
        <v>CLV0</v>
      </c>
      <c r="AB669" s="74">
        <f t="shared" si="119"/>
        <v>44104</v>
      </c>
      <c r="AC669" s="80" t="str">
        <f t="shared" si="118"/>
        <v>LCOX0</v>
      </c>
      <c r="AD669" s="80" t="str">
        <f t="shared" si="120"/>
        <v>CLX0</v>
      </c>
      <c r="AE669" s="80" t="str">
        <f t="shared" si="121"/>
        <v>LCOZ0</v>
      </c>
      <c r="AF669" s="80" t="str">
        <f t="shared" si="122"/>
        <v>CLZ0</v>
      </c>
      <c r="AG669" s="80" t="str">
        <f t="shared" si="123"/>
        <v>LCOF1</v>
      </c>
      <c r="AH669" s="80" t="str">
        <f t="shared" si="124"/>
        <v>LCOG1</v>
      </c>
    </row>
    <row r="670" spans="25:34" x14ac:dyDescent="0.35">
      <c r="Y670" s="74">
        <f t="shared" si="115"/>
        <v>44073</v>
      </c>
      <c r="Z670" s="74">
        <f t="shared" ca="1" si="116"/>
        <v>44096</v>
      </c>
      <c r="AA670" s="80" t="str">
        <f t="shared" ca="1" si="117"/>
        <v>CLV0</v>
      </c>
      <c r="AB670" s="74">
        <f t="shared" si="119"/>
        <v>44104</v>
      </c>
      <c r="AC670" s="80" t="str">
        <f t="shared" si="118"/>
        <v>LCOX0</v>
      </c>
      <c r="AD670" s="80" t="str">
        <f t="shared" si="120"/>
        <v>CLX0</v>
      </c>
      <c r="AE670" s="80" t="str">
        <f t="shared" si="121"/>
        <v>LCOZ0</v>
      </c>
      <c r="AF670" s="80" t="str">
        <f t="shared" si="122"/>
        <v>CLZ0</v>
      </c>
      <c r="AG670" s="80" t="str">
        <f t="shared" si="123"/>
        <v>LCOF1</v>
      </c>
      <c r="AH670" s="80" t="str">
        <f t="shared" si="124"/>
        <v>LCOG1</v>
      </c>
    </row>
    <row r="671" spans="25:34" x14ac:dyDescent="0.35">
      <c r="Y671" s="74">
        <f t="shared" si="115"/>
        <v>44074</v>
      </c>
      <c r="Z671" s="74">
        <f t="shared" ca="1" si="116"/>
        <v>44096</v>
      </c>
      <c r="AA671" s="80" t="str">
        <f t="shared" ca="1" si="117"/>
        <v>CLV0</v>
      </c>
      <c r="AB671" s="74">
        <f t="shared" si="119"/>
        <v>44104</v>
      </c>
      <c r="AC671" s="80" t="str">
        <f t="shared" si="118"/>
        <v>LCOX0</v>
      </c>
      <c r="AD671" s="80" t="str">
        <f t="shared" si="120"/>
        <v>CLX0</v>
      </c>
      <c r="AE671" s="80" t="str">
        <f t="shared" si="121"/>
        <v>LCOZ0</v>
      </c>
      <c r="AF671" s="80" t="str">
        <f t="shared" si="122"/>
        <v>CLZ0</v>
      </c>
      <c r="AG671" s="80" t="str">
        <f t="shared" si="123"/>
        <v>LCOF1</v>
      </c>
      <c r="AH671" s="80" t="str">
        <f t="shared" si="124"/>
        <v>LCOG1</v>
      </c>
    </row>
    <row r="672" spans="25:34" x14ac:dyDescent="0.35">
      <c r="Y672" s="74">
        <f t="shared" si="115"/>
        <v>44075</v>
      </c>
      <c r="Z672" s="74">
        <f t="shared" ca="1" si="116"/>
        <v>44096</v>
      </c>
      <c r="AA672" s="80" t="str">
        <f t="shared" ca="1" si="117"/>
        <v>CLV0</v>
      </c>
      <c r="AB672" s="74">
        <f t="shared" si="119"/>
        <v>44104</v>
      </c>
      <c r="AC672" s="80" t="str">
        <f t="shared" si="118"/>
        <v>LCOX0</v>
      </c>
      <c r="AD672" s="80" t="str">
        <f t="shared" si="120"/>
        <v>CLX0</v>
      </c>
      <c r="AE672" s="80" t="str">
        <f t="shared" si="121"/>
        <v>LCOZ0</v>
      </c>
      <c r="AF672" s="80" t="str">
        <f t="shared" si="122"/>
        <v>CLZ0</v>
      </c>
      <c r="AG672" s="80" t="str">
        <f t="shared" si="123"/>
        <v>LCOF1</v>
      </c>
      <c r="AH672" s="80" t="str">
        <f t="shared" si="124"/>
        <v>LCOG1</v>
      </c>
    </row>
    <row r="673" spans="25:34" x14ac:dyDescent="0.35">
      <c r="Y673" s="74">
        <f t="shared" ref="Y673:Y736" si="125">Y672+1</f>
        <v>44076</v>
      </c>
      <c r="Z673" s="74">
        <f t="shared" ca="1" si="116"/>
        <v>44096</v>
      </c>
      <c r="AA673" s="80" t="str">
        <f t="shared" ca="1" si="117"/>
        <v>CLV0</v>
      </c>
      <c r="AB673" s="74">
        <f t="shared" si="119"/>
        <v>44104</v>
      </c>
      <c r="AC673" s="80" t="str">
        <f t="shared" si="118"/>
        <v>LCOX0</v>
      </c>
      <c r="AD673" s="80" t="str">
        <f t="shared" si="120"/>
        <v>CLX0</v>
      </c>
      <c r="AE673" s="80" t="str">
        <f t="shared" si="121"/>
        <v>LCOZ0</v>
      </c>
      <c r="AF673" s="80" t="str">
        <f t="shared" si="122"/>
        <v>CLZ0</v>
      </c>
      <c r="AG673" s="80" t="str">
        <f t="shared" si="123"/>
        <v>LCOF1</v>
      </c>
      <c r="AH673" s="80" t="str">
        <f t="shared" si="124"/>
        <v>LCOG1</v>
      </c>
    </row>
    <row r="674" spans="25:34" x14ac:dyDescent="0.35">
      <c r="Y674" s="74">
        <f t="shared" si="125"/>
        <v>44077</v>
      </c>
      <c r="Z674" s="74">
        <f t="shared" ca="1" si="116"/>
        <v>44096</v>
      </c>
      <c r="AA674" s="80" t="str">
        <f t="shared" ca="1" si="117"/>
        <v>CLV0</v>
      </c>
      <c r="AB674" s="74">
        <f t="shared" si="119"/>
        <v>44104</v>
      </c>
      <c r="AC674" s="80" t="str">
        <f t="shared" si="118"/>
        <v>LCOX0</v>
      </c>
      <c r="AD674" s="80" t="str">
        <f t="shared" si="120"/>
        <v>CLX0</v>
      </c>
      <c r="AE674" s="80" t="str">
        <f t="shared" si="121"/>
        <v>LCOZ0</v>
      </c>
      <c r="AF674" s="80" t="str">
        <f t="shared" si="122"/>
        <v>CLZ0</v>
      </c>
      <c r="AG674" s="80" t="str">
        <f t="shared" si="123"/>
        <v>LCOF1</v>
      </c>
      <c r="AH674" s="80" t="str">
        <f t="shared" si="124"/>
        <v>LCOG1</v>
      </c>
    </row>
    <row r="675" spans="25:34" x14ac:dyDescent="0.35">
      <c r="Y675" s="74">
        <f t="shared" si="125"/>
        <v>44078</v>
      </c>
      <c r="Z675" s="74">
        <f t="shared" ca="1" si="116"/>
        <v>44096</v>
      </c>
      <c r="AA675" s="80" t="str">
        <f t="shared" ca="1" si="117"/>
        <v>CLV0</v>
      </c>
      <c r="AB675" s="74">
        <f t="shared" si="119"/>
        <v>44104</v>
      </c>
      <c r="AC675" s="80" t="str">
        <f t="shared" si="118"/>
        <v>LCOX0</v>
      </c>
      <c r="AD675" s="80" t="str">
        <f t="shared" si="120"/>
        <v>CLX0</v>
      </c>
      <c r="AE675" s="80" t="str">
        <f t="shared" si="121"/>
        <v>LCOZ0</v>
      </c>
      <c r="AF675" s="80" t="str">
        <f t="shared" si="122"/>
        <v>CLZ0</v>
      </c>
      <c r="AG675" s="80" t="str">
        <f t="shared" si="123"/>
        <v>LCOF1</v>
      </c>
      <c r="AH675" s="80" t="str">
        <f t="shared" si="124"/>
        <v>LCOG1</v>
      </c>
    </row>
    <row r="676" spans="25:34" x14ac:dyDescent="0.35">
      <c r="Y676" s="74">
        <f t="shared" si="125"/>
        <v>44079</v>
      </c>
      <c r="Z676" s="74">
        <f t="shared" ca="1" si="116"/>
        <v>44096</v>
      </c>
      <c r="AA676" s="80" t="str">
        <f t="shared" ca="1" si="117"/>
        <v>CLV0</v>
      </c>
      <c r="AB676" s="74">
        <f t="shared" si="119"/>
        <v>44104</v>
      </c>
      <c r="AC676" s="80" t="str">
        <f t="shared" si="118"/>
        <v>LCOX0</v>
      </c>
      <c r="AD676" s="80" t="str">
        <f t="shared" si="120"/>
        <v>CLX0</v>
      </c>
      <c r="AE676" s="80" t="str">
        <f t="shared" si="121"/>
        <v>LCOZ0</v>
      </c>
      <c r="AF676" s="80" t="str">
        <f t="shared" si="122"/>
        <v>CLZ0</v>
      </c>
      <c r="AG676" s="80" t="str">
        <f t="shared" si="123"/>
        <v>LCOF1</v>
      </c>
      <c r="AH676" s="80" t="str">
        <f t="shared" si="124"/>
        <v>LCOG1</v>
      </c>
    </row>
    <row r="677" spans="25:34" x14ac:dyDescent="0.35">
      <c r="Y677" s="74">
        <f t="shared" si="125"/>
        <v>44080</v>
      </c>
      <c r="Z677" s="74">
        <f t="shared" ca="1" si="116"/>
        <v>44096</v>
      </c>
      <c r="AA677" s="80" t="str">
        <f t="shared" ca="1" si="117"/>
        <v>CLV0</v>
      </c>
      <c r="AB677" s="74">
        <f t="shared" si="119"/>
        <v>44104</v>
      </c>
      <c r="AC677" s="80" t="str">
        <f t="shared" si="118"/>
        <v>LCOX0</v>
      </c>
      <c r="AD677" s="80" t="str">
        <f t="shared" si="120"/>
        <v>CLX0</v>
      </c>
      <c r="AE677" s="80" t="str">
        <f t="shared" si="121"/>
        <v>LCOZ0</v>
      </c>
      <c r="AF677" s="80" t="str">
        <f t="shared" si="122"/>
        <v>CLZ0</v>
      </c>
      <c r="AG677" s="80" t="str">
        <f t="shared" si="123"/>
        <v>LCOF1</v>
      </c>
      <c r="AH677" s="80" t="str">
        <f t="shared" si="124"/>
        <v>LCOG1</v>
      </c>
    </row>
    <row r="678" spans="25:34" x14ac:dyDescent="0.35">
      <c r="Y678" s="74">
        <f t="shared" si="125"/>
        <v>44081</v>
      </c>
      <c r="Z678" s="74">
        <f t="shared" ca="1" si="116"/>
        <v>44096</v>
      </c>
      <c r="AA678" s="80" t="str">
        <f t="shared" ca="1" si="117"/>
        <v>CLV0</v>
      </c>
      <c r="AB678" s="74">
        <f t="shared" si="119"/>
        <v>44104</v>
      </c>
      <c r="AC678" s="80" t="str">
        <f t="shared" si="118"/>
        <v>LCOX0</v>
      </c>
      <c r="AD678" s="80" t="str">
        <f t="shared" si="120"/>
        <v>CLX0</v>
      </c>
      <c r="AE678" s="80" t="str">
        <f t="shared" si="121"/>
        <v>LCOZ0</v>
      </c>
      <c r="AF678" s="80" t="str">
        <f t="shared" si="122"/>
        <v>CLZ0</v>
      </c>
      <c r="AG678" s="80" t="str">
        <f t="shared" si="123"/>
        <v>LCOF1</v>
      </c>
      <c r="AH678" s="80" t="str">
        <f t="shared" si="124"/>
        <v>LCOG1</v>
      </c>
    </row>
    <row r="679" spans="25:34" x14ac:dyDescent="0.35">
      <c r="Y679" s="74">
        <f t="shared" si="125"/>
        <v>44082</v>
      </c>
      <c r="Z679" s="74">
        <f t="shared" ca="1" si="116"/>
        <v>44096</v>
      </c>
      <c r="AA679" s="80" t="str">
        <f t="shared" ca="1" si="117"/>
        <v>CLV0</v>
      </c>
      <c r="AB679" s="74">
        <f t="shared" si="119"/>
        <v>44104</v>
      </c>
      <c r="AC679" s="80" t="str">
        <f t="shared" si="118"/>
        <v>LCOX0</v>
      </c>
      <c r="AD679" s="80" t="str">
        <f t="shared" si="120"/>
        <v>CLX0</v>
      </c>
      <c r="AE679" s="80" t="str">
        <f t="shared" si="121"/>
        <v>LCOZ0</v>
      </c>
      <c r="AF679" s="80" t="str">
        <f t="shared" si="122"/>
        <v>CLZ0</v>
      </c>
      <c r="AG679" s="80" t="str">
        <f t="shared" si="123"/>
        <v>LCOF1</v>
      </c>
      <c r="AH679" s="80" t="str">
        <f t="shared" si="124"/>
        <v>LCOG1</v>
      </c>
    </row>
    <row r="680" spans="25:34" x14ac:dyDescent="0.35">
      <c r="Y680" s="74">
        <f t="shared" si="125"/>
        <v>44083</v>
      </c>
      <c r="Z680" s="74">
        <f t="shared" ca="1" si="116"/>
        <v>44096</v>
      </c>
      <c r="AA680" s="80" t="str">
        <f t="shared" ca="1" si="117"/>
        <v>CLV0</v>
      </c>
      <c r="AB680" s="74">
        <f t="shared" si="119"/>
        <v>44104</v>
      </c>
      <c r="AC680" s="80" t="str">
        <f t="shared" si="118"/>
        <v>LCOX0</v>
      </c>
      <c r="AD680" s="80" t="str">
        <f t="shared" si="120"/>
        <v>CLX0</v>
      </c>
      <c r="AE680" s="80" t="str">
        <f t="shared" si="121"/>
        <v>LCOZ0</v>
      </c>
      <c r="AF680" s="80" t="str">
        <f t="shared" si="122"/>
        <v>CLZ0</v>
      </c>
      <c r="AG680" s="80" t="str">
        <f t="shared" si="123"/>
        <v>LCOF1</v>
      </c>
      <c r="AH680" s="80" t="str">
        <f t="shared" si="124"/>
        <v>LCOG1</v>
      </c>
    </row>
    <row r="681" spans="25:34" x14ac:dyDescent="0.35">
      <c r="Y681" s="74">
        <f t="shared" si="125"/>
        <v>44084</v>
      </c>
      <c r="Z681" s="74">
        <f t="shared" ca="1" si="116"/>
        <v>44096</v>
      </c>
      <c r="AA681" s="80" t="str">
        <f t="shared" ca="1" si="117"/>
        <v>CLV0</v>
      </c>
      <c r="AB681" s="74">
        <f t="shared" si="119"/>
        <v>44104</v>
      </c>
      <c r="AC681" s="80" t="str">
        <f t="shared" si="118"/>
        <v>LCOX0</v>
      </c>
      <c r="AD681" s="80" t="str">
        <f t="shared" si="120"/>
        <v>CLX0</v>
      </c>
      <c r="AE681" s="80" t="str">
        <f t="shared" si="121"/>
        <v>LCOZ0</v>
      </c>
      <c r="AF681" s="80" t="str">
        <f t="shared" si="122"/>
        <v>CLZ0</v>
      </c>
      <c r="AG681" s="80" t="str">
        <f t="shared" si="123"/>
        <v>LCOF1</v>
      </c>
      <c r="AH681" s="80" t="str">
        <f t="shared" si="124"/>
        <v>LCOG1</v>
      </c>
    </row>
    <row r="682" spans="25:34" x14ac:dyDescent="0.35">
      <c r="Y682" s="74">
        <f t="shared" si="125"/>
        <v>44085</v>
      </c>
      <c r="Z682" s="74">
        <f t="shared" ca="1" si="116"/>
        <v>44096</v>
      </c>
      <c r="AA682" s="80" t="str">
        <f t="shared" ca="1" si="117"/>
        <v>CLV0</v>
      </c>
      <c r="AB682" s="74">
        <f t="shared" si="119"/>
        <v>44104</v>
      </c>
      <c r="AC682" s="80" t="str">
        <f t="shared" si="118"/>
        <v>LCOX0</v>
      </c>
      <c r="AD682" s="80" t="str">
        <f t="shared" si="120"/>
        <v>CLX0</v>
      </c>
      <c r="AE682" s="80" t="str">
        <f t="shared" si="121"/>
        <v>LCOZ0</v>
      </c>
      <c r="AF682" s="80" t="str">
        <f t="shared" si="122"/>
        <v>CLZ0</v>
      </c>
      <c r="AG682" s="80" t="str">
        <f t="shared" si="123"/>
        <v>LCOF1</v>
      </c>
      <c r="AH682" s="80" t="str">
        <f t="shared" si="124"/>
        <v>LCOG1</v>
      </c>
    </row>
    <row r="683" spans="25:34" x14ac:dyDescent="0.35">
      <c r="Y683" s="74">
        <f t="shared" si="125"/>
        <v>44086</v>
      </c>
      <c r="Z683" s="74">
        <f t="shared" ca="1" si="116"/>
        <v>44096</v>
      </c>
      <c r="AA683" s="80" t="str">
        <f t="shared" ca="1" si="117"/>
        <v>CLV0</v>
      </c>
      <c r="AB683" s="74">
        <f t="shared" si="119"/>
        <v>44104</v>
      </c>
      <c r="AC683" s="80" t="str">
        <f t="shared" si="118"/>
        <v>LCOX0</v>
      </c>
      <c r="AD683" s="80" t="str">
        <f t="shared" si="120"/>
        <v>CLX0</v>
      </c>
      <c r="AE683" s="80" t="str">
        <f t="shared" si="121"/>
        <v>LCOZ0</v>
      </c>
      <c r="AF683" s="80" t="str">
        <f t="shared" si="122"/>
        <v>CLZ0</v>
      </c>
      <c r="AG683" s="80" t="str">
        <f t="shared" si="123"/>
        <v>LCOF1</v>
      </c>
      <c r="AH683" s="80" t="str">
        <f t="shared" si="124"/>
        <v>LCOG1</v>
      </c>
    </row>
    <row r="684" spans="25:34" x14ac:dyDescent="0.35">
      <c r="Y684" s="74">
        <f t="shared" si="125"/>
        <v>44087</v>
      </c>
      <c r="Z684" s="74">
        <f t="shared" ca="1" si="116"/>
        <v>44096</v>
      </c>
      <c r="AA684" s="80" t="str">
        <f t="shared" ca="1" si="117"/>
        <v>CLV0</v>
      </c>
      <c r="AB684" s="74">
        <f t="shared" si="119"/>
        <v>44104</v>
      </c>
      <c r="AC684" s="80" t="str">
        <f t="shared" si="118"/>
        <v>LCOX0</v>
      </c>
      <c r="AD684" s="80" t="str">
        <f t="shared" si="120"/>
        <v>CLX0</v>
      </c>
      <c r="AE684" s="80" t="str">
        <f t="shared" si="121"/>
        <v>LCOZ0</v>
      </c>
      <c r="AF684" s="80" t="str">
        <f t="shared" si="122"/>
        <v>CLZ0</v>
      </c>
      <c r="AG684" s="80" t="str">
        <f t="shared" si="123"/>
        <v>LCOF1</v>
      </c>
      <c r="AH684" s="80" t="str">
        <f t="shared" si="124"/>
        <v>LCOG1</v>
      </c>
    </row>
    <row r="685" spans="25:34" x14ac:dyDescent="0.35">
      <c r="Y685" s="74">
        <f t="shared" si="125"/>
        <v>44088</v>
      </c>
      <c r="Z685" s="74">
        <f t="shared" ca="1" si="116"/>
        <v>44096</v>
      </c>
      <c r="AA685" s="80" t="str">
        <f t="shared" ca="1" si="117"/>
        <v>CLV0</v>
      </c>
      <c r="AB685" s="74">
        <f t="shared" si="119"/>
        <v>44104</v>
      </c>
      <c r="AC685" s="80" t="str">
        <f t="shared" si="118"/>
        <v>LCOX0</v>
      </c>
      <c r="AD685" s="80" t="str">
        <f t="shared" si="120"/>
        <v>CLX0</v>
      </c>
      <c r="AE685" s="80" t="str">
        <f t="shared" si="121"/>
        <v>LCOZ0</v>
      </c>
      <c r="AF685" s="80" t="str">
        <f t="shared" si="122"/>
        <v>CLZ0</v>
      </c>
      <c r="AG685" s="80" t="str">
        <f t="shared" si="123"/>
        <v>LCOF1</v>
      </c>
      <c r="AH685" s="80" t="str">
        <f t="shared" si="124"/>
        <v>LCOG1</v>
      </c>
    </row>
    <row r="686" spans="25:34" x14ac:dyDescent="0.35">
      <c r="Y686" s="74">
        <f t="shared" si="125"/>
        <v>44089</v>
      </c>
      <c r="Z686" s="74">
        <f t="shared" ca="1" si="116"/>
        <v>44096</v>
      </c>
      <c r="AA686" s="80" t="str">
        <f t="shared" ca="1" si="117"/>
        <v>CLV0</v>
      </c>
      <c r="AB686" s="74">
        <f t="shared" si="119"/>
        <v>44104</v>
      </c>
      <c r="AC686" s="80" t="str">
        <f t="shared" si="118"/>
        <v>LCOX0</v>
      </c>
      <c r="AD686" s="80" t="str">
        <f t="shared" si="120"/>
        <v>CLX0</v>
      </c>
      <c r="AE686" s="80" t="str">
        <f t="shared" si="121"/>
        <v>LCOZ0</v>
      </c>
      <c r="AF686" s="80" t="str">
        <f t="shared" si="122"/>
        <v>CLZ0</v>
      </c>
      <c r="AG686" s="80" t="str">
        <f t="shared" si="123"/>
        <v>LCOF1</v>
      </c>
      <c r="AH686" s="80" t="str">
        <f t="shared" si="124"/>
        <v>LCOG1</v>
      </c>
    </row>
    <row r="687" spans="25:34" x14ac:dyDescent="0.35">
      <c r="Y687" s="74">
        <f t="shared" si="125"/>
        <v>44090</v>
      </c>
      <c r="Z687" s="74">
        <f t="shared" ca="1" si="116"/>
        <v>44096</v>
      </c>
      <c r="AA687" s="80" t="str">
        <f t="shared" ca="1" si="117"/>
        <v>CLV0</v>
      </c>
      <c r="AB687" s="74">
        <f t="shared" si="119"/>
        <v>44104</v>
      </c>
      <c r="AC687" s="80" t="str">
        <f t="shared" si="118"/>
        <v>LCOX0</v>
      </c>
      <c r="AD687" s="80" t="str">
        <f t="shared" si="120"/>
        <v>CLX0</v>
      </c>
      <c r="AE687" s="80" t="str">
        <f t="shared" si="121"/>
        <v>LCOZ0</v>
      </c>
      <c r="AF687" s="80" t="str">
        <f t="shared" si="122"/>
        <v>CLZ0</v>
      </c>
      <c r="AG687" s="80" t="str">
        <f t="shared" si="123"/>
        <v>LCOF1</v>
      </c>
      <c r="AH687" s="80" t="str">
        <f t="shared" si="124"/>
        <v>LCOG1</v>
      </c>
    </row>
    <row r="688" spans="25:34" x14ac:dyDescent="0.35">
      <c r="Y688" s="74">
        <f t="shared" si="125"/>
        <v>44091</v>
      </c>
      <c r="Z688" s="74">
        <f t="shared" ca="1" si="116"/>
        <v>44096</v>
      </c>
      <c r="AA688" s="80" t="str">
        <f t="shared" ca="1" si="117"/>
        <v>CLV0</v>
      </c>
      <c r="AB688" s="74">
        <f t="shared" si="119"/>
        <v>44104</v>
      </c>
      <c r="AC688" s="80" t="str">
        <f t="shared" si="118"/>
        <v>LCOX0</v>
      </c>
      <c r="AD688" s="80" t="str">
        <f t="shared" si="120"/>
        <v>CLX0</v>
      </c>
      <c r="AE688" s="80" t="str">
        <f t="shared" si="121"/>
        <v>LCOZ0</v>
      </c>
      <c r="AF688" s="80" t="str">
        <f t="shared" si="122"/>
        <v>CLZ0</v>
      </c>
      <c r="AG688" s="80" t="str">
        <f t="shared" si="123"/>
        <v>LCOF1</v>
      </c>
      <c r="AH688" s="80" t="str">
        <f t="shared" si="124"/>
        <v>LCOG1</v>
      </c>
    </row>
    <row r="689" spans="25:34" x14ac:dyDescent="0.35">
      <c r="Y689" s="74">
        <f t="shared" si="125"/>
        <v>44092</v>
      </c>
      <c r="Z689" s="74">
        <f t="shared" ca="1" si="116"/>
        <v>44096</v>
      </c>
      <c r="AA689" s="80" t="str">
        <f t="shared" ca="1" si="117"/>
        <v>CLV0</v>
      </c>
      <c r="AB689" s="74">
        <f t="shared" si="119"/>
        <v>44104</v>
      </c>
      <c r="AC689" s="80" t="str">
        <f t="shared" si="118"/>
        <v>LCOX0</v>
      </c>
      <c r="AD689" s="80" t="str">
        <f t="shared" si="120"/>
        <v>CLX0</v>
      </c>
      <c r="AE689" s="80" t="str">
        <f t="shared" si="121"/>
        <v>LCOZ0</v>
      </c>
      <c r="AF689" s="80" t="str">
        <f t="shared" si="122"/>
        <v>CLZ0</v>
      </c>
      <c r="AG689" s="80" t="str">
        <f t="shared" si="123"/>
        <v>LCOF1</v>
      </c>
      <c r="AH689" s="80" t="str">
        <f t="shared" si="124"/>
        <v>LCOG1</v>
      </c>
    </row>
    <row r="690" spans="25:34" x14ac:dyDescent="0.35">
      <c r="Y690" s="74">
        <f t="shared" si="125"/>
        <v>44093</v>
      </c>
      <c r="Z690" s="74">
        <f t="shared" ca="1" si="116"/>
        <v>44096</v>
      </c>
      <c r="AA690" s="80" t="str">
        <f t="shared" ca="1" si="117"/>
        <v>CLV0</v>
      </c>
      <c r="AB690" s="74">
        <f t="shared" si="119"/>
        <v>44104</v>
      </c>
      <c r="AC690" s="80" t="str">
        <f t="shared" si="118"/>
        <v>LCOX0</v>
      </c>
      <c r="AD690" s="80" t="str">
        <f t="shared" si="120"/>
        <v>CLX0</v>
      </c>
      <c r="AE690" s="80" t="str">
        <f t="shared" si="121"/>
        <v>LCOZ0</v>
      </c>
      <c r="AF690" s="80" t="str">
        <f t="shared" si="122"/>
        <v>CLZ0</v>
      </c>
      <c r="AG690" s="80" t="str">
        <f t="shared" si="123"/>
        <v>LCOF1</v>
      </c>
      <c r="AH690" s="80" t="str">
        <f t="shared" si="124"/>
        <v>LCOG1</v>
      </c>
    </row>
    <row r="691" spans="25:34" x14ac:dyDescent="0.35">
      <c r="Y691" s="74">
        <f t="shared" si="125"/>
        <v>44094</v>
      </c>
      <c r="Z691" s="74">
        <f t="shared" ca="1" si="116"/>
        <v>44096</v>
      </c>
      <c r="AA691" s="80" t="str">
        <f t="shared" ca="1" si="117"/>
        <v>CLV0</v>
      </c>
      <c r="AB691" s="74">
        <f t="shared" si="119"/>
        <v>44104</v>
      </c>
      <c r="AC691" s="80" t="str">
        <f t="shared" si="118"/>
        <v>LCOX0</v>
      </c>
      <c r="AD691" s="80" t="str">
        <f t="shared" si="120"/>
        <v>CLX0</v>
      </c>
      <c r="AE691" s="80" t="str">
        <f t="shared" si="121"/>
        <v>LCOZ0</v>
      </c>
      <c r="AF691" s="80" t="str">
        <f t="shared" si="122"/>
        <v>CLZ0</v>
      </c>
      <c r="AG691" s="80" t="str">
        <f t="shared" si="123"/>
        <v>LCOF1</v>
      </c>
      <c r="AH691" s="80" t="str">
        <f t="shared" si="124"/>
        <v>LCOG1</v>
      </c>
    </row>
    <row r="692" spans="25:34" x14ac:dyDescent="0.35">
      <c r="Y692" s="74">
        <f t="shared" si="125"/>
        <v>44095</v>
      </c>
      <c r="Z692" s="74">
        <f t="shared" ca="1" si="116"/>
        <v>44096</v>
      </c>
      <c r="AA692" s="80" t="str">
        <f t="shared" ca="1" si="117"/>
        <v>CLV0</v>
      </c>
      <c r="AB692" s="74">
        <f t="shared" si="119"/>
        <v>44104</v>
      </c>
      <c r="AC692" s="80" t="str">
        <f t="shared" si="118"/>
        <v>LCOX0</v>
      </c>
      <c r="AD692" s="80" t="str">
        <f t="shared" si="120"/>
        <v>CLX0</v>
      </c>
      <c r="AE692" s="80" t="str">
        <f t="shared" si="121"/>
        <v>LCOZ0</v>
      </c>
      <c r="AF692" s="80" t="str">
        <f t="shared" si="122"/>
        <v>CLZ0</v>
      </c>
      <c r="AG692" s="80" t="str">
        <f t="shared" si="123"/>
        <v>LCOF1</v>
      </c>
      <c r="AH692" s="80" t="str">
        <f t="shared" si="124"/>
        <v>LCOG1</v>
      </c>
    </row>
    <row r="693" spans="25:34" x14ac:dyDescent="0.35">
      <c r="Y693" s="74">
        <f t="shared" si="125"/>
        <v>44096</v>
      </c>
      <c r="Z693" s="74">
        <f t="shared" ca="1" si="116"/>
        <v>44096</v>
      </c>
      <c r="AA693" s="80" t="str">
        <f t="shared" ca="1" si="117"/>
        <v>CLV0</v>
      </c>
      <c r="AB693" s="74">
        <f t="shared" si="119"/>
        <v>44104</v>
      </c>
      <c r="AC693" s="80" t="str">
        <f t="shared" si="118"/>
        <v>LCOX0</v>
      </c>
      <c r="AD693" s="80" t="str">
        <f t="shared" si="120"/>
        <v>CLX0</v>
      </c>
      <c r="AE693" s="80" t="str">
        <f t="shared" si="121"/>
        <v>LCOZ0</v>
      </c>
      <c r="AF693" s="80" t="str">
        <f t="shared" si="122"/>
        <v>CLZ0</v>
      </c>
      <c r="AG693" s="80" t="str">
        <f t="shared" si="123"/>
        <v>LCOF1</v>
      </c>
      <c r="AH693" s="80" t="str">
        <f t="shared" si="124"/>
        <v>LCOG1</v>
      </c>
    </row>
    <row r="694" spans="25:34" x14ac:dyDescent="0.35">
      <c r="Y694" s="74">
        <f t="shared" si="125"/>
        <v>44097</v>
      </c>
      <c r="Z694" s="74">
        <f t="shared" ca="1" si="116"/>
        <v>44124</v>
      </c>
      <c r="AA694" s="80" t="str">
        <f t="shared" ca="1" si="117"/>
        <v>CLX0</v>
      </c>
      <c r="AB694" s="74">
        <f t="shared" si="119"/>
        <v>44104</v>
      </c>
      <c r="AC694" s="80" t="str">
        <f t="shared" si="118"/>
        <v>LCOX0</v>
      </c>
      <c r="AD694" s="80" t="str">
        <f t="shared" si="120"/>
        <v>CLX0</v>
      </c>
      <c r="AE694" s="80" t="str">
        <f t="shared" si="121"/>
        <v>LCOZ0</v>
      </c>
      <c r="AF694" s="80" t="str">
        <f t="shared" si="122"/>
        <v>CLZ0</v>
      </c>
      <c r="AG694" s="80" t="str">
        <f t="shared" si="123"/>
        <v>LCOF1</v>
      </c>
      <c r="AH694" s="80" t="str">
        <f t="shared" si="124"/>
        <v>LCOG1</v>
      </c>
    </row>
    <row r="695" spans="25:34" x14ac:dyDescent="0.35">
      <c r="Y695" s="74">
        <f t="shared" si="125"/>
        <v>44098</v>
      </c>
      <c r="Z695" s="74">
        <f t="shared" ca="1" si="116"/>
        <v>44124</v>
      </c>
      <c r="AA695" s="80" t="str">
        <f t="shared" ca="1" si="117"/>
        <v>CLX0</v>
      </c>
      <c r="AB695" s="74">
        <f t="shared" si="119"/>
        <v>44104</v>
      </c>
      <c r="AC695" s="80" t="str">
        <f t="shared" si="118"/>
        <v>LCOX0</v>
      </c>
      <c r="AD695" s="80" t="str">
        <f t="shared" si="120"/>
        <v>CLX0</v>
      </c>
      <c r="AE695" s="80" t="str">
        <f t="shared" si="121"/>
        <v>LCOZ0</v>
      </c>
      <c r="AF695" s="80" t="str">
        <f t="shared" si="122"/>
        <v>CLZ0</v>
      </c>
      <c r="AG695" s="80" t="str">
        <f t="shared" si="123"/>
        <v>LCOF1</v>
      </c>
      <c r="AH695" s="80" t="str">
        <f t="shared" si="124"/>
        <v>LCOG1</v>
      </c>
    </row>
    <row r="696" spans="25:34" x14ac:dyDescent="0.35">
      <c r="Y696" s="74">
        <f t="shared" si="125"/>
        <v>44099</v>
      </c>
      <c r="Z696" s="74">
        <f t="shared" ca="1" si="116"/>
        <v>44124</v>
      </c>
      <c r="AA696" s="80" t="str">
        <f t="shared" ca="1" si="117"/>
        <v>CLX0</v>
      </c>
      <c r="AB696" s="74">
        <f t="shared" si="119"/>
        <v>44104</v>
      </c>
      <c r="AC696" s="80" t="str">
        <f t="shared" si="118"/>
        <v>LCOX0</v>
      </c>
      <c r="AD696" s="80" t="str">
        <f t="shared" si="120"/>
        <v>CLX0</v>
      </c>
      <c r="AE696" s="80" t="str">
        <f t="shared" si="121"/>
        <v>LCOZ0</v>
      </c>
      <c r="AF696" s="80" t="str">
        <f t="shared" si="122"/>
        <v>CLZ0</v>
      </c>
      <c r="AG696" s="80" t="str">
        <f t="shared" si="123"/>
        <v>LCOF1</v>
      </c>
      <c r="AH696" s="80" t="str">
        <f t="shared" si="124"/>
        <v>LCOG1</v>
      </c>
    </row>
    <row r="697" spans="25:34" x14ac:dyDescent="0.35">
      <c r="Y697" s="74">
        <f t="shared" si="125"/>
        <v>44100</v>
      </c>
      <c r="Z697" s="74">
        <f t="shared" ca="1" si="116"/>
        <v>44124</v>
      </c>
      <c r="AA697" s="80" t="str">
        <f t="shared" ca="1" si="117"/>
        <v>CLX0</v>
      </c>
      <c r="AB697" s="74">
        <f t="shared" si="119"/>
        <v>44104</v>
      </c>
      <c r="AC697" s="80" t="str">
        <f t="shared" si="118"/>
        <v>LCOX0</v>
      </c>
      <c r="AD697" s="80" t="str">
        <f t="shared" si="120"/>
        <v>CLX0</v>
      </c>
      <c r="AE697" s="80" t="str">
        <f t="shared" si="121"/>
        <v>LCOZ0</v>
      </c>
      <c r="AF697" s="80" t="str">
        <f t="shared" si="122"/>
        <v>CLZ0</v>
      </c>
      <c r="AG697" s="80" t="str">
        <f t="shared" si="123"/>
        <v>LCOF1</v>
      </c>
      <c r="AH697" s="80" t="str">
        <f t="shared" si="124"/>
        <v>LCOG1</v>
      </c>
    </row>
    <row r="698" spans="25:34" x14ac:dyDescent="0.35">
      <c r="Y698" s="74">
        <f t="shared" si="125"/>
        <v>44101</v>
      </c>
      <c r="Z698" s="74">
        <f t="shared" ca="1" si="116"/>
        <v>44124</v>
      </c>
      <c r="AA698" s="80" t="str">
        <f t="shared" ca="1" si="117"/>
        <v>CLX0</v>
      </c>
      <c r="AB698" s="74">
        <f t="shared" si="119"/>
        <v>44104</v>
      </c>
      <c r="AC698" s="80" t="str">
        <f t="shared" si="118"/>
        <v>LCOX0</v>
      </c>
      <c r="AD698" s="80" t="str">
        <f t="shared" si="120"/>
        <v>CLX0</v>
      </c>
      <c r="AE698" s="80" t="str">
        <f t="shared" si="121"/>
        <v>LCOZ0</v>
      </c>
      <c r="AF698" s="80" t="str">
        <f t="shared" si="122"/>
        <v>CLZ0</v>
      </c>
      <c r="AG698" s="80" t="str">
        <f t="shared" si="123"/>
        <v>LCOF1</v>
      </c>
      <c r="AH698" s="80" t="str">
        <f t="shared" si="124"/>
        <v>LCOG1</v>
      </c>
    </row>
    <row r="699" spans="25:34" x14ac:dyDescent="0.35">
      <c r="Y699" s="74">
        <f t="shared" si="125"/>
        <v>44102</v>
      </c>
      <c r="Z699" s="74">
        <f t="shared" ca="1" si="116"/>
        <v>44124</v>
      </c>
      <c r="AA699" s="80" t="str">
        <f t="shared" ca="1" si="117"/>
        <v>CLX0</v>
      </c>
      <c r="AB699" s="74">
        <f t="shared" si="119"/>
        <v>44104</v>
      </c>
      <c r="AC699" s="80" t="str">
        <f t="shared" si="118"/>
        <v>LCOX0</v>
      </c>
      <c r="AD699" s="80" t="str">
        <f t="shared" si="120"/>
        <v>CLX0</v>
      </c>
      <c r="AE699" s="80" t="str">
        <f t="shared" si="121"/>
        <v>LCOZ0</v>
      </c>
      <c r="AF699" s="80" t="str">
        <f t="shared" si="122"/>
        <v>CLZ0</v>
      </c>
      <c r="AG699" s="80" t="str">
        <f t="shared" si="123"/>
        <v>LCOF1</v>
      </c>
      <c r="AH699" s="80" t="str">
        <f t="shared" si="124"/>
        <v>LCOG1</v>
      </c>
    </row>
    <row r="700" spans="25:34" x14ac:dyDescent="0.35">
      <c r="Y700" s="74">
        <f t="shared" si="125"/>
        <v>44103</v>
      </c>
      <c r="Z700" s="74">
        <f t="shared" ca="1" si="116"/>
        <v>44124</v>
      </c>
      <c r="AA700" s="80" t="str">
        <f t="shared" ca="1" si="117"/>
        <v>CLX0</v>
      </c>
      <c r="AB700" s="74">
        <f t="shared" si="119"/>
        <v>44104</v>
      </c>
      <c r="AC700" s="80" t="str">
        <f t="shared" si="118"/>
        <v>LCOX0</v>
      </c>
      <c r="AD700" s="80" t="str">
        <f t="shared" si="120"/>
        <v>CLX0</v>
      </c>
      <c r="AE700" s="80" t="str">
        <f t="shared" si="121"/>
        <v>LCOZ0</v>
      </c>
      <c r="AF700" s="80" t="str">
        <f t="shared" si="122"/>
        <v>CLZ0</v>
      </c>
      <c r="AG700" s="80" t="str">
        <f t="shared" si="123"/>
        <v>LCOF1</v>
      </c>
      <c r="AH700" s="80" t="str">
        <f t="shared" si="124"/>
        <v>LCOG1</v>
      </c>
    </row>
    <row r="701" spans="25:34" x14ac:dyDescent="0.35">
      <c r="Y701" s="74">
        <f t="shared" si="125"/>
        <v>44104</v>
      </c>
      <c r="Z701" s="74">
        <f t="shared" ca="1" si="116"/>
        <v>44124</v>
      </c>
      <c r="AA701" s="80" t="str">
        <f t="shared" ca="1" si="117"/>
        <v>CLX0</v>
      </c>
      <c r="AB701" s="74">
        <f t="shared" si="119"/>
        <v>44104</v>
      </c>
      <c r="AC701" s="80" t="str">
        <f t="shared" si="118"/>
        <v>LCOX0</v>
      </c>
      <c r="AD701" s="80" t="str">
        <f t="shared" si="120"/>
        <v>CLX0</v>
      </c>
      <c r="AE701" s="80" t="str">
        <f t="shared" si="121"/>
        <v>LCOZ0</v>
      </c>
      <c r="AF701" s="80" t="str">
        <f t="shared" si="122"/>
        <v>CLZ0</v>
      </c>
      <c r="AG701" s="80" t="str">
        <f t="shared" si="123"/>
        <v>LCOF1</v>
      </c>
      <c r="AH701" s="80" t="str">
        <f t="shared" si="124"/>
        <v>LCOG1</v>
      </c>
    </row>
    <row r="702" spans="25:34" x14ac:dyDescent="0.35">
      <c r="Y702" s="74">
        <f t="shared" si="125"/>
        <v>44105</v>
      </c>
      <c r="Z702" s="74">
        <f t="shared" ca="1" si="116"/>
        <v>44124</v>
      </c>
      <c r="AA702" s="80" t="str">
        <f t="shared" ca="1" si="117"/>
        <v>CLX0</v>
      </c>
      <c r="AB702" s="74">
        <f t="shared" si="119"/>
        <v>44134</v>
      </c>
      <c r="AC702" s="80" t="str">
        <f t="shared" si="118"/>
        <v>LCOZ0</v>
      </c>
      <c r="AD702" s="80" t="str">
        <f t="shared" si="120"/>
        <v>CLZ0</v>
      </c>
      <c r="AE702" s="80" t="str">
        <f t="shared" si="121"/>
        <v>LCOF1</v>
      </c>
      <c r="AF702" s="80" t="str">
        <f t="shared" si="122"/>
        <v>CLF1</v>
      </c>
      <c r="AG702" s="80" t="str">
        <f t="shared" si="123"/>
        <v>LCOG1</v>
      </c>
      <c r="AH702" s="80" t="str">
        <f t="shared" si="124"/>
        <v>LCOH1</v>
      </c>
    </row>
    <row r="703" spans="25:34" x14ac:dyDescent="0.35">
      <c r="Y703" s="74">
        <f t="shared" si="125"/>
        <v>44106</v>
      </c>
      <c r="Z703" s="74">
        <f t="shared" ca="1" si="116"/>
        <v>44124</v>
      </c>
      <c r="AA703" s="80" t="str">
        <f t="shared" ca="1" si="117"/>
        <v>CLX0</v>
      </c>
      <c r="AB703" s="74">
        <f t="shared" si="119"/>
        <v>44134</v>
      </c>
      <c r="AC703" s="80" t="str">
        <f t="shared" si="118"/>
        <v>LCOZ0</v>
      </c>
      <c r="AD703" s="80" t="str">
        <f t="shared" si="120"/>
        <v>CLZ0</v>
      </c>
      <c r="AE703" s="80" t="str">
        <f t="shared" si="121"/>
        <v>LCOF1</v>
      </c>
      <c r="AF703" s="80" t="str">
        <f t="shared" si="122"/>
        <v>CLF1</v>
      </c>
      <c r="AG703" s="80" t="str">
        <f t="shared" si="123"/>
        <v>LCOG1</v>
      </c>
      <c r="AH703" s="80" t="str">
        <f t="shared" si="124"/>
        <v>LCOH1</v>
      </c>
    </row>
    <row r="704" spans="25:34" x14ac:dyDescent="0.35">
      <c r="Y704" s="74">
        <f t="shared" si="125"/>
        <v>44107</v>
      </c>
      <c r="Z704" s="74">
        <f t="shared" ca="1" si="116"/>
        <v>44124</v>
      </c>
      <c r="AA704" s="80" t="str">
        <f t="shared" ca="1" si="117"/>
        <v>CLX0</v>
      </c>
      <c r="AB704" s="74">
        <f t="shared" si="119"/>
        <v>44134</v>
      </c>
      <c r="AC704" s="80" t="str">
        <f t="shared" si="118"/>
        <v>LCOZ0</v>
      </c>
      <c r="AD704" s="80" t="str">
        <f t="shared" si="120"/>
        <v>CLZ0</v>
      </c>
      <c r="AE704" s="80" t="str">
        <f t="shared" si="121"/>
        <v>LCOF1</v>
      </c>
      <c r="AF704" s="80" t="str">
        <f t="shared" si="122"/>
        <v>CLF1</v>
      </c>
      <c r="AG704" s="80" t="str">
        <f t="shared" si="123"/>
        <v>LCOG1</v>
      </c>
      <c r="AH704" s="80" t="str">
        <f t="shared" si="124"/>
        <v>LCOH1</v>
      </c>
    </row>
    <row r="705" spans="25:34" x14ac:dyDescent="0.35">
      <c r="Y705" s="74">
        <f t="shared" si="125"/>
        <v>44108</v>
      </c>
      <c r="Z705" s="74">
        <f t="shared" ca="1" si="116"/>
        <v>44124</v>
      </c>
      <c r="AA705" s="80" t="str">
        <f t="shared" ca="1" si="117"/>
        <v>CLX0</v>
      </c>
      <c r="AB705" s="74">
        <f t="shared" si="119"/>
        <v>44134</v>
      </c>
      <c r="AC705" s="80" t="str">
        <f t="shared" si="118"/>
        <v>LCOZ0</v>
      </c>
      <c r="AD705" s="80" t="str">
        <f t="shared" si="120"/>
        <v>CLZ0</v>
      </c>
      <c r="AE705" s="80" t="str">
        <f t="shared" si="121"/>
        <v>LCOF1</v>
      </c>
      <c r="AF705" s="80" t="str">
        <f t="shared" si="122"/>
        <v>CLF1</v>
      </c>
      <c r="AG705" s="80" t="str">
        <f t="shared" si="123"/>
        <v>LCOG1</v>
      </c>
      <c r="AH705" s="80" t="str">
        <f t="shared" si="124"/>
        <v>LCOH1</v>
      </c>
    </row>
    <row r="706" spans="25:34" x14ac:dyDescent="0.35">
      <c r="Y706" s="74">
        <f t="shared" si="125"/>
        <v>44109</v>
      </c>
      <c r="Z706" s="74">
        <f t="shared" ref="Z706:Z769" ca="1" si="126">VLOOKUP(AA706,$I$2:$K$39,3,FALSE)</f>
        <v>44124</v>
      </c>
      <c r="AA706" s="80" t="str">
        <f t="shared" ref="AA706:AA769" ca="1" si="127">LOOKUP(2,1/($J$2:$J$700&lt;=$Y706)/($K$2:$K$700&gt;=$Y706),$L$2:$L$700)</f>
        <v>CLX0</v>
      </c>
      <c r="AB706" s="74">
        <f t="shared" si="119"/>
        <v>44134</v>
      </c>
      <c r="AC706" s="80" t="str">
        <f t="shared" ref="AC706:AC769" si="128">LOOKUP(2,1/($R$2:$R$700&lt;=$Y706)/($S$2:$S$700&gt;=$Y706),$T$2:$T$700)</f>
        <v>LCOZ0</v>
      </c>
      <c r="AD706" s="80" t="str">
        <f t="shared" si="120"/>
        <v>CLZ0</v>
      </c>
      <c r="AE706" s="80" t="str">
        <f t="shared" si="121"/>
        <v>LCOF1</v>
      </c>
      <c r="AF706" s="80" t="str">
        <f t="shared" si="122"/>
        <v>CLF1</v>
      </c>
      <c r="AG706" s="80" t="str">
        <f t="shared" si="123"/>
        <v>LCOG1</v>
      </c>
      <c r="AH706" s="80" t="str">
        <f t="shared" si="124"/>
        <v>LCOH1</v>
      </c>
    </row>
    <row r="707" spans="25:34" x14ac:dyDescent="0.35">
      <c r="Y707" s="74">
        <f t="shared" si="125"/>
        <v>44110</v>
      </c>
      <c r="Z707" s="74">
        <f t="shared" ca="1" si="126"/>
        <v>44124</v>
      </c>
      <c r="AA707" s="80" t="str">
        <f t="shared" ca="1" si="127"/>
        <v>CLX0</v>
      </c>
      <c r="AB707" s="74">
        <f t="shared" ref="AB707:AB770" si="129">VLOOKUP(AC707,$Q$2:$S$39,3,FALSE)</f>
        <v>44134</v>
      </c>
      <c r="AC707" s="80" t="str">
        <f t="shared" si="128"/>
        <v>LCOZ0</v>
      </c>
      <c r="AD707" s="80" t="str">
        <f t="shared" ref="AD707:AD770" si="130">CONCATENATE("CL",RIGHT(AC707,2))</f>
        <v>CLZ0</v>
      </c>
      <c r="AE707" s="80" t="str">
        <f t="shared" ref="AE707:AE770" si="131">LOOKUP(2,1/($R$2:$R$700&lt;=$Y707)/($S$2:$S$700&gt;=$Y707),$U$2:$U$700)</f>
        <v>LCOF1</v>
      </c>
      <c r="AF707" s="80" t="str">
        <f t="shared" ref="AF707:AF770" si="132">CONCATENATE("CL",RIGHT(AE707,2))</f>
        <v>CLF1</v>
      </c>
      <c r="AG707" s="80" t="str">
        <f t="shared" ref="AG707:AG770" si="133">LOOKUP(2,1/($R$2:$R$700&lt;=$Y707)/($S$2:$S$700&gt;=$Y707),$V$2:$V$700)</f>
        <v>LCOG1</v>
      </c>
      <c r="AH707" s="80" t="str">
        <f t="shared" ref="AH707:AH770" si="134">LOOKUP(2,1/($R$2:$R$700&lt;=$Y707)/($S$2:$S$700&gt;=$Y707),$W$2:$W$700)</f>
        <v>LCOH1</v>
      </c>
    </row>
    <row r="708" spans="25:34" x14ac:dyDescent="0.35">
      <c r="Y708" s="74">
        <f t="shared" si="125"/>
        <v>44111</v>
      </c>
      <c r="Z708" s="74">
        <f t="shared" ca="1" si="126"/>
        <v>44124</v>
      </c>
      <c r="AA708" s="80" t="str">
        <f t="shared" ca="1" si="127"/>
        <v>CLX0</v>
      </c>
      <c r="AB708" s="74">
        <f t="shared" si="129"/>
        <v>44134</v>
      </c>
      <c r="AC708" s="80" t="str">
        <f t="shared" si="128"/>
        <v>LCOZ0</v>
      </c>
      <c r="AD708" s="80" t="str">
        <f t="shared" si="130"/>
        <v>CLZ0</v>
      </c>
      <c r="AE708" s="80" t="str">
        <f t="shared" si="131"/>
        <v>LCOF1</v>
      </c>
      <c r="AF708" s="80" t="str">
        <f t="shared" si="132"/>
        <v>CLF1</v>
      </c>
      <c r="AG708" s="80" t="str">
        <f t="shared" si="133"/>
        <v>LCOG1</v>
      </c>
      <c r="AH708" s="80" t="str">
        <f t="shared" si="134"/>
        <v>LCOH1</v>
      </c>
    </row>
    <row r="709" spans="25:34" x14ac:dyDescent="0.35">
      <c r="Y709" s="74">
        <f t="shared" si="125"/>
        <v>44112</v>
      </c>
      <c r="Z709" s="74">
        <f t="shared" ca="1" si="126"/>
        <v>44124</v>
      </c>
      <c r="AA709" s="80" t="str">
        <f t="shared" ca="1" si="127"/>
        <v>CLX0</v>
      </c>
      <c r="AB709" s="74">
        <f t="shared" si="129"/>
        <v>44134</v>
      </c>
      <c r="AC709" s="80" t="str">
        <f t="shared" si="128"/>
        <v>LCOZ0</v>
      </c>
      <c r="AD709" s="80" t="str">
        <f t="shared" si="130"/>
        <v>CLZ0</v>
      </c>
      <c r="AE709" s="80" t="str">
        <f t="shared" si="131"/>
        <v>LCOF1</v>
      </c>
      <c r="AF709" s="80" t="str">
        <f t="shared" si="132"/>
        <v>CLF1</v>
      </c>
      <c r="AG709" s="80" t="str">
        <f t="shared" si="133"/>
        <v>LCOG1</v>
      </c>
      <c r="AH709" s="80" t="str">
        <f t="shared" si="134"/>
        <v>LCOH1</v>
      </c>
    </row>
    <row r="710" spans="25:34" x14ac:dyDescent="0.35">
      <c r="Y710" s="74">
        <f t="shared" si="125"/>
        <v>44113</v>
      </c>
      <c r="Z710" s="74">
        <f t="shared" ca="1" si="126"/>
        <v>44124</v>
      </c>
      <c r="AA710" s="80" t="str">
        <f t="shared" ca="1" si="127"/>
        <v>CLX0</v>
      </c>
      <c r="AB710" s="74">
        <f t="shared" si="129"/>
        <v>44134</v>
      </c>
      <c r="AC710" s="80" t="str">
        <f t="shared" si="128"/>
        <v>LCOZ0</v>
      </c>
      <c r="AD710" s="80" t="str">
        <f t="shared" si="130"/>
        <v>CLZ0</v>
      </c>
      <c r="AE710" s="80" t="str">
        <f t="shared" si="131"/>
        <v>LCOF1</v>
      </c>
      <c r="AF710" s="80" t="str">
        <f t="shared" si="132"/>
        <v>CLF1</v>
      </c>
      <c r="AG710" s="80" t="str">
        <f t="shared" si="133"/>
        <v>LCOG1</v>
      </c>
      <c r="AH710" s="80" t="str">
        <f t="shared" si="134"/>
        <v>LCOH1</v>
      </c>
    </row>
    <row r="711" spans="25:34" x14ac:dyDescent="0.35">
      <c r="Y711" s="74">
        <f t="shared" si="125"/>
        <v>44114</v>
      </c>
      <c r="Z711" s="74">
        <f t="shared" ca="1" si="126"/>
        <v>44124</v>
      </c>
      <c r="AA711" s="80" t="str">
        <f t="shared" ca="1" si="127"/>
        <v>CLX0</v>
      </c>
      <c r="AB711" s="74">
        <f t="shared" si="129"/>
        <v>44134</v>
      </c>
      <c r="AC711" s="80" t="str">
        <f t="shared" si="128"/>
        <v>LCOZ0</v>
      </c>
      <c r="AD711" s="80" t="str">
        <f t="shared" si="130"/>
        <v>CLZ0</v>
      </c>
      <c r="AE711" s="80" t="str">
        <f t="shared" si="131"/>
        <v>LCOF1</v>
      </c>
      <c r="AF711" s="80" t="str">
        <f t="shared" si="132"/>
        <v>CLF1</v>
      </c>
      <c r="AG711" s="80" t="str">
        <f t="shared" si="133"/>
        <v>LCOG1</v>
      </c>
      <c r="AH711" s="80" t="str">
        <f t="shared" si="134"/>
        <v>LCOH1</v>
      </c>
    </row>
    <row r="712" spans="25:34" x14ac:dyDescent="0.35">
      <c r="Y712" s="74">
        <f t="shared" si="125"/>
        <v>44115</v>
      </c>
      <c r="Z712" s="74">
        <f t="shared" ca="1" si="126"/>
        <v>44124</v>
      </c>
      <c r="AA712" s="80" t="str">
        <f t="shared" ca="1" si="127"/>
        <v>CLX0</v>
      </c>
      <c r="AB712" s="74">
        <f t="shared" si="129"/>
        <v>44134</v>
      </c>
      <c r="AC712" s="80" t="str">
        <f t="shared" si="128"/>
        <v>LCOZ0</v>
      </c>
      <c r="AD712" s="80" t="str">
        <f t="shared" si="130"/>
        <v>CLZ0</v>
      </c>
      <c r="AE712" s="80" t="str">
        <f t="shared" si="131"/>
        <v>LCOF1</v>
      </c>
      <c r="AF712" s="80" t="str">
        <f t="shared" si="132"/>
        <v>CLF1</v>
      </c>
      <c r="AG712" s="80" t="str">
        <f t="shared" si="133"/>
        <v>LCOG1</v>
      </c>
      <c r="AH712" s="80" t="str">
        <f t="shared" si="134"/>
        <v>LCOH1</v>
      </c>
    </row>
    <row r="713" spans="25:34" x14ac:dyDescent="0.35">
      <c r="Y713" s="74">
        <f t="shared" si="125"/>
        <v>44116</v>
      </c>
      <c r="Z713" s="74">
        <f t="shared" ca="1" si="126"/>
        <v>44124</v>
      </c>
      <c r="AA713" s="80" t="str">
        <f t="shared" ca="1" si="127"/>
        <v>CLX0</v>
      </c>
      <c r="AB713" s="74">
        <f t="shared" si="129"/>
        <v>44134</v>
      </c>
      <c r="AC713" s="80" t="str">
        <f t="shared" si="128"/>
        <v>LCOZ0</v>
      </c>
      <c r="AD713" s="80" t="str">
        <f t="shared" si="130"/>
        <v>CLZ0</v>
      </c>
      <c r="AE713" s="80" t="str">
        <f t="shared" si="131"/>
        <v>LCOF1</v>
      </c>
      <c r="AF713" s="80" t="str">
        <f t="shared" si="132"/>
        <v>CLF1</v>
      </c>
      <c r="AG713" s="80" t="str">
        <f t="shared" si="133"/>
        <v>LCOG1</v>
      </c>
      <c r="AH713" s="80" t="str">
        <f t="shared" si="134"/>
        <v>LCOH1</v>
      </c>
    </row>
    <row r="714" spans="25:34" x14ac:dyDescent="0.35">
      <c r="Y714" s="74">
        <f t="shared" si="125"/>
        <v>44117</v>
      </c>
      <c r="Z714" s="74">
        <f t="shared" ca="1" si="126"/>
        <v>44124</v>
      </c>
      <c r="AA714" s="80" t="str">
        <f t="shared" ca="1" si="127"/>
        <v>CLX0</v>
      </c>
      <c r="AB714" s="74">
        <f t="shared" si="129"/>
        <v>44134</v>
      </c>
      <c r="AC714" s="80" t="str">
        <f t="shared" si="128"/>
        <v>LCOZ0</v>
      </c>
      <c r="AD714" s="80" t="str">
        <f t="shared" si="130"/>
        <v>CLZ0</v>
      </c>
      <c r="AE714" s="80" t="str">
        <f t="shared" si="131"/>
        <v>LCOF1</v>
      </c>
      <c r="AF714" s="80" t="str">
        <f t="shared" si="132"/>
        <v>CLF1</v>
      </c>
      <c r="AG714" s="80" t="str">
        <f t="shared" si="133"/>
        <v>LCOG1</v>
      </c>
      <c r="AH714" s="80" t="str">
        <f t="shared" si="134"/>
        <v>LCOH1</v>
      </c>
    </row>
    <row r="715" spans="25:34" x14ac:dyDescent="0.35">
      <c r="Y715" s="74">
        <f t="shared" si="125"/>
        <v>44118</v>
      </c>
      <c r="Z715" s="74">
        <f t="shared" ca="1" si="126"/>
        <v>44124</v>
      </c>
      <c r="AA715" s="80" t="str">
        <f t="shared" ca="1" si="127"/>
        <v>CLX0</v>
      </c>
      <c r="AB715" s="74">
        <f t="shared" si="129"/>
        <v>44134</v>
      </c>
      <c r="AC715" s="80" t="str">
        <f t="shared" si="128"/>
        <v>LCOZ0</v>
      </c>
      <c r="AD715" s="80" t="str">
        <f t="shared" si="130"/>
        <v>CLZ0</v>
      </c>
      <c r="AE715" s="80" t="str">
        <f t="shared" si="131"/>
        <v>LCOF1</v>
      </c>
      <c r="AF715" s="80" t="str">
        <f t="shared" si="132"/>
        <v>CLF1</v>
      </c>
      <c r="AG715" s="80" t="str">
        <f t="shared" si="133"/>
        <v>LCOG1</v>
      </c>
      <c r="AH715" s="80" t="str">
        <f t="shared" si="134"/>
        <v>LCOH1</v>
      </c>
    </row>
    <row r="716" spans="25:34" x14ac:dyDescent="0.35">
      <c r="Y716" s="74">
        <f t="shared" si="125"/>
        <v>44119</v>
      </c>
      <c r="Z716" s="74">
        <f t="shared" ca="1" si="126"/>
        <v>44124</v>
      </c>
      <c r="AA716" s="80" t="str">
        <f t="shared" ca="1" si="127"/>
        <v>CLX0</v>
      </c>
      <c r="AB716" s="74">
        <f t="shared" si="129"/>
        <v>44134</v>
      </c>
      <c r="AC716" s="80" t="str">
        <f t="shared" si="128"/>
        <v>LCOZ0</v>
      </c>
      <c r="AD716" s="80" t="str">
        <f t="shared" si="130"/>
        <v>CLZ0</v>
      </c>
      <c r="AE716" s="80" t="str">
        <f t="shared" si="131"/>
        <v>LCOF1</v>
      </c>
      <c r="AF716" s="80" t="str">
        <f t="shared" si="132"/>
        <v>CLF1</v>
      </c>
      <c r="AG716" s="80" t="str">
        <f t="shared" si="133"/>
        <v>LCOG1</v>
      </c>
      <c r="AH716" s="80" t="str">
        <f t="shared" si="134"/>
        <v>LCOH1</v>
      </c>
    </row>
    <row r="717" spans="25:34" x14ac:dyDescent="0.35">
      <c r="Y717" s="74">
        <f t="shared" si="125"/>
        <v>44120</v>
      </c>
      <c r="Z717" s="74">
        <f t="shared" ca="1" si="126"/>
        <v>44124</v>
      </c>
      <c r="AA717" s="80" t="str">
        <f t="shared" ca="1" si="127"/>
        <v>CLX0</v>
      </c>
      <c r="AB717" s="74">
        <f t="shared" si="129"/>
        <v>44134</v>
      </c>
      <c r="AC717" s="80" t="str">
        <f t="shared" si="128"/>
        <v>LCOZ0</v>
      </c>
      <c r="AD717" s="80" t="str">
        <f t="shared" si="130"/>
        <v>CLZ0</v>
      </c>
      <c r="AE717" s="80" t="str">
        <f t="shared" si="131"/>
        <v>LCOF1</v>
      </c>
      <c r="AF717" s="80" t="str">
        <f t="shared" si="132"/>
        <v>CLF1</v>
      </c>
      <c r="AG717" s="80" t="str">
        <f t="shared" si="133"/>
        <v>LCOG1</v>
      </c>
      <c r="AH717" s="80" t="str">
        <f t="shared" si="134"/>
        <v>LCOH1</v>
      </c>
    </row>
    <row r="718" spans="25:34" x14ac:dyDescent="0.35">
      <c r="Y718" s="74">
        <f t="shared" si="125"/>
        <v>44121</v>
      </c>
      <c r="Z718" s="74">
        <f t="shared" ca="1" si="126"/>
        <v>44124</v>
      </c>
      <c r="AA718" s="80" t="str">
        <f t="shared" ca="1" si="127"/>
        <v>CLX0</v>
      </c>
      <c r="AB718" s="74">
        <f t="shared" si="129"/>
        <v>44134</v>
      </c>
      <c r="AC718" s="80" t="str">
        <f t="shared" si="128"/>
        <v>LCOZ0</v>
      </c>
      <c r="AD718" s="80" t="str">
        <f t="shared" si="130"/>
        <v>CLZ0</v>
      </c>
      <c r="AE718" s="80" t="str">
        <f t="shared" si="131"/>
        <v>LCOF1</v>
      </c>
      <c r="AF718" s="80" t="str">
        <f t="shared" si="132"/>
        <v>CLF1</v>
      </c>
      <c r="AG718" s="80" t="str">
        <f t="shared" si="133"/>
        <v>LCOG1</v>
      </c>
      <c r="AH718" s="80" t="str">
        <f t="shared" si="134"/>
        <v>LCOH1</v>
      </c>
    </row>
    <row r="719" spans="25:34" x14ac:dyDescent="0.35">
      <c r="Y719" s="74">
        <f t="shared" si="125"/>
        <v>44122</v>
      </c>
      <c r="Z719" s="74">
        <f t="shared" ca="1" si="126"/>
        <v>44124</v>
      </c>
      <c r="AA719" s="80" t="str">
        <f t="shared" ca="1" si="127"/>
        <v>CLX0</v>
      </c>
      <c r="AB719" s="74">
        <f t="shared" si="129"/>
        <v>44134</v>
      </c>
      <c r="AC719" s="80" t="str">
        <f t="shared" si="128"/>
        <v>LCOZ0</v>
      </c>
      <c r="AD719" s="80" t="str">
        <f t="shared" si="130"/>
        <v>CLZ0</v>
      </c>
      <c r="AE719" s="80" t="str">
        <f t="shared" si="131"/>
        <v>LCOF1</v>
      </c>
      <c r="AF719" s="80" t="str">
        <f t="shared" si="132"/>
        <v>CLF1</v>
      </c>
      <c r="AG719" s="80" t="str">
        <f t="shared" si="133"/>
        <v>LCOG1</v>
      </c>
      <c r="AH719" s="80" t="str">
        <f t="shared" si="134"/>
        <v>LCOH1</v>
      </c>
    </row>
    <row r="720" spans="25:34" x14ac:dyDescent="0.35">
      <c r="Y720" s="74">
        <f t="shared" si="125"/>
        <v>44123</v>
      </c>
      <c r="Z720" s="74">
        <f t="shared" ca="1" si="126"/>
        <v>44124</v>
      </c>
      <c r="AA720" s="80" t="str">
        <f t="shared" ca="1" si="127"/>
        <v>CLX0</v>
      </c>
      <c r="AB720" s="74">
        <f t="shared" si="129"/>
        <v>44134</v>
      </c>
      <c r="AC720" s="80" t="str">
        <f t="shared" si="128"/>
        <v>LCOZ0</v>
      </c>
      <c r="AD720" s="80" t="str">
        <f t="shared" si="130"/>
        <v>CLZ0</v>
      </c>
      <c r="AE720" s="80" t="str">
        <f t="shared" si="131"/>
        <v>LCOF1</v>
      </c>
      <c r="AF720" s="80" t="str">
        <f t="shared" si="132"/>
        <v>CLF1</v>
      </c>
      <c r="AG720" s="80" t="str">
        <f t="shared" si="133"/>
        <v>LCOG1</v>
      </c>
      <c r="AH720" s="80" t="str">
        <f t="shared" si="134"/>
        <v>LCOH1</v>
      </c>
    </row>
    <row r="721" spans="25:34" x14ac:dyDescent="0.35">
      <c r="Y721" s="74">
        <f t="shared" si="125"/>
        <v>44124</v>
      </c>
      <c r="Z721" s="74">
        <f t="shared" ca="1" si="126"/>
        <v>44124</v>
      </c>
      <c r="AA721" s="80" t="str">
        <f t="shared" ca="1" si="127"/>
        <v>CLX0</v>
      </c>
      <c r="AB721" s="74">
        <f t="shared" si="129"/>
        <v>44134</v>
      </c>
      <c r="AC721" s="80" t="str">
        <f t="shared" si="128"/>
        <v>LCOZ0</v>
      </c>
      <c r="AD721" s="80" t="str">
        <f t="shared" si="130"/>
        <v>CLZ0</v>
      </c>
      <c r="AE721" s="80" t="str">
        <f t="shared" si="131"/>
        <v>LCOF1</v>
      </c>
      <c r="AF721" s="80" t="str">
        <f t="shared" si="132"/>
        <v>CLF1</v>
      </c>
      <c r="AG721" s="80" t="str">
        <f t="shared" si="133"/>
        <v>LCOG1</v>
      </c>
      <c r="AH721" s="80" t="str">
        <f t="shared" si="134"/>
        <v>LCOH1</v>
      </c>
    </row>
    <row r="722" spans="25:34" x14ac:dyDescent="0.35">
      <c r="Y722" s="74">
        <f t="shared" si="125"/>
        <v>44125</v>
      </c>
      <c r="Z722" s="74">
        <f t="shared" ca="1" si="126"/>
        <v>44155</v>
      </c>
      <c r="AA722" s="80" t="str">
        <f t="shared" ca="1" si="127"/>
        <v>CLZ0</v>
      </c>
      <c r="AB722" s="74">
        <f t="shared" si="129"/>
        <v>44134</v>
      </c>
      <c r="AC722" s="80" t="str">
        <f t="shared" si="128"/>
        <v>LCOZ0</v>
      </c>
      <c r="AD722" s="80" t="str">
        <f t="shared" si="130"/>
        <v>CLZ0</v>
      </c>
      <c r="AE722" s="80" t="str">
        <f t="shared" si="131"/>
        <v>LCOF1</v>
      </c>
      <c r="AF722" s="80" t="str">
        <f t="shared" si="132"/>
        <v>CLF1</v>
      </c>
      <c r="AG722" s="80" t="str">
        <f t="shared" si="133"/>
        <v>LCOG1</v>
      </c>
      <c r="AH722" s="80" t="str">
        <f t="shared" si="134"/>
        <v>LCOH1</v>
      </c>
    </row>
    <row r="723" spans="25:34" x14ac:dyDescent="0.35">
      <c r="Y723" s="74">
        <f t="shared" si="125"/>
        <v>44126</v>
      </c>
      <c r="Z723" s="74">
        <f t="shared" ca="1" si="126"/>
        <v>44155</v>
      </c>
      <c r="AA723" s="80" t="str">
        <f t="shared" ca="1" si="127"/>
        <v>CLZ0</v>
      </c>
      <c r="AB723" s="74">
        <f t="shared" si="129"/>
        <v>44134</v>
      </c>
      <c r="AC723" s="80" t="str">
        <f t="shared" si="128"/>
        <v>LCOZ0</v>
      </c>
      <c r="AD723" s="80" t="str">
        <f t="shared" si="130"/>
        <v>CLZ0</v>
      </c>
      <c r="AE723" s="80" t="str">
        <f t="shared" si="131"/>
        <v>LCOF1</v>
      </c>
      <c r="AF723" s="80" t="str">
        <f t="shared" si="132"/>
        <v>CLF1</v>
      </c>
      <c r="AG723" s="80" t="str">
        <f t="shared" si="133"/>
        <v>LCOG1</v>
      </c>
      <c r="AH723" s="80" t="str">
        <f t="shared" si="134"/>
        <v>LCOH1</v>
      </c>
    </row>
    <row r="724" spans="25:34" x14ac:dyDescent="0.35">
      <c r="Y724" s="74">
        <f t="shared" si="125"/>
        <v>44127</v>
      </c>
      <c r="Z724" s="74">
        <f t="shared" ca="1" si="126"/>
        <v>44155</v>
      </c>
      <c r="AA724" s="80" t="str">
        <f t="shared" ca="1" si="127"/>
        <v>CLZ0</v>
      </c>
      <c r="AB724" s="74">
        <f t="shared" si="129"/>
        <v>44134</v>
      </c>
      <c r="AC724" s="80" t="str">
        <f t="shared" si="128"/>
        <v>LCOZ0</v>
      </c>
      <c r="AD724" s="80" t="str">
        <f t="shared" si="130"/>
        <v>CLZ0</v>
      </c>
      <c r="AE724" s="80" t="str">
        <f t="shared" si="131"/>
        <v>LCOF1</v>
      </c>
      <c r="AF724" s="80" t="str">
        <f t="shared" si="132"/>
        <v>CLF1</v>
      </c>
      <c r="AG724" s="80" t="str">
        <f t="shared" si="133"/>
        <v>LCOG1</v>
      </c>
      <c r="AH724" s="80" t="str">
        <f t="shared" si="134"/>
        <v>LCOH1</v>
      </c>
    </row>
    <row r="725" spans="25:34" x14ac:dyDescent="0.35">
      <c r="Y725" s="74">
        <f t="shared" si="125"/>
        <v>44128</v>
      </c>
      <c r="Z725" s="74">
        <f t="shared" ca="1" si="126"/>
        <v>44155</v>
      </c>
      <c r="AA725" s="80" t="str">
        <f t="shared" ca="1" si="127"/>
        <v>CLZ0</v>
      </c>
      <c r="AB725" s="74">
        <f t="shared" si="129"/>
        <v>44134</v>
      </c>
      <c r="AC725" s="80" t="str">
        <f t="shared" si="128"/>
        <v>LCOZ0</v>
      </c>
      <c r="AD725" s="80" t="str">
        <f t="shared" si="130"/>
        <v>CLZ0</v>
      </c>
      <c r="AE725" s="80" t="str">
        <f t="shared" si="131"/>
        <v>LCOF1</v>
      </c>
      <c r="AF725" s="80" t="str">
        <f t="shared" si="132"/>
        <v>CLF1</v>
      </c>
      <c r="AG725" s="80" t="str">
        <f t="shared" si="133"/>
        <v>LCOG1</v>
      </c>
      <c r="AH725" s="80" t="str">
        <f t="shared" si="134"/>
        <v>LCOH1</v>
      </c>
    </row>
    <row r="726" spans="25:34" x14ac:dyDescent="0.35">
      <c r="Y726" s="74">
        <f t="shared" si="125"/>
        <v>44129</v>
      </c>
      <c r="Z726" s="74">
        <f t="shared" ca="1" si="126"/>
        <v>44155</v>
      </c>
      <c r="AA726" s="80" t="str">
        <f t="shared" ca="1" si="127"/>
        <v>CLZ0</v>
      </c>
      <c r="AB726" s="74">
        <f t="shared" si="129"/>
        <v>44134</v>
      </c>
      <c r="AC726" s="80" t="str">
        <f t="shared" si="128"/>
        <v>LCOZ0</v>
      </c>
      <c r="AD726" s="80" t="str">
        <f t="shared" si="130"/>
        <v>CLZ0</v>
      </c>
      <c r="AE726" s="80" t="str">
        <f t="shared" si="131"/>
        <v>LCOF1</v>
      </c>
      <c r="AF726" s="80" t="str">
        <f t="shared" si="132"/>
        <v>CLF1</v>
      </c>
      <c r="AG726" s="80" t="str">
        <f t="shared" si="133"/>
        <v>LCOG1</v>
      </c>
      <c r="AH726" s="80" t="str">
        <f t="shared" si="134"/>
        <v>LCOH1</v>
      </c>
    </row>
    <row r="727" spans="25:34" x14ac:dyDescent="0.35">
      <c r="Y727" s="74">
        <f t="shared" si="125"/>
        <v>44130</v>
      </c>
      <c r="Z727" s="74">
        <f t="shared" ca="1" si="126"/>
        <v>44155</v>
      </c>
      <c r="AA727" s="80" t="str">
        <f t="shared" ca="1" si="127"/>
        <v>CLZ0</v>
      </c>
      <c r="AB727" s="74">
        <f t="shared" si="129"/>
        <v>44134</v>
      </c>
      <c r="AC727" s="80" t="str">
        <f t="shared" si="128"/>
        <v>LCOZ0</v>
      </c>
      <c r="AD727" s="80" t="str">
        <f t="shared" si="130"/>
        <v>CLZ0</v>
      </c>
      <c r="AE727" s="80" t="str">
        <f t="shared" si="131"/>
        <v>LCOF1</v>
      </c>
      <c r="AF727" s="80" t="str">
        <f t="shared" si="132"/>
        <v>CLF1</v>
      </c>
      <c r="AG727" s="80" t="str">
        <f t="shared" si="133"/>
        <v>LCOG1</v>
      </c>
      <c r="AH727" s="80" t="str">
        <f t="shared" si="134"/>
        <v>LCOH1</v>
      </c>
    </row>
    <row r="728" spans="25:34" x14ac:dyDescent="0.35">
      <c r="Y728" s="74">
        <f t="shared" si="125"/>
        <v>44131</v>
      </c>
      <c r="Z728" s="74">
        <f t="shared" ca="1" si="126"/>
        <v>44155</v>
      </c>
      <c r="AA728" s="80" t="str">
        <f t="shared" ca="1" si="127"/>
        <v>CLZ0</v>
      </c>
      <c r="AB728" s="74">
        <f t="shared" si="129"/>
        <v>44134</v>
      </c>
      <c r="AC728" s="80" t="str">
        <f t="shared" si="128"/>
        <v>LCOZ0</v>
      </c>
      <c r="AD728" s="80" t="str">
        <f t="shared" si="130"/>
        <v>CLZ0</v>
      </c>
      <c r="AE728" s="80" t="str">
        <f t="shared" si="131"/>
        <v>LCOF1</v>
      </c>
      <c r="AF728" s="80" t="str">
        <f t="shared" si="132"/>
        <v>CLF1</v>
      </c>
      <c r="AG728" s="80" t="str">
        <f t="shared" si="133"/>
        <v>LCOG1</v>
      </c>
      <c r="AH728" s="80" t="str">
        <f t="shared" si="134"/>
        <v>LCOH1</v>
      </c>
    </row>
    <row r="729" spans="25:34" x14ac:dyDescent="0.35">
      <c r="Y729" s="74">
        <f t="shared" si="125"/>
        <v>44132</v>
      </c>
      <c r="Z729" s="74">
        <f t="shared" ca="1" si="126"/>
        <v>44155</v>
      </c>
      <c r="AA729" s="80" t="str">
        <f t="shared" ca="1" si="127"/>
        <v>CLZ0</v>
      </c>
      <c r="AB729" s="74">
        <f t="shared" si="129"/>
        <v>44134</v>
      </c>
      <c r="AC729" s="80" t="str">
        <f t="shared" si="128"/>
        <v>LCOZ0</v>
      </c>
      <c r="AD729" s="80" t="str">
        <f t="shared" si="130"/>
        <v>CLZ0</v>
      </c>
      <c r="AE729" s="80" t="str">
        <f t="shared" si="131"/>
        <v>LCOF1</v>
      </c>
      <c r="AF729" s="80" t="str">
        <f t="shared" si="132"/>
        <v>CLF1</v>
      </c>
      <c r="AG729" s="80" t="str">
        <f t="shared" si="133"/>
        <v>LCOG1</v>
      </c>
      <c r="AH729" s="80" t="str">
        <f t="shared" si="134"/>
        <v>LCOH1</v>
      </c>
    </row>
    <row r="730" spans="25:34" x14ac:dyDescent="0.35">
      <c r="Y730" s="74">
        <f t="shared" si="125"/>
        <v>44133</v>
      </c>
      <c r="Z730" s="74">
        <f t="shared" ca="1" si="126"/>
        <v>44155</v>
      </c>
      <c r="AA730" s="80" t="str">
        <f t="shared" ca="1" si="127"/>
        <v>CLZ0</v>
      </c>
      <c r="AB730" s="74">
        <f t="shared" si="129"/>
        <v>44134</v>
      </c>
      <c r="AC730" s="80" t="str">
        <f t="shared" si="128"/>
        <v>LCOZ0</v>
      </c>
      <c r="AD730" s="80" t="str">
        <f t="shared" si="130"/>
        <v>CLZ0</v>
      </c>
      <c r="AE730" s="80" t="str">
        <f t="shared" si="131"/>
        <v>LCOF1</v>
      </c>
      <c r="AF730" s="80" t="str">
        <f t="shared" si="132"/>
        <v>CLF1</v>
      </c>
      <c r="AG730" s="80" t="str">
        <f t="shared" si="133"/>
        <v>LCOG1</v>
      </c>
      <c r="AH730" s="80" t="str">
        <f t="shared" si="134"/>
        <v>LCOH1</v>
      </c>
    </row>
    <row r="731" spans="25:34" x14ac:dyDescent="0.35">
      <c r="Y731" s="74">
        <f t="shared" si="125"/>
        <v>44134</v>
      </c>
      <c r="Z731" s="74">
        <f t="shared" ca="1" si="126"/>
        <v>44155</v>
      </c>
      <c r="AA731" s="80" t="str">
        <f t="shared" ca="1" si="127"/>
        <v>CLZ0</v>
      </c>
      <c r="AB731" s="74">
        <f t="shared" si="129"/>
        <v>44134</v>
      </c>
      <c r="AC731" s="80" t="str">
        <f t="shared" si="128"/>
        <v>LCOZ0</v>
      </c>
      <c r="AD731" s="80" t="str">
        <f t="shared" si="130"/>
        <v>CLZ0</v>
      </c>
      <c r="AE731" s="80" t="str">
        <f t="shared" si="131"/>
        <v>LCOF1</v>
      </c>
      <c r="AF731" s="80" t="str">
        <f t="shared" si="132"/>
        <v>CLF1</v>
      </c>
      <c r="AG731" s="80" t="str">
        <f t="shared" si="133"/>
        <v>LCOG1</v>
      </c>
      <c r="AH731" s="80" t="str">
        <f t="shared" si="134"/>
        <v>LCOH1</v>
      </c>
    </row>
    <row r="732" spans="25:34" x14ac:dyDescent="0.35">
      <c r="Y732" s="74">
        <f t="shared" si="125"/>
        <v>44135</v>
      </c>
      <c r="Z732" s="74">
        <f t="shared" ca="1" si="126"/>
        <v>44155</v>
      </c>
      <c r="AA732" s="80" t="str">
        <f t="shared" ca="1" si="127"/>
        <v>CLZ0</v>
      </c>
      <c r="AB732" s="74">
        <f t="shared" si="129"/>
        <v>44165</v>
      </c>
      <c r="AC732" s="80" t="str">
        <f t="shared" si="128"/>
        <v>LCOF1</v>
      </c>
      <c r="AD732" s="80" t="str">
        <f t="shared" si="130"/>
        <v>CLF1</v>
      </c>
      <c r="AE732" s="80" t="str">
        <f t="shared" si="131"/>
        <v>LCOG1</v>
      </c>
      <c r="AF732" s="80" t="str">
        <f t="shared" si="132"/>
        <v>CLG1</v>
      </c>
      <c r="AG732" s="80" t="str">
        <f t="shared" si="133"/>
        <v>LCOH1</v>
      </c>
      <c r="AH732" s="80" t="str">
        <f t="shared" si="134"/>
        <v>LCOJ1</v>
      </c>
    </row>
    <row r="733" spans="25:34" x14ac:dyDescent="0.35">
      <c r="Y733" s="74">
        <f t="shared" si="125"/>
        <v>44136</v>
      </c>
      <c r="Z733" s="74">
        <f t="shared" ca="1" si="126"/>
        <v>44155</v>
      </c>
      <c r="AA733" s="80" t="str">
        <f t="shared" ca="1" si="127"/>
        <v>CLZ0</v>
      </c>
      <c r="AB733" s="74">
        <f t="shared" si="129"/>
        <v>44165</v>
      </c>
      <c r="AC733" s="80" t="str">
        <f t="shared" si="128"/>
        <v>LCOF1</v>
      </c>
      <c r="AD733" s="80" t="str">
        <f t="shared" si="130"/>
        <v>CLF1</v>
      </c>
      <c r="AE733" s="80" t="str">
        <f t="shared" si="131"/>
        <v>LCOG1</v>
      </c>
      <c r="AF733" s="80" t="str">
        <f t="shared" si="132"/>
        <v>CLG1</v>
      </c>
      <c r="AG733" s="80" t="str">
        <f t="shared" si="133"/>
        <v>LCOH1</v>
      </c>
      <c r="AH733" s="80" t="str">
        <f t="shared" si="134"/>
        <v>LCOJ1</v>
      </c>
    </row>
    <row r="734" spans="25:34" x14ac:dyDescent="0.35">
      <c r="Y734" s="74">
        <f t="shared" si="125"/>
        <v>44137</v>
      </c>
      <c r="Z734" s="74">
        <f t="shared" ca="1" si="126"/>
        <v>44155</v>
      </c>
      <c r="AA734" s="80" t="str">
        <f t="shared" ca="1" si="127"/>
        <v>CLZ0</v>
      </c>
      <c r="AB734" s="74">
        <f t="shared" si="129"/>
        <v>44165</v>
      </c>
      <c r="AC734" s="80" t="str">
        <f t="shared" si="128"/>
        <v>LCOF1</v>
      </c>
      <c r="AD734" s="80" t="str">
        <f t="shared" si="130"/>
        <v>CLF1</v>
      </c>
      <c r="AE734" s="80" t="str">
        <f t="shared" si="131"/>
        <v>LCOG1</v>
      </c>
      <c r="AF734" s="80" t="str">
        <f t="shared" si="132"/>
        <v>CLG1</v>
      </c>
      <c r="AG734" s="80" t="str">
        <f t="shared" si="133"/>
        <v>LCOH1</v>
      </c>
      <c r="AH734" s="80" t="str">
        <f t="shared" si="134"/>
        <v>LCOJ1</v>
      </c>
    </row>
    <row r="735" spans="25:34" x14ac:dyDescent="0.35">
      <c r="Y735" s="74">
        <f t="shared" si="125"/>
        <v>44138</v>
      </c>
      <c r="Z735" s="74">
        <f t="shared" ca="1" si="126"/>
        <v>44155</v>
      </c>
      <c r="AA735" s="80" t="str">
        <f t="shared" ca="1" si="127"/>
        <v>CLZ0</v>
      </c>
      <c r="AB735" s="74">
        <f t="shared" si="129"/>
        <v>44165</v>
      </c>
      <c r="AC735" s="80" t="str">
        <f t="shared" si="128"/>
        <v>LCOF1</v>
      </c>
      <c r="AD735" s="80" t="str">
        <f t="shared" si="130"/>
        <v>CLF1</v>
      </c>
      <c r="AE735" s="80" t="str">
        <f t="shared" si="131"/>
        <v>LCOG1</v>
      </c>
      <c r="AF735" s="80" t="str">
        <f t="shared" si="132"/>
        <v>CLG1</v>
      </c>
      <c r="AG735" s="80" t="str">
        <f t="shared" si="133"/>
        <v>LCOH1</v>
      </c>
      <c r="AH735" s="80" t="str">
        <f t="shared" si="134"/>
        <v>LCOJ1</v>
      </c>
    </row>
    <row r="736" spans="25:34" x14ac:dyDescent="0.35">
      <c r="Y736" s="74">
        <f t="shared" si="125"/>
        <v>44139</v>
      </c>
      <c r="Z736" s="74">
        <f t="shared" ca="1" si="126"/>
        <v>44155</v>
      </c>
      <c r="AA736" s="80" t="str">
        <f t="shared" ca="1" si="127"/>
        <v>CLZ0</v>
      </c>
      <c r="AB736" s="74">
        <f t="shared" si="129"/>
        <v>44165</v>
      </c>
      <c r="AC736" s="80" t="str">
        <f t="shared" si="128"/>
        <v>LCOF1</v>
      </c>
      <c r="AD736" s="80" t="str">
        <f t="shared" si="130"/>
        <v>CLF1</v>
      </c>
      <c r="AE736" s="80" t="str">
        <f t="shared" si="131"/>
        <v>LCOG1</v>
      </c>
      <c r="AF736" s="80" t="str">
        <f t="shared" si="132"/>
        <v>CLG1</v>
      </c>
      <c r="AG736" s="80" t="str">
        <f t="shared" si="133"/>
        <v>LCOH1</v>
      </c>
      <c r="AH736" s="80" t="str">
        <f t="shared" si="134"/>
        <v>LCOJ1</v>
      </c>
    </row>
    <row r="737" spans="25:34" x14ac:dyDescent="0.35">
      <c r="Y737" s="74">
        <f t="shared" ref="Y737:Y800" si="135">Y736+1</f>
        <v>44140</v>
      </c>
      <c r="Z737" s="74">
        <f t="shared" ca="1" si="126"/>
        <v>44155</v>
      </c>
      <c r="AA737" s="80" t="str">
        <f t="shared" ca="1" si="127"/>
        <v>CLZ0</v>
      </c>
      <c r="AB737" s="74">
        <f t="shared" si="129"/>
        <v>44165</v>
      </c>
      <c r="AC737" s="80" t="str">
        <f t="shared" si="128"/>
        <v>LCOF1</v>
      </c>
      <c r="AD737" s="80" t="str">
        <f t="shared" si="130"/>
        <v>CLF1</v>
      </c>
      <c r="AE737" s="80" t="str">
        <f t="shared" si="131"/>
        <v>LCOG1</v>
      </c>
      <c r="AF737" s="80" t="str">
        <f t="shared" si="132"/>
        <v>CLG1</v>
      </c>
      <c r="AG737" s="80" t="str">
        <f t="shared" si="133"/>
        <v>LCOH1</v>
      </c>
      <c r="AH737" s="80" t="str">
        <f t="shared" si="134"/>
        <v>LCOJ1</v>
      </c>
    </row>
    <row r="738" spans="25:34" x14ac:dyDescent="0.35">
      <c r="Y738" s="74">
        <f t="shared" si="135"/>
        <v>44141</v>
      </c>
      <c r="Z738" s="74">
        <f t="shared" ca="1" si="126"/>
        <v>44155</v>
      </c>
      <c r="AA738" s="80" t="str">
        <f t="shared" ca="1" si="127"/>
        <v>CLZ0</v>
      </c>
      <c r="AB738" s="74">
        <f t="shared" si="129"/>
        <v>44165</v>
      </c>
      <c r="AC738" s="80" t="str">
        <f t="shared" si="128"/>
        <v>LCOF1</v>
      </c>
      <c r="AD738" s="80" t="str">
        <f t="shared" si="130"/>
        <v>CLF1</v>
      </c>
      <c r="AE738" s="80" t="str">
        <f t="shared" si="131"/>
        <v>LCOG1</v>
      </c>
      <c r="AF738" s="80" t="str">
        <f t="shared" si="132"/>
        <v>CLG1</v>
      </c>
      <c r="AG738" s="80" t="str">
        <f t="shared" si="133"/>
        <v>LCOH1</v>
      </c>
      <c r="AH738" s="80" t="str">
        <f t="shared" si="134"/>
        <v>LCOJ1</v>
      </c>
    </row>
    <row r="739" spans="25:34" x14ac:dyDescent="0.35">
      <c r="Y739" s="74">
        <f t="shared" si="135"/>
        <v>44142</v>
      </c>
      <c r="Z739" s="74">
        <f t="shared" ca="1" si="126"/>
        <v>44155</v>
      </c>
      <c r="AA739" s="80" t="str">
        <f t="shared" ca="1" si="127"/>
        <v>CLZ0</v>
      </c>
      <c r="AB739" s="74">
        <f t="shared" si="129"/>
        <v>44165</v>
      </c>
      <c r="AC739" s="80" t="str">
        <f t="shared" si="128"/>
        <v>LCOF1</v>
      </c>
      <c r="AD739" s="80" t="str">
        <f t="shared" si="130"/>
        <v>CLF1</v>
      </c>
      <c r="AE739" s="80" t="str">
        <f t="shared" si="131"/>
        <v>LCOG1</v>
      </c>
      <c r="AF739" s="80" t="str">
        <f t="shared" si="132"/>
        <v>CLG1</v>
      </c>
      <c r="AG739" s="80" t="str">
        <f t="shared" si="133"/>
        <v>LCOH1</v>
      </c>
      <c r="AH739" s="80" t="str">
        <f t="shared" si="134"/>
        <v>LCOJ1</v>
      </c>
    </row>
    <row r="740" spans="25:34" x14ac:dyDescent="0.35">
      <c r="Y740" s="74">
        <f t="shared" si="135"/>
        <v>44143</v>
      </c>
      <c r="Z740" s="74">
        <f t="shared" ca="1" si="126"/>
        <v>44155</v>
      </c>
      <c r="AA740" s="80" t="str">
        <f t="shared" ca="1" si="127"/>
        <v>CLZ0</v>
      </c>
      <c r="AB740" s="74">
        <f t="shared" si="129"/>
        <v>44165</v>
      </c>
      <c r="AC740" s="80" t="str">
        <f t="shared" si="128"/>
        <v>LCOF1</v>
      </c>
      <c r="AD740" s="80" t="str">
        <f t="shared" si="130"/>
        <v>CLF1</v>
      </c>
      <c r="AE740" s="80" t="str">
        <f t="shared" si="131"/>
        <v>LCOG1</v>
      </c>
      <c r="AF740" s="80" t="str">
        <f t="shared" si="132"/>
        <v>CLG1</v>
      </c>
      <c r="AG740" s="80" t="str">
        <f t="shared" si="133"/>
        <v>LCOH1</v>
      </c>
      <c r="AH740" s="80" t="str">
        <f t="shared" si="134"/>
        <v>LCOJ1</v>
      </c>
    </row>
    <row r="741" spans="25:34" x14ac:dyDescent="0.35">
      <c r="Y741" s="74">
        <f t="shared" si="135"/>
        <v>44144</v>
      </c>
      <c r="Z741" s="74">
        <f t="shared" ca="1" si="126"/>
        <v>44155</v>
      </c>
      <c r="AA741" s="80" t="str">
        <f t="shared" ca="1" si="127"/>
        <v>CLZ0</v>
      </c>
      <c r="AB741" s="74">
        <f t="shared" si="129"/>
        <v>44165</v>
      </c>
      <c r="AC741" s="80" t="str">
        <f t="shared" si="128"/>
        <v>LCOF1</v>
      </c>
      <c r="AD741" s="80" t="str">
        <f t="shared" si="130"/>
        <v>CLF1</v>
      </c>
      <c r="AE741" s="80" t="str">
        <f t="shared" si="131"/>
        <v>LCOG1</v>
      </c>
      <c r="AF741" s="80" t="str">
        <f t="shared" si="132"/>
        <v>CLG1</v>
      </c>
      <c r="AG741" s="80" t="str">
        <f t="shared" si="133"/>
        <v>LCOH1</v>
      </c>
      <c r="AH741" s="80" t="str">
        <f t="shared" si="134"/>
        <v>LCOJ1</v>
      </c>
    </row>
    <row r="742" spans="25:34" x14ac:dyDescent="0.35">
      <c r="Y742" s="74">
        <f t="shared" si="135"/>
        <v>44145</v>
      </c>
      <c r="Z742" s="74">
        <f t="shared" ca="1" si="126"/>
        <v>44155</v>
      </c>
      <c r="AA742" s="80" t="str">
        <f t="shared" ca="1" si="127"/>
        <v>CLZ0</v>
      </c>
      <c r="AB742" s="74">
        <f t="shared" si="129"/>
        <v>44165</v>
      </c>
      <c r="AC742" s="80" t="str">
        <f t="shared" si="128"/>
        <v>LCOF1</v>
      </c>
      <c r="AD742" s="80" t="str">
        <f t="shared" si="130"/>
        <v>CLF1</v>
      </c>
      <c r="AE742" s="80" t="str">
        <f t="shared" si="131"/>
        <v>LCOG1</v>
      </c>
      <c r="AF742" s="80" t="str">
        <f t="shared" si="132"/>
        <v>CLG1</v>
      </c>
      <c r="AG742" s="80" t="str">
        <f t="shared" si="133"/>
        <v>LCOH1</v>
      </c>
      <c r="AH742" s="80" t="str">
        <f t="shared" si="134"/>
        <v>LCOJ1</v>
      </c>
    </row>
    <row r="743" spans="25:34" x14ac:dyDescent="0.35">
      <c r="Y743" s="74">
        <f t="shared" si="135"/>
        <v>44146</v>
      </c>
      <c r="Z743" s="74">
        <f t="shared" ca="1" si="126"/>
        <v>44155</v>
      </c>
      <c r="AA743" s="80" t="str">
        <f t="shared" ca="1" si="127"/>
        <v>CLZ0</v>
      </c>
      <c r="AB743" s="74">
        <f t="shared" si="129"/>
        <v>44165</v>
      </c>
      <c r="AC743" s="80" t="str">
        <f t="shared" si="128"/>
        <v>LCOF1</v>
      </c>
      <c r="AD743" s="80" t="str">
        <f t="shared" si="130"/>
        <v>CLF1</v>
      </c>
      <c r="AE743" s="80" t="str">
        <f t="shared" si="131"/>
        <v>LCOG1</v>
      </c>
      <c r="AF743" s="80" t="str">
        <f t="shared" si="132"/>
        <v>CLG1</v>
      </c>
      <c r="AG743" s="80" t="str">
        <f t="shared" si="133"/>
        <v>LCOH1</v>
      </c>
      <c r="AH743" s="80" t="str">
        <f t="shared" si="134"/>
        <v>LCOJ1</v>
      </c>
    </row>
    <row r="744" spans="25:34" x14ac:dyDescent="0.35">
      <c r="Y744" s="74">
        <f t="shared" si="135"/>
        <v>44147</v>
      </c>
      <c r="Z744" s="74">
        <f t="shared" ca="1" si="126"/>
        <v>44155</v>
      </c>
      <c r="AA744" s="80" t="str">
        <f t="shared" ca="1" si="127"/>
        <v>CLZ0</v>
      </c>
      <c r="AB744" s="74">
        <f t="shared" si="129"/>
        <v>44165</v>
      </c>
      <c r="AC744" s="80" t="str">
        <f t="shared" si="128"/>
        <v>LCOF1</v>
      </c>
      <c r="AD744" s="80" t="str">
        <f t="shared" si="130"/>
        <v>CLF1</v>
      </c>
      <c r="AE744" s="80" t="str">
        <f t="shared" si="131"/>
        <v>LCOG1</v>
      </c>
      <c r="AF744" s="80" t="str">
        <f t="shared" si="132"/>
        <v>CLG1</v>
      </c>
      <c r="AG744" s="80" t="str">
        <f t="shared" si="133"/>
        <v>LCOH1</v>
      </c>
      <c r="AH744" s="80" t="str">
        <f t="shared" si="134"/>
        <v>LCOJ1</v>
      </c>
    </row>
    <row r="745" spans="25:34" x14ac:dyDescent="0.35">
      <c r="Y745" s="74">
        <f t="shared" si="135"/>
        <v>44148</v>
      </c>
      <c r="Z745" s="74">
        <f t="shared" ca="1" si="126"/>
        <v>44155</v>
      </c>
      <c r="AA745" s="80" t="str">
        <f t="shared" ca="1" si="127"/>
        <v>CLZ0</v>
      </c>
      <c r="AB745" s="74">
        <f t="shared" si="129"/>
        <v>44165</v>
      </c>
      <c r="AC745" s="80" t="str">
        <f t="shared" si="128"/>
        <v>LCOF1</v>
      </c>
      <c r="AD745" s="80" t="str">
        <f t="shared" si="130"/>
        <v>CLF1</v>
      </c>
      <c r="AE745" s="80" t="str">
        <f t="shared" si="131"/>
        <v>LCOG1</v>
      </c>
      <c r="AF745" s="80" t="str">
        <f t="shared" si="132"/>
        <v>CLG1</v>
      </c>
      <c r="AG745" s="80" t="str">
        <f t="shared" si="133"/>
        <v>LCOH1</v>
      </c>
      <c r="AH745" s="80" t="str">
        <f t="shared" si="134"/>
        <v>LCOJ1</v>
      </c>
    </row>
    <row r="746" spans="25:34" x14ac:dyDescent="0.35">
      <c r="Y746" s="74">
        <f t="shared" si="135"/>
        <v>44149</v>
      </c>
      <c r="Z746" s="74">
        <f t="shared" ca="1" si="126"/>
        <v>44155</v>
      </c>
      <c r="AA746" s="80" t="str">
        <f t="shared" ca="1" si="127"/>
        <v>CLZ0</v>
      </c>
      <c r="AB746" s="74">
        <f t="shared" si="129"/>
        <v>44165</v>
      </c>
      <c r="AC746" s="80" t="str">
        <f t="shared" si="128"/>
        <v>LCOF1</v>
      </c>
      <c r="AD746" s="80" t="str">
        <f t="shared" si="130"/>
        <v>CLF1</v>
      </c>
      <c r="AE746" s="80" t="str">
        <f t="shared" si="131"/>
        <v>LCOG1</v>
      </c>
      <c r="AF746" s="80" t="str">
        <f t="shared" si="132"/>
        <v>CLG1</v>
      </c>
      <c r="AG746" s="80" t="str">
        <f t="shared" si="133"/>
        <v>LCOH1</v>
      </c>
      <c r="AH746" s="80" t="str">
        <f t="shared" si="134"/>
        <v>LCOJ1</v>
      </c>
    </row>
    <row r="747" spans="25:34" x14ac:dyDescent="0.35">
      <c r="Y747" s="74">
        <f t="shared" si="135"/>
        <v>44150</v>
      </c>
      <c r="Z747" s="74">
        <f t="shared" ca="1" si="126"/>
        <v>44155</v>
      </c>
      <c r="AA747" s="80" t="str">
        <f t="shared" ca="1" si="127"/>
        <v>CLZ0</v>
      </c>
      <c r="AB747" s="74">
        <f t="shared" si="129"/>
        <v>44165</v>
      </c>
      <c r="AC747" s="80" t="str">
        <f t="shared" si="128"/>
        <v>LCOF1</v>
      </c>
      <c r="AD747" s="80" t="str">
        <f t="shared" si="130"/>
        <v>CLF1</v>
      </c>
      <c r="AE747" s="80" t="str">
        <f t="shared" si="131"/>
        <v>LCOG1</v>
      </c>
      <c r="AF747" s="80" t="str">
        <f t="shared" si="132"/>
        <v>CLG1</v>
      </c>
      <c r="AG747" s="80" t="str">
        <f t="shared" si="133"/>
        <v>LCOH1</v>
      </c>
      <c r="AH747" s="80" t="str">
        <f t="shared" si="134"/>
        <v>LCOJ1</v>
      </c>
    </row>
    <row r="748" spans="25:34" x14ac:dyDescent="0.35">
      <c r="Y748" s="74">
        <f t="shared" si="135"/>
        <v>44151</v>
      </c>
      <c r="Z748" s="74">
        <f t="shared" ca="1" si="126"/>
        <v>44155</v>
      </c>
      <c r="AA748" s="80" t="str">
        <f t="shared" ca="1" si="127"/>
        <v>CLZ0</v>
      </c>
      <c r="AB748" s="74">
        <f t="shared" si="129"/>
        <v>44165</v>
      </c>
      <c r="AC748" s="80" t="str">
        <f t="shared" si="128"/>
        <v>LCOF1</v>
      </c>
      <c r="AD748" s="80" t="str">
        <f t="shared" si="130"/>
        <v>CLF1</v>
      </c>
      <c r="AE748" s="80" t="str">
        <f t="shared" si="131"/>
        <v>LCOG1</v>
      </c>
      <c r="AF748" s="80" t="str">
        <f t="shared" si="132"/>
        <v>CLG1</v>
      </c>
      <c r="AG748" s="80" t="str">
        <f t="shared" si="133"/>
        <v>LCOH1</v>
      </c>
      <c r="AH748" s="80" t="str">
        <f t="shared" si="134"/>
        <v>LCOJ1</v>
      </c>
    </row>
    <row r="749" spans="25:34" x14ac:dyDescent="0.35">
      <c r="Y749" s="74">
        <f t="shared" si="135"/>
        <v>44152</v>
      </c>
      <c r="Z749" s="74">
        <f t="shared" ca="1" si="126"/>
        <v>44155</v>
      </c>
      <c r="AA749" s="80" t="str">
        <f t="shared" ca="1" si="127"/>
        <v>CLZ0</v>
      </c>
      <c r="AB749" s="74">
        <f t="shared" si="129"/>
        <v>44165</v>
      </c>
      <c r="AC749" s="80" t="str">
        <f t="shared" si="128"/>
        <v>LCOF1</v>
      </c>
      <c r="AD749" s="80" t="str">
        <f t="shared" si="130"/>
        <v>CLF1</v>
      </c>
      <c r="AE749" s="80" t="str">
        <f t="shared" si="131"/>
        <v>LCOG1</v>
      </c>
      <c r="AF749" s="80" t="str">
        <f t="shared" si="132"/>
        <v>CLG1</v>
      </c>
      <c r="AG749" s="80" t="str">
        <f t="shared" si="133"/>
        <v>LCOH1</v>
      </c>
      <c r="AH749" s="80" t="str">
        <f t="shared" si="134"/>
        <v>LCOJ1</v>
      </c>
    </row>
    <row r="750" spans="25:34" x14ac:dyDescent="0.35">
      <c r="Y750" s="74">
        <f t="shared" si="135"/>
        <v>44153</v>
      </c>
      <c r="Z750" s="74">
        <f t="shared" ca="1" si="126"/>
        <v>44155</v>
      </c>
      <c r="AA750" s="80" t="str">
        <f t="shared" ca="1" si="127"/>
        <v>CLZ0</v>
      </c>
      <c r="AB750" s="74">
        <f t="shared" si="129"/>
        <v>44165</v>
      </c>
      <c r="AC750" s="80" t="str">
        <f t="shared" si="128"/>
        <v>LCOF1</v>
      </c>
      <c r="AD750" s="80" t="str">
        <f t="shared" si="130"/>
        <v>CLF1</v>
      </c>
      <c r="AE750" s="80" t="str">
        <f t="shared" si="131"/>
        <v>LCOG1</v>
      </c>
      <c r="AF750" s="80" t="str">
        <f t="shared" si="132"/>
        <v>CLG1</v>
      </c>
      <c r="AG750" s="80" t="str">
        <f t="shared" si="133"/>
        <v>LCOH1</v>
      </c>
      <c r="AH750" s="80" t="str">
        <f t="shared" si="134"/>
        <v>LCOJ1</v>
      </c>
    </row>
    <row r="751" spans="25:34" x14ac:dyDescent="0.35">
      <c r="Y751" s="74">
        <f t="shared" si="135"/>
        <v>44154</v>
      </c>
      <c r="Z751" s="74">
        <f t="shared" ca="1" si="126"/>
        <v>44155</v>
      </c>
      <c r="AA751" s="80" t="str">
        <f t="shared" ca="1" si="127"/>
        <v>CLZ0</v>
      </c>
      <c r="AB751" s="74">
        <f t="shared" si="129"/>
        <v>44165</v>
      </c>
      <c r="AC751" s="80" t="str">
        <f t="shared" si="128"/>
        <v>LCOF1</v>
      </c>
      <c r="AD751" s="80" t="str">
        <f t="shared" si="130"/>
        <v>CLF1</v>
      </c>
      <c r="AE751" s="80" t="str">
        <f t="shared" si="131"/>
        <v>LCOG1</v>
      </c>
      <c r="AF751" s="80" t="str">
        <f t="shared" si="132"/>
        <v>CLG1</v>
      </c>
      <c r="AG751" s="80" t="str">
        <f t="shared" si="133"/>
        <v>LCOH1</v>
      </c>
      <c r="AH751" s="80" t="str">
        <f t="shared" si="134"/>
        <v>LCOJ1</v>
      </c>
    </row>
    <row r="752" spans="25:34" x14ac:dyDescent="0.35">
      <c r="Y752" s="74">
        <f t="shared" si="135"/>
        <v>44155</v>
      </c>
      <c r="Z752" s="74">
        <f t="shared" ca="1" si="126"/>
        <v>44155</v>
      </c>
      <c r="AA752" s="80" t="str">
        <f t="shared" ca="1" si="127"/>
        <v>CLZ0</v>
      </c>
      <c r="AB752" s="74">
        <f t="shared" si="129"/>
        <v>44165</v>
      </c>
      <c r="AC752" s="80" t="str">
        <f t="shared" si="128"/>
        <v>LCOF1</v>
      </c>
      <c r="AD752" s="80" t="str">
        <f t="shared" si="130"/>
        <v>CLF1</v>
      </c>
      <c r="AE752" s="80" t="str">
        <f t="shared" si="131"/>
        <v>LCOG1</v>
      </c>
      <c r="AF752" s="80" t="str">
        <f t="shared" si="132"/>
        <v>CLG1</v>
      </c>
      <c r="AG752" s="80" t="str">
        <f t="shared" si="133"/>
        <v>LCOH1</v>
      </c>
      <c r="AH752" s="80" t="str">
        <f t="shared" si="134"/>
        <v>LCOJ1</v>
      </c>
    </row>
    <row r="753" spans="25:34" x14ac:dyDescent="0.35">
      <c r="Y753" s="74">
        <f t="shared" si="135"/>
        <v>44156</v>
      </c>
      <c r="Z753" s="74">
        <f t="shared" ca="1" si="126"/>
        <v>44186</v>
      </c>
      <c r="AA753" s="80" t="str">
        <f t="shared" ca="1" si="127"/>
        <v>CLF1</v>
      </c>
      <c r="AB753" s="74">
        <f t="shared" si="129"/>
        <v>44165</v>
      </c>
      <c r="AC753" s="80" t="str">
        <f t="shared" si="128"/>
        <v>LCOF1</v>
      </c>
      <c r="AD753" s="80" t="str">
        <f t="shared" si="130"/>
        <v>CLF1</v>
      </c>
      <c r="AE753" s="80" t="str">
        <f t="shared" si="131"/>
        <v>LCOG1</v>
      </c>
      <c r="AF753" s="80" t="str">
        <f t="shared" si="132"/>
        <v>CLG1</v>
      </c>
      <c r="AG753" s="80" t="str">
        <f t="shared" si="133"/>
        <v>LCOH1</v>
      </c>
      <c r="AH753" s="80" t="str">
        <f t="shared" si="134"/>
        <v>LCOJ1</v>
      </c>
    </row>
    <row r="754" spans="25:34" x14ac:dyDescent="0.35">
      <c r="Y754" s="74">
        <f t="shared" si="135"/>
        <v>44157</v>
      </c>
      <c r="Z754" s="74">
        <f t="shared" ca="1" si="126"/>
        <v>44186</v>
      </c>
      <c r="AA754" s="80" t="str">
        <f t="shared" ca="1" si="127"/>
        <v>CLF1</v>
      </c>
      <c r="AB754" s="74">
        <f t="shared" si="129"/>
        <v>44165</v>
      </c>
      <c r="AC754" s="80" t="str">
        <f t="shared" si="128"/>
        <v>LCOF1</v>
      </c>
      <c r="AD754" s="80" t="str">
        <f t="shared" si="130"/>
        <v>CLF1</v>
      </c>
      <c r="AE754" s="80" t="str">
        <f t="shared" si="131"/>
        <v>LCOG1</v>
      </c>
      <c r="AF754" s="80" t="str">
        <f t="shared" si="132"/>
        <v>CLG1</v>
      </c>
      <c r="AG754" s="80" t="str">
        <f t="shared" si="133"/>
        <v>LCOH1</v>
      </c>
      <c r="AH754" s="80" t="str">
        <f t="shared" si="134"/>
        <v>LCOJ1</v>
      </c>
    </row>
    <row r="755" spans="25:34" x14ac:dyDescent="0.35">
      <c r="Y755" s="74">
        <f t="shared" si="135"/>
        <v>44158</v>
      </c>
      <c r="Z755" s="74">
        <f t="shared" ca="1" si="126"/>
        <v>44186</v>
      </c>
      <c r="AA755" s="80" t="str">
        <f t="shared" ca="1" si="127"/>
        <v>CLF1</v>
      </c>
      <c r="AB755" s="74">
        <f t="shared" si="129"/>
        <v>44165</v>
      </c>
      <c r="AC755" s="80" t="str">
        <f t="shared" si="128"/>
        <v>LCOF1</v>
      </c>
      <c r="AD755" s="80" t="str">
        <f t="shared" si="130"/>
        <v>CLF1</v>
      </c>
      <c r="AE755" s="80" t="str">
        <f t="shared" si="131"/>
        <v>LCOG1</v>
      </c>
      <c r="AF755" s="80" t="str">
        <f t="shared" si="132"/>
        <v>CLG1</v>
      </c>
      <c r="AG755" s="80" t="str">
        <f t="shared" si="133"/>
        <v>LCOH1</v>
      </c>
      <c r="AH755" s="80" t="str">
        <f t="shared" si="134"/>
        <v>LCOJ1</v>
      </c>
    </row>
    <row r="756" spans="25:34" x14ac:dyDescent="0.35">
      <c r="Y756" s="74">
        <f t="shared" si="135"/>
        <v>44159</v>
      </c>
      <c r="Z756" s="74">
        <f t="shared" ca="1" si="126"/>
        <v>44186</v>
      </c>
      <c r="AA756" s="80" t="str">
        <f t="shared" ca="1" si="127"/>
        <v>CLF1</v>
      </c>
      <c r="AB756" s="74">
        <f t="shared" si="129"/>
        <v>44165</v>
      </c>
      <c r="AC756" s="80" t="str">
        <f t="shared" si="128"/>
        <v>LCOF1</v>
      </c>
      <c r="AD756" s="80" t="str">
        <f t="shared" si="130"/>
        <v>CLF1</v>
      </c>
      <c r="AE756" s="80" t="str">
        <f t="shared" si="131"/>
        <v>LCOG1</v>
      </c>
      <c r="AF756" s="80" t="str">
        <f t="shared" si="132"/>
        <v>CLG1</v>
      </c>
      <c r="AG756" s="80" t="str">
        <f t="shared" si="133"/>
        <v>LCOH1</v>
      </c>
      <c r="AH756" s="80" t="str">
        <f t="shared" si="134"/>
        <v>LCOJ1</v>
      </c>
    </row>
    <row r="757" spans="25:34" x14ac:dyDescent="0.35">
      <c r="Y757" s="74">
        <f t="shared" si="135"/>
        <v>44160</v>
      </c>
      <c r="Z757" s="74">
        <f t="shared" ca="1" si="126"/>
        <v>44186</v>
      </c>
      <c r="AA757" s="80" t="str">
        <f t="shared" ca="1" si="127"/>
        <v>CLF1</v>
      </c>
      <c r="AB757" s="74">
        <f t="shared" si="129"/>
        <v>44165</v>
      </c>
      <c r="AC757" s="80" t="str">
        <f t="shared" si="128"/>
        <v>LCOF1</v>
      </c>
      <c r="AD757" s="80" t="str">
        <f t="shared" si="130"/>
        <v>CLF1</v>
      </c>
      <c r="AE757" s="80" t="str">
        <f t="shared" si="131"/>
        <v>LCOG1</v>
      </c>
      <c r="AF757" s="80" t="str">
        <f t="shared" si="132"/>
        <v>CLG1</v>
      </c>
      <c r="AG757" s="80" t="str">
        <f t="shared" si="133"/>
        <v>LCOH1</v>
      </c>
      <c r="AH757" s="80" t="str">
        <f t="shared" si="134"/>
        <v>LCOJ1</v>
      </c>
    </row>
    <row r="758" spans="25:34" x14ac:dyDescent="0.35">
      <c r="Y758" s="74">
        <f t="shared" si="135"/>
        <v>44161</v>
      </c>
      <c r="Z758" s="74">
        <f t="shared" ca="1" si="126"/>
        <v>44186</v>
      </c>
      <c r="AA758" s="80" t="str">
        <f t="shared" ca="1" si="127"/>
        <v>CLF1</v>
      </c>
      <c r="AB758" s="74">
        <f t="shared" si="129"/>
        <v>44165</v>
      </c>
      <c r="AC758" s="80" t="str">
        <f t="shared" si="128"/>
        <v>LCOF1</v>
      </c>
      <c r="AD758" s="80" t="str">
        <f t="shared" si="130"/>
        <v>CLF1</v>
      </c>
      <c r="AE758" s="80" t="str">
        <f t="shared" si="131"/>
        <v>LCOG1</v>
      </c>
      <c r="AF758" s="80" t="str">
        <f t="shared" si="132"/>
        <v>CLG1</v>
      </c>
      <c r="AG758" s="80" t="str">
        <f t="shared" si="133"/>
        <v>LCOH1</v>
      </c>
      <c r="AH758" s="80" t="str">
        <f t="shared" si="134"/>
        <v>LCOJ1</v>
      </c>
    </row>
    <row r="759" spans="25:34" x14ac:dyDescent="0.35">
      <c r="Y759" s="74">
        <f t="shared" si="135"/>
        <v>44162</v>
      </c>
      <c r="Z759" s="74">
        <f t="shared" ca="1" si="126"/>
        <v>44186</v>
      </c>
      <c r="AA759" s="80" t="str">
        <f t="shared" ca="1" si="127"/>
        <v>CLF1</v>
      </c>
      <c r="AB759" s="74">
        <f t="shared" si="129"/>
        <v>44165</v>
      </c>
      <c r="AC759" s="80" t="str">
        <f t="shared" si="128"/>
        <v>LCOF1</v>
      </c>
      <c r="AD759" s="80" t="str">
        <f t="shared" si="130"/>
        <v>CLF1</v>
      </c>
      <c r="AE759" s="80" t="str">
        <f t="shared" si="131"/>
        <v>LCOG1</v>
      </c>
      <c r="AF759" s="80" t="str">
        <f t="shared" si="132"/>
        <v>CLG1</v>
      </c>
      <c r="AG759" s="80" t="str">
        <f t="shared" si="133"/>
        <v>LCOH1</v>
      </c>
      <c r="AH759" s="80" t="str">
        <f t="shared" si="134"/>
        <v>LCOJ1</v>
      </c>
    </row>
    <row r="760" spans="25:34" x14ac:dyDescent="0.35">
      <c r="Y760" s="74">
        <f t="shared" si="135"/>
        <v>44163</v>
      </c>
      <c r="Z760" s="74">
        <f t="shared" ca="1" si="126"/>
        <v>44186</v>
      </c>
      <c r="AA760" s="80" t="str">
        <f t="shared" ca="1" si="127"/>
        <v>CLF1</v>
      </c>
      <c r="AB760" s="74">
        <f t="shared" si="129"/>
        <v>44165</v>
      </c>
      <c r="AC760" s="80" t="str">
        <f t="shared" si="128"/>
        <v>LCOF1</v>
      </c>
      <c r="AD760" s="80" t="str">
        <f t="shared" si="130"/>
        <v>CLF1</v>
      </c>
      <c r="AE760" s="80" t="str">
        <f t="shared" si="131"/>
        <v>LCOG1</v>
      </c>
      <c r="AF760" s="80" t="str">
        <f t="shared" si="132"/>
        <v>CLG1</v>
      </c>
      <c r="AG760" s="80" t="str">
        <f t="shared" si="133"/>
        <v>LCOH1</v>
      </c>
      <c r="AH760" s="80" t="str">
        <f t="shared" si="134"/>
        <v>LCOJ1</v>
      </c>
    </row>
    <row r="761" spans="25:34" x14ac:dyDescent="0.35">
      <c r="Y761" s="74">
        <f t="shared" si="135"/>
        <v>44164</v>
      </c>
      <c r="Z761" s="74">
        <f t="shared" ca="1" si="126"/>
        <v>44186</v>
      </c>
      <c r="AA761" s="80" t="str">
        <f t="shared" ca="1" si="127"/>
        <v>CLF1</v>
      </c>
      <c r="AB761" s="74">
        <f t="shared" si="129"/>
        <v>44165</v>
      </c>
      <c r="AC761" s="80" t="str">
        <f t="shared" si="128"/>
        <v>LCOF1</v>
      </c>
      <c r="AD761" s="80" t="str">
        <f t="shared" si="130"/>
        <v>CLF1</v>
      </c>
      <c r="AE761" s="80" t="str">
        <f t="shared" si="131"/>
        <v>LCOG1</v>
      </c>
      <c r="AF761" s="80" t="str">
        <f t="shared" si="132"/>
        <v>CLG1</v>
      </c>
      <c r="AG761" s="80" t="str">
        <f t="shared" si="133"/>
        <v>LCOH1</v>
      </c>
      <c r="AH761" s="80" t="str">
        <f t="shared" si="134"/>
        <v>LCOJ1</v>
      </c>
    </row>
    <row r="762" spans="25:34" x14ac:dyDescent="0.35">
      <c r="Y762" s="74">
        <f t="shared" si="135"/>
        <v>44165</v>
      </c>
      <c r="Z762" s="74">
        <f t="shared" ca="1" si="126"/>
        <v>44186</v>
      </c>
      <c r="AA762" s="80" t="str">
        <f t="shared" ca="1" si="127"/>
        <v>CLF1</v>
      </c>
      <c r="AB762" s="74">
        <f t="shared" si="129"/>
        <v>44165</v>
      </c>
      <c r="AC762" s="80" t="str">
        <f t="shared" si="128"/>
        <v>LCOF1</v>
      </c>
      <c r="AD762" s="80" t="str">
        <f t="shared" si="130"/>
        <v>CLF1</v>
      </c>
      <c r="AE762" s="80" t="str">
        <f t="shared" si="131"/>
        <v>LCOG1</v>
      </c>
      <c r="AF762" s="80" t="str">
        <f t="shared" si="132"/>
        <v>CLG1</v>
      </c>
      <c r="AG762" s="80" t="str">
        <f t="shared" si="133"/>
        <v>LCOH1</v>
      </c>
      <c r="AH762" s="80" t="str">
        <f t="shared" si="134"/>
        <v>LCOJ1</v>
      </c>
    </row>
    <row r="763" spans="25:34" x14ac:dyDescent="0.35">
      <c r="Y763" s="74">
        <f t="shared" si="135"/>
        <v>44166</v>
      </c>
      <c r="Z763" s="74">
        <f t="shared" ca="1" si="126"/>
        <v>44186</v>
      </c>
      <c r="AA763" s="80" t="str">
        <f t="shared" ca="1" si="127"/>
        <v>CLF1</v>
      </c>
      <c r="AB763" s="74">
        <f t="shared" si="129"/>
        <v>44195</v>
      </c>
      <c r="AC763" s="80" t="str">
        <f t="shared" si="128"/>
        <v>LCOG1</v>
      </c>
      <c r="AD763" s="80" t="str">
        <f t="shared" si="130"/>
        <v>CLG1</v>
      </c>
      <c r="AE763" s="80" t="str">
        <f t="shared" si="131"/>
        <v>LCOH1</v>
      </c>
      <c r="AF763" s="80" t="str">
        <f t="shared" si="132"/>
        <v>CLH1</v>
      </c>
      <c r="AG763" s="80" t="str">
        <f t="shared" si="133"/>
        <v>LCOJ1</v>
      </c>
      <c r="AH763" s="80" t="str">
        <f t="shared" si="134"/>
        <v>LCOK1</v>
      </c>
    </row>
    <row r="764" spans="25:34" x14ac:dyDescent="0.35">
      <c r="Y764" s="74">
        <f t="shared" si="135"/>
        <v>44167</v>
      </c>
      <c r="Z764" s="74">
        <f t="shared" ca="1" si="126"/>
        <v>44186</v>
      </c>
      <c r="AA764" s="80" t="str">
        <f t="shared" ca="1" si="127"/>
        <v>CLF1</v>
      </c>
      <c r="AB764" s="74">
        <f t="shared" si="129"/>
        <v>44195</v>
      </c>
      <c r="AC764" s="80" t="str">
        <f t="shared" si="128"/>
        <v>LCOG1</v>
      </c>
      <c r="AD764" s="80" t="str">
        <f t="shared" si="130"/>
        <v>CLG1</v>
      </c>
      <c r="AE764" s="80" t="str">
        <f t="shared" si="131"/>
        <v>LCOH1</v>
      </c>
      <c r="AF764" s="80" t="str">
        <f t="shared" si="132"/>
        <v>CLH1</v>
      </c>
      <c r="AG764" s="80" t="str">
        <f t="shared" si="133"/>
        <v>LCOJ1</v>
      </c>
      <c r="AH764" s="80" t="str">
        <f t="shared" si="134"/>
        <v>LCOK1</v>
      </c>
    </row>
    <row r="765" spans="25:34" x14ac:dyDescent="0.35">
      <c r="Y765" s="74">
        <f t="shared" si="135"/>
        <v>44168</v>
      </c>
      <c r="Z765" s="74">
        <f t="shared" ca="1" si="126"/>
        <v>44186</v>
      </c>
      <c r="AA765" s="80" t="str">
        <f t="shared" ca="1" si="127"/>
        <v>CLF1</v>
      </c>
      <c r="AB765" s="74">
        <f t="shared" si="129"/>
        <v>44195</v>
      </c>
      <c r="AC765" s="80" t="str">
        <f t="shared" si="128"/>
        <v>LCOG1</v>
      </c>
      <c r="AD765" s="80" t="str">
        <f t="shared" si="130"/>
        <v>CLG1</v>
      </c>
      <c r="AE765" s="80" t="str">
        <f t="shared" si="131"/>
        <v>LCOH1</v>
      </c>
      <c r="AF765" s="80" t="str">
        <f t="shared" si="132"/>
        <v>CLH1</v>
      </c>
      <c r="AG765" s="80" t="str">
        <f t="shared" si="133"/>
        <v>LCOJ1</v>
      </c>
      <c r="AH765" s="80" t="str">
        <f t="shared" si="134"/>
        <v>LCOK1</v>
      </c>
    </row>
    <row r="766" spans="25:34" x14ac:dyDescent="0.35">
      <c r="Y766" s="74">
        <f t="shared" si="135"/>
        <v>44169</v>
      </c>
      <c r="Z766" s="74">
        <f t="shared" ca="1" si="126"/>
        <v>44186</v>
      </c>
      <c r="AA766" s="80" t="str">
        <f t="shared" ca="1" si="127"/>
        <v>CLF1</v>
      </c>
      <c r="AB766" s="74">
        <f t="shared" si="129"/>
        <v>44195</v>
      </c>
      <c r="AC766" s="80" t="str">
        <f t="shared" si="128"/>
        <v>LCOG1</v>
      </c>
      <c r="AD766" s="80" t="str">
        <f t="shared" si="130"/>
        <v>CLG1</v>
      </c>
      <c r="AE766" s="80" t="str">
        <f t="shared" si="131"/>
        <v>LCOH1</v>
      </c>
      <c r="AF766" s="80" t="str">
        <f t="shared" si="132"/>
        <v>CLH1</v>
      </c>
      <c r="AG766" s="80" t="str">
        <f t="shared" si="133"/>
        <v>LCOJ1</v>
      </c>
      <c r="AH766" s="80" t="str">
        <f t="shared" si="134"/>
        <v>LCOK1</v>
      </c>
    </row>
    <row r="767" spans="25:34" x14ac:dyDescent="0.35">
      <c r="Y767" s="74">
        <f t="shared" si="135"/>
        <v>44170</v>
      </c>
      <c r="Z767" s="74">
        <f t="shared" ca="1" si="126"/>
        <v>44186</v>
      </c>
      <c r="AA767" s="80" t="str">
        <f t="shared" ca="1" si="127"/>
        <v>CLF1</v>
      </c>
      <c r="AB767" s="74">
        <f t="shared" si="129"/>
        <v>44195</v>
      </c>
      <c r="AC767" s="80" t="str">
        <f t="shared" si="128"/>
        <v>LCOG1</v>
      </c>
      <c r="AD767" s="80" t="str">
        <f t="shared" si="130"/>
        <v>CLG1</v>
      </c>
      <c r="AE767" s="80" t="str">
        <f t="shared" si="131"/>
        <v>LCOH1</v>
      </c>
      <c r="AF767" s="80" t="str">
        <f t="shared" si="132"/>
        <v>CLH1</v>
      </c>
      <c r="AG767" s="80" t="str">
        <f t="shared" si="133"/>
        <v>LCOJ1</v>
      </c>
      <c r="AH767" s="80" t="str">
        <f t="shared" si="134"/>
        <v>LCOK1</v>
      </c>
    </row>
    <row r="768" spans="25:34" x14ac:dyDescent="0.35">
      <c r="Y768" s="74">
        <f t="shared" si="135"/>
        <v>44171</v>
      </c>
      <c r="Z768" s="74">
        <f t="shared" ca="1" si="126"/>
        <v>44186</v>
      </c>
      <c r="AA768" s="80" t="str">
        <f t="shared" ca="1" si="127"/>
        <v>CLF1</v>
      </c>
      <c r="AB768" s="74">
        <f t="shared" si="129"/>
        <v>44195</v>
      </c>
      <c r="AC768" s="80" t="str">
        <f t="shared" si="128"/>
        <v>LCOG1</v>
      </c>
      <c r="AD768" s="80" t="str">
        <f t="shared" si="130"/>
        <v>CLG1</v>
      </c>
      <c r="AE768" s="80" t="str">
        <f t="shared" si="131"/>
        <v>LCOH1</v>
      </c>
      <c r="AF768" s="80" t="str">
        <f t="shared" si="132"/>
        <v>CLH1</v>
      </c>
      <c r="AG768" s="80" t="str">
        <f t="shared" si="133"/>
        <v>LCOJ1</v>
      </c>
      <c r="AH768" s="80" t="str">
        <f t="shared" si="134"/>
        <v>LCOK1</v>
      </c>
    </row>
    <row r="769" spans="25:34" x14ac:dyDescent="0.35">
      <c r="Y769" s="74">
        <f t="shared" si="135"/>
        <v>44172</v>
      </c>
      <c r="Z769" s="74">
        <f t="shared" ca="1" si="126"/>
        <v>44186</v>
      </c>
      <c r="AA769" s="80" t="str">
        <f t="shared" ca="1" si="127"/>
        <v>CLF1</v>
      </c>
      <c r="AB769" s="74">
        <f t="shared" si="129"/>
        <v>44195</v>
      </c>
      <c r="AC769" s="80" t="str">
        <f t="shared" si="128"/>
        <v>LCOG1</v>
      </c>
      <c r="AD769" s="80" t="str">
        <f t="shared" si="130"/>
        <v>CLG1</v>
      </c>
      <c r="AE769" s="80" t="str">
        <f t="shared" si="131"/>
        <v>LCOH1</v>
      </c>
      <c r="AF769" s="80" t="str">
        <f t="shared" si="132"/>
        <v>CLH1</v>
      </c>
      <c r="AG769" s="80" t="str">
        <f t="shared" si="133"/>
        <v>LCOJ1</v>
      </c>
      <c r="AH769" s="80" t="str">
        <f t="shared" si="134"/>
        <v>LCOK1</v>
      </c>
    </row>
    <row r="770" spans="25:34" x14ac:dyDescent="0.35">
      <c r="Y770" s="74">
        <f t="shared" si="135"/>
        <v>44173</v>
      </c>
      <c r="Z770" s="74">
        <f t="shared" ref="Z770:Z833" ca="1" si="136">VLOOKUP(AA770,$I$2:$K$39,3,FALSE)</f>
        <v>44186</v>
      </c>
      <c r="AA770" s="80" t="str">
        <f t="shared" ref="AA770:AA833" ca="1" si="137">LOOKUP(2,1/($J$2:$J$700&lt;=$Y770)/($K$2:$K$700&gt;=$Y770),$L$2:$L$700)</f>
        <v>CLF1</v>
      </c>
      <c r="AB770" s="74">
        <f t="shared" si="129"/>
        <v>44195</v>
      </c>
      <c r="AC770" s="80" t="str">
        <f t="shared" ref="AC770:AC833" si="138">LOOKUP(2,1/($R$2:$R$700&lt;=$Y770)/($S$2:$S$700&gt;=$Y770),$T$2:$T$700)</f>
        <v>LCOG1</v>
      </c>
      <c r="AD770" s="80" t="str">
        <f t="shared" si="130"/>
        <v>CLG1</v>
      </c>
      <c r="AE770" s="80" t="str">
        <f t="shared" si="131"/>
        <v>LCOH1</v>
      </c>
      <c r="AF770" s="80" t="str">
        <f t="shared" si="132"/>
        <v>CLH1</v>
      </c>
      <c r="AG770" s="80" t="str">
        <f t="shared" si="133"/>
        <v>LCOJ1</v>
      </c>
      <c r="AH770" s="80" t="str">
        <f t="shared" si="134"/>
        <v>LCOK1</v>
      </c>
    </row>
    <row r="771" spans="25:34" x14ac:dyDescent="0.35">
      <c r="Y771" s="74">
        <f t="shared" si="135"/>
        <v>44174</v>
      </c>
      <c r="Z771" s="74">
        <f t="shared" ca="1" si="136"/>
        <v>44186</v>
      </c>
      <c r="AA771" s="80" t="str">
        <f t="shared" ca="1" si="137"/>
        <v>CLF1</v>
      </c>
      <c r="AB771" s="74">
        <f t="shared" ref="AB771:AB834" si="139">VLOOKUP(AC771,$Q$2:$S$39,3,FALSE)</f>
        <v>44195</v>
      </c>
      <c r="AC771" s="80" t="str">
        <f t="shared" si="138"/>
        <v>LCOG1</v>
      </c>
      <c r="AD771" s="80" t="str">
        <f t="shared" ref="AD771:AD834" si="140">CONCATENATE("CL",RIGHT(AC771,2))</f>
        <v>CLG1</v>
      </c>
      <c r="AE771" s="80" t="str">
        <f t="shared" ref="AE771:AE834" si="141">LOOKUP(2,1/($R$2:$R$700&lt;=$Y771)/($S$2:$S$700&gt;=$Y771),$U$2:$U$700)</f>
        <v>LCOH1</v>
      </c>
      <c r="AF771" s="80" t="str">
        <f t="shared" ref="AF771:AF834" si="142">CONCATENATE("CL",RIGHT(AE771,2))</f>
        <v>CLH1</v>
      </c>
      <c r="AG771" s="80" t="str">
        <f t="shared" ref="AG771:AG834" si="143">LOOKUP(2,1/($R$2:$R$700&lt;=$Y771)/($S$2:$S$700&gt;=$Y771),$V$2:$V$700)</f>
        <v>LCOJ1</v>
      </c>
      <c r="AH771" s="80" t="str">
        <f t="shared" ref="AH771:AH834" si="144">LOOKUP(2,1/($R$2:$R$700&lt;=$Y771)/($S$2:$S$700&gt;=$Y771),$W$2:$W$700)</f>
        <v>LCOK1</v>
      </c>
    </row>
    <row r="772" spans="25:34" x14ac:dyDescent="0.35">
      <c r="Y772" s="74">
        <f t="shared" si="135"/>
        <v>44175</v>
      </c>
      <c r="Z772" s="74">
        <f t="shared" ca="1" si="136"/>
        <v>44186</v>
      </c>
      <c r="AA772" s="80" t="str">
        <f t="shared" ca="1" si="137"/>
        <v>CLF1</v>
      </c>
      <c r="AB772" s="74">
        <f t="shared" si="139"/>
        <v>44195</v>
      </c>
      <c r="AC772" s="80" t="str">
        <f t="shared" si="138"/>
        <v>LCOG1</v>
      </c>
      <c r="AD772" s="80" t="str">
        <f t="shared" si="140"/>
        <v>CLG1</v>
      </c>
      <c r="AE772" s="80" t="str">
        <f t="shared" si="141"/>
        <v>LCOH1</v>
      </c>
      <c r="AF772" s="80" t="str">
        <f t="shared" si="142"/>
        <v>CLH1</v>
      </c>
      <c r="AG772" s="80" t="str">
        <f t="shared" si="143"/>
        <v>LCOJ1</v>
      </c>
      <c r="AH772" s="80" t="str">
        <f t="shared" si="144"/>
        <v>LCOK1</v>
      </c>
    </row>
    <row r="773" spans="25:34" x14ac:dyDescent="0.35">
      <c r="Y773" s="74">
        <f t="shared" si="135"/>
        <v>44176</v>
      </c>
      <c r="Z773" s="74">
        <f t="shared" ca="1" si="136"/>
        <v>44186</v>
      </c>
      <c r="AA773" s="80" t="str">
        <f t="shared" ca="1" si="137"/>
        <v>CLF1</v>
      </c>
      <c r="AB773" s="74">
        <f t="shared" si="139"/>
        <v>44195</v>
      </c>
      <c r="AC773" s="80" t="str">
        <f t="shared" si="138"/>
        <v>LCOG1</v>
      </c>
      <c r="AD773" s="80" t="str">
        <f t="shared" si="140"/>
        <v>CLG1</v>
      </c>
      <c r="AE773" s="80" t="str">
        <f t="shared" si="141"/>
        <v>LCOH1</v>
      </c>
      <c r="AF773" s="80" t="str">
        <f t="shared" si="142"/>
        <v>CLH1</v>
      </c>
      <c r="AG773" s="80" t="str">
        <f t="shared" si="143"/>
        <v>LCOJ1</v>
      </c>
      <c r="AH773" s="80" t="str">
        <f t="shared" si="144"/>
        <v>LCOK1</v>
      </c>
    </row>
    <row r="774" spans="25:34" x14ac:dyDescent="0.35">
      <c r="Y774" s="74">
        <f t="shared" si="135"/>
        <v>44177</v>
      </c>
      <c r="Z774" s="74">
        <f t="shared" ca="1" si="136"/>
        <v>44186</v>
      </c>
      <c r="AA774" s="80" t="str">
        <f t="shared" ca="1" si="137"/>
        <v>CLF1</v>
      </c>
      <c r="AB774" s="74">
        <f t="shared" si="139"/>
        <v>44195</v>
      </c>
      <c r="AC774" s="80" t="str">
        <f t="shared" si="138"/>
        <v>LCOG1</v>
      </c>
      <c r="AD774" s="80" t="str">
        <f t="shared" si="140"/>
        <v>CLG1</v>
      </c>
      <c r="AE774" s="80" t="str">
        <f t="shared" si="141"/>
        <v>LCOH1</v>
      </c>
      <c r="AF774" s="80" t="str">
        <f t="shared" si="142"/>
        <v>CLH1</v>
      </c>
      <c r="AG774" s="80" t="str">
        <f t="shared" si="143"/>
        <v>LCOJ1</v>
      </c>
      <c r="AH774" s="80" t="str">
        <f t="shared" si="144"/>
        <v>LCOK1</v>
      </c>
    </row>
    <row r="775" spans="25:34" x14ac:dyDescent="0.35">
      <c r="Y775" s="74">
        <f t="shared" si="135"/>
        <v>44178</v>
      </c>
      <c r="Z775" s="74">
        <f t="shared" ca="1" si="136"/>
        <v>44186</v>
      </c>
      <c r="AA775" s="80" t="str">
        <f t="shared" ca="1" si="137"/>
        <v>CLF1</v>
      </c>
      <c r="AB775" s="74">
        <f t="shared" si="139"/>
        <v>44195</v>
      </c>
      <c r="AC775" s="80" t="str">
        <f t="shared" si="138"/>
        <v>LCOG1</v>
      </c>
      <c r="AD775" s="80" t="str">
        <f t="shared" si="140"/>
        <v>CLG1</v>
      </c>
      <c r="AE775" s="80" t="str">
        <f t="shared" si="141"/>
        <v>LCOH1</v>
      </c>
      <c r="AF775" s="80" t="str">
        <f t="shared" si="142"/>
        <v>CLH1</v>
      </c>
      <c r="AG775" s="80" t="str">
        <f t="shared" si="143"/>
        <v>LCOJ1</v>
      </c>
      <c r="AH775" s="80" t="str">
        <f t="shared" si="144"/>
        <v>LCOK1</v>
      </c>
    </row>
    <row r="776" spans="25:34" x14ac:dyDescent="0.35">
      <c r="Y776" s="74">
        <f t="shared" si="135"/>
        <v>44179</v>
      </c>
      <c r="Z776" s="74">
        <f t="shared" ca="1" si="136"/>
        <v>44186</v>
      </c>
      <c r="AA776" s="80" t="str">
        <f t="shared" ca="1" si="137"/>
        <v>CLF1</v>
      </c>
      <c r="AB776" s="74">
        <f t="shared" si="139"/>
        <v>44195</v>
      </c>
      <c r="AC776" s="80" t="str">
        <f t="shared" si="138"/>
        <v>LCOG1</v>
      </c>
      <c r="AD776" s="80" t="str">
        <f t="shared" si="140"/>
        <v>CLG1</v>
      </c>
      <c r="AE776" s="80" t="str">
        <f t="shared" si="141"/>
        <v>LCOH1</v>
      </c>
      <c r="AF776" s="80" t="str">
        <f t="shared" si="142"/>
        <v>CLH1</v>
      </c>
      <c r="AG776" s="80" t="str">
        <f t="shared" si="143"/>
        <v>LCOJ1</v>
      </c>
      <c r="AH776" s="80" t="str">
        <f t="shared" si="144"/>
        <v>LCOK1</v>
      </c>
    </row>
    <row r="777" spans="25:34" x14ac:dyDescent="0.35">
      <c r="Y777" s="74">
        <f t="shared" si="135"/>
        <v>44180</v>
      </c>
      <c r="Z777" s="74">
        <f t="shared" ca="1" si="136"/>
        <v>44186</v>
      </c>
      <c r="AA777" s="80" t="str">
        <f t="shared" ca="1" si="137"/>
        <v>CLF1</v>
      </c>
      <c r="AB777" s="74">
        <f t="shared" si="139"/>
        <v>44195</v>
      </c>
      <c r="AC777" s="80" t="str">
        <f t="shared" si="138"/>
        <v>LCOG1</v>
      </c>
      <c r="AD777" s="80" t="str">
        <f t="shared" si="140"/>
        <v>CLG1</v>
      </c>
      <c r="AE777" s="80" t="str">
        <f t="shared" si="141"/>
        <v>LCOH1</v>
      </c>
      <c r="AF777" s="80" t="str">
        <f t="shared" si="142"/>
        <v>CLH1</v>
      </c>
      <c r="AG777" s="80" t="str">
        <f t="shared" si="143"/>
        <v>LCOJ1</v>
      </c>
      <c r="AH777" s="80" t="str">
        <f t="shared" si="144"/>
        <v>LCOK1</v>
      </c>
    </row>
    <row r="778" spans="25:34" x14ac:dyDescent="0.35">
      <c r="Y778" s="74">
        <f t="shared" si="135"/>
        <v>44181</v>
      </c>
      <c r="Z778" s="74">
        <f t="shared" ca="1" si="136"/>
        <v>44186</v>
      </c>
      <c r="AA778" s="80" t="str">
        <f t="shared" ca="1" si="137"/>
        <v>CLF1</v>
      </c>
      <c r="AB778" s="74">
        <f t="shared" si="139"/>
        <v>44195</v>
      </c>
      <c r="AC778" s="80" t="str">
        <f t="shared" si="138"/>
        <v>LCOG1</v>
      </c>
      <c r="AD778" s="80" t="str">
        <f t="shared" si="140"/>
        <v>CLG1</v>
      </c>
      <c r="AE778" s="80" t="str">
        <f t="shared" si="141"/>
        <v>LCOH1</v>
      </c>
      <c r="AF778" s="80" t="str">
        <f t="shared" si="142"/>
        <v>CLH1</v>
      </c>
      <c r="AG778" s="80" t="str">
        <f t="shared" si="143"/>
        <v>LCOJ1</v>
      </c>
      <c r="AH778" s="80" t="str">
        <f t="shared" si="144"/>
        <v>LCOK1</v>
      </c>
    </row>
    <row r="779" spans="25:34" x14ac:dyDescent="0.35">
      <c r="Y779" s="74">
        <f t="shared" si="135"/>
        <v>44182</v>
      </c>
      <c r="Z779" s="74">
        <f t="shared" ca="1" si="136"/>
        <v>44186</v>
      </c>
      <c r="AA779" s="80" t="str">
        <f t="shared" ca="1" si="137"/>
        <v>CLF1</v>
      </c>
      <c r="AB779" s="74">
        <f t="shared" si="139"/>
        <v>44195</v>
      </c>
      <c r="AC779" s="80" t="str">
        <f t="shared" si="138"/>
        <v>LCOG1</v>
      </c>
      <c r="AD779" s="80" t="str">
        <f t="shared" si="140"/>
        <v>CLG1</v>
      </c>
      <c r="AE779" s="80" t="str">
        <f t="shared" si="141"/>
        <v>LCOH1</v>
      </c>
      <c r="AF779" s="80" t="str">
        <f t="shared" si="142"/>
        <v>CLH1</v>
      </c>
      <c r="AG779" s="80" t="str">
        <f t="shared" si="143"/>
        <v>LCOJ1</v>
      </c>
      <c r="AH779" s="80" t="str">
        <f t="shared" si="144"/>
        <v>LCOK1</v>
      </c>
    </row>
    <row r="780" spans="25:34" x14ac:dyDescent="0.35">
      <c r="Y780" s="74">
        <f t="shared" si="135"/>
        <v>44183</v>
      </c>
      <c r="Z780" s="74">
        <f t="shared" ca="1" si="136"/>
        <v>44186</v>
      </c>
      <c r="AA780" s="80" t="str">
        <f t="shared" ca="1" si="137"/>
        <v>CLF1</v>
      </c>
      <c r="AB780" s="74">
        <f t="shared" si="139"/>
        <v>44195</v>
      </c>
      <c r="AC780" s="80" t="str">
        <f t="shared" si="138"/>
        <v>LCOG1</v>
      </c>
      <c r="AD780" s="80" t="str">
        <f t="shared" si="140"/>
        <v>CLG1</v>
      </c>
      <c r="AE780" s="80" t="str">
        <f t="shared" si="141"/>
        <v>LCOH1</v>
      </c>
      <c r="AF780" s="80" t="str">
        <f t="shared" si="142"/>
        <v>CLH1</v>
      </c>
      <c r="AG780" s="80" t="str">
        <f t="shared" si="143"/>
        <v>LCOJ1</v>
      </c>
      <c r="AH780" s="80" t="str">
        <f t="shared" si="144"/>
        <v>LCOK1</v>
      </c>
    </row>
    <row r="781" spans="25:34" x14ac:dyDescent="0.35">
      <c r="Y781" s="74">
        <f t="shared" si="135"/>
        <v>44184</v>
      </c>
      <c r="Z781" s="74">
        <f t="shared" ca="1" si="136"/>
        <v>44186</v>
      </c>
      <c r="AA781" s="80" t="str">
        <f t="shared" ca="1" si="137"/>
        <v>CLF1</v>
      </c>
      <c r="AB781" s="74">
        <f t="shared" si="139"/>
        <v>44195</v>
      </c>
      <c r="AC781" s="80" t="str">
        <f t="shared" si="138"/>
        <v>LCOG1</v>
      </c>
      <c r="AD781" s="80" t="str">
        <f t="shared" si="140"/>
        <v>CLG1</v>
      </c>
      <c r="AE781" s="80" t="str">
        <f t="shared" si="141"/>
        <v>LCOH1</v>
      </c>
      <c r="AF781" s="80" t="str">
        <f t="shared" si="142"/>
        <v>CLH1</v>
      </c>
      <c r="AG781" s="80" t="str">
        <f t="shared" si="143"/>
        <v>LCOJ1</v>
      </c>
      <c r="AH781" s="80" t="str">
        <f t="shared" si="144"/>
        <v>LCOK1</v>
      </c>
    </row>
    <row r="782" spans="25:34" x14ac:dyDescent="0.35">
      <c r="Y782" s="74">
        <f t="shared" si="135"/>
        <v>44185</v>
      </c>
      <c r="Z782" s="74">
        <f t="shared" ca="1" si="136"/>
        <v>44186</v>
      </c>
      <c r="AA782" s="80" t="str">
        <f t="shared" ca="1" si="137"/>
        <v>CLF1</v>
      </c>
      <c r="AB782" s="74">
        <f t="shared" si="139"/>
        <v>44195</v>
      </c>
      <c r="AC782" s="80" t="str">
        <f t="shared" si="138"/>
        <v>LCOG1</v>
      </c>
      <c r="AD782" s="80" t="str">
        <f t="shared" si="140"/>
        <v>CLG1</v>
      </c>
      <c r="AE782" s="80" t="str">
        <f t="shared" si="141"/>
        <v>LCOH1</v>
      </c>
      <c r="AF782" s="80" t="str">
        <f t="shared" si="142"/>
        <v>CLH1</v>
      </c>
      <c r="AG782" s="80" t="str">
        <f t="shared" si="143"/>
        <v>LCOJ1</v>
      </c>
      <c r="AH782" s="80" t="str">
        <f t="shared" si="144"/>
        <v>LCOK1</v>
      </c>
    </row>
    <row r="783" spans="25:34" x14ac:dyDescent="0.35">
      <c r="Y783" s="74">
        <f t="shared" si="135"/>
        <v>44186</v>
      </c>
      <c r="Z783" s="74">
        <f t="shared" ca="1" si="136"/>
        <v>44186</v>
      </c>
      <c r="AA783" s="80" t="str">
        <f t="shared" ca="1" si="137"/>
        <v>CLF1</v>
      </c>
      <c r="AB783" s="74">
        <f t="shared" si="139"/>
        <v>44195</v>
      </c>
      <c r="AC783" s="80" t="str">
        <f t="shared" si="138"/>
        <v>LCOG1</v>
      </c>
      <c r="AD783" s="80" t="str">
        <f t="shared" si="140"/>
        <v>CLG1</v>
      </c>
      <c r="AE783" s="80" t="str">
        <f t="shared" si="141"/>
        <v>LCOH1</v>
      </c>
      <c r="AF783" s="80" t="str">
        <f t="shared" si="142"/>
        <v>CLH1</v>
      </c>
      <c r="AG783" s="80" t="str">
        <f t="shared" si="143"/>
        <v>LCOJ1</v>
      </c>
      <c r="AH783" s="80" t="str">
        <f t="shared" si="144"/>
        <v>LCOK1</v>
      </c>
    </row>
    <row r="784" spans="25:34" x14ac:dyDescent="0.35">
      <c r="Y784" s="74">
        <f t="shared" si="135"/>
        <v>44187</v>
      </c>
      <c r="Z784" s="74">
        <f t="shared" ca="1" si="136"/>
        <v>44216</v>
      </c>
      <c r="AA784" s="80" t="str">
        <f t="shared" ca="1" si="137"/>
        <v>CLG1</v>
      </c>
      <c r="AB784" s="74">
        <f t="shared" si="139"/>
        <v>44195</v>
      </c>
      <c r="AC784" s="80" t="str">
        <f t="shared" si="138"/>
        <v>LCOG1</v>
      </c>
      <c r="AD784" s="80" t="str">
        <f t="shared" si="140"/>
        <v>CLG1</v>
      </c>
      <c r="AE784" s="80" t="str">
        <f t="shared" si="141"/>
        <v>LCOH1</v>
      </c>
      <c r="AF784" s="80" t="str">
        <f t="shared" si="142"/>
        <v>CLH1</v>
      </c>
      <c r="AG784" s="80" t="str">
        <f t="shared" si="143"/>
        <v>LCOJ1</v>
      </c>
      <c r="AH784" s="80" t="str">
        <f t="shared" si="144"/>
        <v>LCOK1</v>
      </c>
    </row>
    <row r="785" spans="25:34" x14ac:dyDescent="0.35">
      <c r="Y785" s="74">
        <f t="shared" si="135"/>
        <v>44188</v>
      </c>
      <c r="Z785" s="74">
        <f t="shared" ca="1" si="136"/>
        <v>44216</v>
      </c>
      <c r="AA785" s="80" t="str">
        <f t="shared" ca="1" si="137"/>
        <v>CLG1</v>
      </c>
      <c r="AB785" s="74">
        <f t="shared" si="139"/>
        <v>44195</v>
      </c>
      <c r="AC785" s="80" t="str">
        <f t="shared" si="138"/>
        <v>LCOG1</v>
      </c>
      <c r="AD785" s="80" t="str">
        <f t="shared" si="140"/>
        <v>CLG1</v>
      </c>
      <c r="AE785" s="80" t="str">
        <f t="shared" si="141"/>
        <v>LCOH1</v>
      </c>
      <c r="AF785" s="80" t="str">
        <f t="shared" si="142"/>
        <v>CLH1</v>
      </c>
      <c r="AG785" s="80" t="str">
        <f t="shared" si="143"/>
        <v>LCOJ1</v>
      </c>
      <c r="AH785" s="80" t="str">
        <f t="shared" si="144"/>
        <v>LCOK1</v>
      </c>
    </row>
    <row r="786" spans="25:34" x14ac:dyDescent="0.35">
      <c r="Y786" s="74">
        <f t="shared" si="135"/>
        <v>44189</v>
      </c>
      <c r="Z786" s="74">
        <f t="shared" ca="1" si="136"/>
        <v>44216</v>
      </c>
      <c r="AA786" s="80" t="str">
        <f t="shared" ca="1" si="137"/>
        <v>CLG1</v>
      </c>
      <c r="AB786" s="74">
        <f t="shared" si="139"/>
        <v>44195</v>
      </c>
      <c r="AC786" s="80" t="str">
        <f t="shared" si="138"/>
        <v>LCOG1</v>
      </c>
      <c r="AD786" s="80" t="str">
        <f t="shared" si="140"/>
        <v>CLG1</v>
      </c>
      <c r="AE786" s="80" t="str">
        <f t="shared" si="141"/>
        <v>LCOH1</v>
      </c>
      <c r="AF786" s="80" t="str">
        <f t="shared" si="142"/>
        <v>CLH1</v>
      </c>
      <c r="AG786" s="80" t="str">
        <f t="shared" si="143"/>
        <v>LCOJ1</v>
      </c>
      <c r="AH786" s="80" t="str">
        <f t="shared" si="144"/>
        <v>LCOK1</v>
      </c>
    </row>
    <row r="787" spans="25:34" x14ac:dyDescent="0.35">
      <c r="Y787" s="74">
        <f t="shared" si="135"/>
        <v>44190</v>
      </c>
      <c r="Z787" s="74">
        <f t="shared" ca="1" si="136"/>
        <v>44216</v>
      </c>
      <c r="AA787" s="80" t="str">
        <f t="shared" ca="1" si="137"/>
        <v>CLG1</v>
      </c>
      <c r="AB787" s="74">
        <f t="shared" si="139"/>
        <v>44195</v>
      </c>
      <c r="AC787" s="80" t="str">
        <f t="shared" si="138"/>
        <v>LCOG1</v>
      </c>
      <c r="AD787" s="80" t="str">
        <f t="shared" si="140"/>
        <v>CLG1</v>
      </c>
      <c r="AE787" s="80" t="str">
        <f t="shared" si="141"/>
        <v>LCOH1</v>
      </c>
      <c r="AF787" s="80" t="str">
        <f t="shared" si="142"/>
        <v>CLH1</v>
      </c>
      <c r="AG787" s="80" t="str">
        <f t="shared" si="143"/>
        <v>LCOJ1</v>
      </c>
      <c r="AH787" s="80" t="str">
        <f t="shared" si="144"/>
        <v>LCOK1</v>
      </c>
    </row>
    <row r="788" spans="25:34" x14ac:dyDescent="0.35">
      <c r="Y788" s="74">
        <f t="shared" si="135"/>
        <v>44191</v>
      </c>
      <c r="Z788" s="74">
        <f t="shared" ca="1" si="136"/>
        <v>44216</v>
      </c>
      <c r="AA788" s="80" t="str">
        <f t="shared" ca="1" si="137"/>
        <v>CLG1</v>
      </c>
      <c r="AB788" s="74">
        <f t="shared" si="139"/>
        <v>44195</v>
      </c>
      <c r="AC788" s="80" t="str">
        <f t="shared" si="138"/>
        <v>LCOG1</v>
      </c>
      <c r="AD788" s="80" t="str">
        <f t="shared" si="140"/>
        <v>CLG1</v>
      </c>
      <c r="AE788" s="80" t="str">
        <f t="shared" si="141"/>
        <v>LCOH1</v>
      </c>
      <c r="AF788" s="80" t="str">
        <f t="shared" si="142"/>
        <v>CLH1</v>
      </c>
      <c r="AG788" s="80" t="str">
        <f t="shared" si="143"/>
        <v>LCOJ1</v>
      </c>
      <c r="AH788" s="80" t="str">
        <f t="shared" si="144"/>
        <v>LCOK1</v>
      </c>
    </row>
    <row r="789" spans="25:34" x14ac:dyDescent="0.35">
      <c r="Y789" s="74">
        <f t="shared" si="135"/>
        <v>44192</v>
      </c>
      <c r="Z789" s="74">
        <f t="shared" ca="1" si="136"/>
        <v>44216</v>
      </c>
      <c r="AA789" s="80" t="str">
        <f t="shared" ca="1" si="137"/>
        <v>CLG1</v>
      </c>
      <c r="AB789" s="74">
        <f t="shared" si="139"/>
        <v>44195</v>
      </c>
      <c r="AC789" s="80" t="str">
        <f t="shared" si="138"/>
        <v>LCOG1</v>
      </c>
      <c r="AD789" s="80" t="str">
        <f t="shared" si="140"/>
        <v>CLG1</v>
      </c>
      <c r="AE789" s="80" t="str">
        <f t="shared" si="141"/>
        <v>LCOH1</v>
      </c>
      <c r="AF789" s="80" t="str">
        <f t="shared" si="142"/>
        <v>CLH1</v>
      </c>
      <c r="AG789" s="80" t="str">
        <f t="shared" si="143"/>
        <v>LCOJ1</v>
      </c>
      <c r="AH789" s="80" t="str">
        <f t="shared" si="144"/>
        <v>LCOK1</v>
      </c>
    </row>
    <row r="790" spans="25:34" x14ac:dyDescent="0.35">
      <c r="Y790" s="74">
        <f t="shared" si="135"/>
        <v>44193</v>
      </c>
      <c r="Z790" s="74">
        <f t="shared" ca="1" si="136"/>
        <v>44216</v>
      </c>
      <c r="AA790" s="80" t="str">
        <f t="shared" ca="1" si="137"/>
        <v>CLG1</v>
      </c>
      <c r="AB790" s="74">
        <f t="shared" si="139"/>
        <v>44195</v>
      </c>
      <c r="AC790" s="80" t="str">
        <f t="shared" si="138"/>
        <v>LCOG1</v>
      </c>
      <c r="AD790" s="80" t="str">
        <f t="shared" si="140"/>
        <v>CLG1</v>
      </c>
      <c r="AE790" s="80" t="str">
        <f t="shared" si="141"/>
        <v>LCOH1</v>
      </c>
      <c r="AF790" s="80" t="str">
        <f t="shared" si="142"/>
        <v>CLH1</v>
      </c>
      <c r="AG790" s="80" t="str">
        <f t="shared" si="143"/>
        <v>LCOJ1</v>
      </c>
      <c r="AH790" s="80" t="str">
        <f t="shared" si="144"/>
        <v>LCOK1</v>
      </c>
    </row>
    <row r="791" spans="25:34" x14ac:dyDescent="0.35">
      <c r="Y791" s="74">
        <f t="shared" si="135"/>
        <v>44194</v>
      </c>
      <c r="Z791" s="74">
        <f t="shared" ca="1" si="136"/>
        <v>44216</v>
      </c>
      <c r="AA791" s="80" t="str">
        <f t="shared" ca="1" si="137"/>
        <v>CLG1</v>
      </c>
      <c r="AB791" s="74">
        <f t="shared" si="139"/>
        <v>44195</v>
      </c>
      <c r="AC791" s="80" t="str">
        <f t="shared" si="138"/>
        <v>LCOG1</v>
      </c>
      <c r="AD791" s="80" t="str">
        <f t="shared" si="140"/>
        <v>CLG1</v>
      </c>
      <c r="AE791" s="80" t="str">
        <f t="shared" si="141"/>
        <v>LCOH1</v>
      </c>
      <c r="AF791" s="80" t="str">
        <f t="shared" si="142"/>
        <v>CLH1</v>
      </c>
      <c r="AG791" s="80" t="str">
        <f t="shared" si="143"/>
        <v>LCOJ1</v>
      </c>
      <c r="AH791" s="80" t="str">
        <f t="shared" si="144"/>
        <v>LCOK1</v>
      </c>
    </row>
    <row r="792" spans="25:34" x14ac:dyDescent="0.35">
      <c r="Y792" s="74">
        <f t="shared" si="135"/>
        <v>44195</v>
      </c>
      <c r="Z792" s="74">
        <f t="shared" ca="1" si="136"/>
        <v>44216</v>
      </c>
      <c r="AA792" s="80" t="str">
        <f t="shared" ca="1" si="137"/>
        <v>CLG1</v>
      </c>
      <c r="AB792" s="74">
        <f t="shared" si="139"/>
        <v>44195</v>
      </c>
      <c r="AC792" s="80" t="str">
        <f t="shared" si="138"/>
        <v>LCOG1</v>
      </c>
      <c r="AD792" s="80" t="str">
        <f t="shared" si="140"/>
        <v>CLG1</v>
      </c>
      <c r="AE792" s="80" t="str">
        <f t="shared" si="141"/>
        <v>LCOH1</v>
      </c>
      <c r="AF792" s="80" t="str">
        <f t="shared" si="142"/>
        <v>CLH1</v>
      </c>
      <c r="AG792" s="80" t="str">
        <f t="shared" si="143"/>
        <v>LCOJ1</v>
      </c>
      <c r="AH792" s="80" t="str">
        <f t="shared" si="144"/>
        <v>LCOK1</v>
      </c>
    </row>
    <row r="793" spans="25:34" x14ac:dyDescent="0.35">
      <c r="Y793" s="74">
        <f t="shared" si="135"/>
        <v>44196</v>
      </c>
      <c r="Z793" s="74">
        <f t="shared" ca="1" si="136"/>
        <v>44216</v>
      </c>
      <c r="AA793" s="80" t="str">
        <f t="shared" ca="1" si="137"/>
        <v>CLG1</v>
      </c>
      <c r="AB793" s="74">
        <f t="shared" si="139"/>
        <v>44225</v>
      </c>
      <c r="AC793" s="80" t="str">
        <f t="shared" si="138"/>
        <v>LCOH1</v>
      </c>
      <c r="AD793" s="80" t="str">
        <f t="shared" si="140"/>
        <v>CLH1</v>
      </c>
      <c r="AE793" s="80" t="str">
        <f t="shared" si="141"/>
        <v>LCOJ1</v>
      </c>
      <c r="AF793" s="80" t="str">
        <f t="shared" si="142"/>
        <v>CLJ1</v>
      </c>
      <c r="AG793" s="80" t="str">
        <f t="shared" si="143"/>
        <v>LCOK1</v>
      </c>
      <c r="AH793" s="80" t="str">
        <f t="shared" si="144"/>
        <v>LCOM1</v>
      </c>
    </row>
    <row r="794" spans="25:34" x14ac:dyDescent="0.35">
      <c r="Y794" s="74">
        <f t="shared" si="135"/>
        <v>44197</v>
      </c>
      <c r="Z794" s="74">
        <f t="shared" ca="1" si="136"/>
        <v>44216</v>
      </c>
      <c r="AA794" s="80" t="str">
        <f t="shared" ca="1" si="137"/>
        <v>CLG1</v>
      </c>
      <c r="AB794" s="74">
        <f t="shared" si="139"/>
        <v>44225</v>
      </c>
      <c r="AC794" s="80" t="str">
        <f t="shared" si="138"/>
        <v>LCOH1</v>
      </c>
      <c r="AD794" s="80" t="str">
        <f t="shared" si="140"/>
        <v>CLH1</v>
      </c>
      <c r="AE794" s="80" t="str">
        <f t="shared" si="141"/>
        <v>LCOJ1</v>
      </c>
      <c r="AF794" s="80" t="str">
        <f t="shared" si="142"/>
        <v>CLJ1</v>
      </c>
      <c r="AG794" s="80" t="str">
        <f t="shared" si="143"/>
        <v>LCOK1</v>
      </c>
      <c r="AH794" s="80" t="str">
        <f t="shared" si="144"/>
        <v>LCOM1</v>
      </c>
    </row>
    <row r="795" spans="25:34" x14ac:dyDescent="0.35">
      <c r="Y795" s="74">
        <f t="shared" si="135"/>
        <v>44198</v>
      </c>
      <c r="Z795" s="74">
        <f t="shared" ca="1" si="136"/>
        <v>44216</v>
      </c>
      <c r="AA795" s="80" t="str">
        <f t="shared" ca="1" si="137"/>
        <v>CLG1</v>
      </c>
      <c r="AB795" s="74">
        <f t="shared" si="139"/>
        <v>44225</v>
      </c>
      <c r="AC795" s="80" t="str">
        <f t="shared" si="138"/>
        <v>LCOH1</v>
      </c>
      <c r="AD795" s="80" t="str">
        <f t="shared" si="140"/>
        <v>CLH1</v>
      </c>
      <c r="AE795" s="80" t="str">
        <f t="shared" si="141"/>
        <v>LCOJ1</v>
      </c>
      <c r="AF795" s="80" t="str">
        <f t="shared" si="142"/>
        <v>CLJ1</v>
      </c>
      <c r="AG795" s="80" t="str">
        <f t="shared" si="143"/>
        <v>LCOK1</v>
      </c>
      <c r="AH795" s="80" t="str">
        <f t="shared" si="144"/>
        <v>LCOM1</v>
      </c>
    </row>
    <row r="796" spans="25:34" x14ac:dyDescent="0.35">
      <c r="Y796" s="74">
        <f t="shared" si="135"/>
        <v>44199</v>
      </c>
      <c r="Z796" s="74">
        <f t="shared" ca="1" si="136"/>
        <v>44216</v>
      </c>
      <c r="AA796" s="80" t="str">
        <f t="shared" ca="1" si="137"/>
        <v>CLG1</v>
      </c>
      <c r="AB796" s="74">
        <f t="shared" si="139"/>
        <v>44225</v>
      </c>
      <c r="AC796" s="80" t="str">
        <f t="shared" si="138"/>
        <v>LCOH1</v>
      </c>
      <c r="AD796" s="80" t="str">
        <f t="shared" si="140"/>
        <v>CLH1</v>
      </c>
      <c r="AE796" s="80" t="str">
        <f t="shared" si="141"/>
        <v>LCOJ1</v>
      </c>
      <c r="AF796" s="80" t="str">
        <f t="shared" si="142"/>
        <v>CLJ1</v>
      </c>
      <c r="AG796" s="80" t="str">
        <f t="shared" si="143"/>
        <v>LCOK1</v>
      </c>
      <c r="AH796" s="80" t="str">
        <f t="shared" si="144"/>
        <v>LCOM1</v>
      </c>
    </row>
    <row r="797" spans="25:34" x14ac:dyDescent="0.35">
      <c r="Y797" s="74">
        <f t="shared" si="135"/>
        <v>44200</v>
      </c>
      <c r="Z797" s="74">
        <f t="shared" ca="1" si="136"/>
        <v>44216</v>
      </c>
      <c r="AA797" s="80" t="str">
        <f t="shared" ca="1" si="137"/>
        <v>CLG1</v>
      </c>
      <c r="AB797" s="74">
        <f t="shared" si="139"/>
        <v>44225</v>
      </c>
      <c r="AC797" s="80" t="str">
        <f t="shared" si="138"/>
        <v>LCOH1</v>
      </c>
      <c r="AD797" s="80" t="str">
        <f t="shared" si="140"/>
        <v>CLH1</v>
      </c>
      <c r="AE797" s="80" t="str">
        <f t="shared" si="141"/>
        <v>LCOJ1</v>
      </c>
      <c r="AF797" s="80" t="str">
        <f t="shared" si="142"/>
        <v>CLJ1</v>
      </c>
      <c r="AG797" s="80" t="str">
        <f t="shared" si="143"/>
        <v>LCOK1</v>
      </c>
      <c r="AH797" s="80" t="str">
        <f t="shared" si="144"/>
        <v>LCOM1</v>
      </c>
    </row>
    <row r="798" spans="25:34" x14ac:dyDescent="0.35">
      <c r="Y798" s="74">
        <f t="shared" si="135"/>
        <v>44201</v>
      </c>
      <c r="Z798" s="74">
        <f t="shared" ca="1" si="136"/>
        <v>44216</v>
      </c>
      <c r="AA798" s="80" t="str">
        <f t="shared" ca="1" si="137"/>
        <v>CLG1</v>
      </c>
      <c r="AB798" s="74">
        <f t="shared" si="139"/>
        <v>44225</v>
      </c>
      <c r="AC798" s="80" t="str">
        <f t="shared" si="138"/>
        <v>LCOH1</v>
      </c>
      <c r="AD798" s="80" t="str">
        <f t="shared" si="140"/>
        <v>CLH1</v>
      </c>
      <c r="AE798" s="80" t="str">
        <f t="shared" si="141"/>
        <v>LCOJ1</v>
      </c>
      <c r="AF798" s="80" t="str">
        <f t="shared" si="142"/>
        <v>CLJ1</v>
      </c>
      <c r="AG798" s="80" t="str">
        <f t="shared" si="143"/>
        <v>LCOK1</v>
      </c>
      <c r="AH798" s="80" t="str">
        <f t="shared" si="144"/>
        <v>LCOM1</v>
      </c>
    </row>
    <row r="799" spans="25:34" x14ac:dyDescent="0.35">
      <c r="Y799" s="74">
        <f t="shared" si="135"/>
        <v>44202</v>
      </c>
      <c r="Z799" s="74">
        <f t="shared" ca="1" si="136"/>
        <v>44216</v>
      </c>
      <c r="AA799" s="80" t="str">
        <f t="shared" ca="1" si="137"/>
        <v>CLG1</v>
      </c>
      <c r="AB799" s="74">
        <f t="shared" si="139"/>
        <v>44225</v>
      </c>
      <c r="AC799" s="80" t="str">
        <f t="shared" si="138"/>
        <v>LCOH1</v>
      </c>
      <c r="AD799" s="80" t="str">
        <f t="shared" si="140"/>
        <v>CLH1</v>
      </c>
      <c r="AE799" s="80" t="str">
        <f t="shared" si="141"/>
        <v>LCOJ1</v>
      </c>
      <c r="AF799" s="80" t="str">
        <f t="shared" si="142"/>
        <v>CLJ1</v>
      </c>
      <c r="AG799" s="80" t="str">
        <f t="shared" si="143"/>
        <v>LCOK1</v>
      </c>
      <c r="AH799" s="80" t="str">
        <f t="shared" si="144"/>
        <v>LCOM1</v>
      </c>
    </row>
    <row r="800" spans="25:34" x14ac:dyDescent="0.35">
      <c r="Y800" s="74">
        <f t="shared" si="135"/>
        <v>44203</v>
      </c>
      <c r="Z800" s="74">
        <f t="shared" ca="1" si="136"/>
        <v>44216</v>
      </c>
      <c r="AA800" s="80" t="str">
        <f t="shared" ca="1" si="137"/>
        <v>CLG1</v>
      </c>
      <c r="AB800" s="74">
        <f t="shared" si="139"/>
        <v>44225</v>
      </c>
      <c r="AC800" s="80" t="str">
        <f t="shared" si="138"/>
        <v>LCOH1</v>
      </c>
      <c r="AD800" s="80" t="str">
        <f t="shared" si="140"/>
        <v>CLH1</v>
      </c>
      <c r="AE800" s="80" t="str">
        <f t="shared" si="141"/>
        <v>LCOJ1</v>
      </c>
      <c r="AF800" s="80" t="str">
        <f t="shared" si="142"/>
        <v>CLJ1</v>
      </c>
      <c r="AG800" s="80" t="str">
        <f t="shared" si="143"/>
        <v>LCOK1</v>
      </c>
      <c r="AH800" s="80" t="str">
        <f t="shared" si="144"/>
        <v>LCOM1</v>
      </c>
    </row>
    <row r="801" spans="25:34" x14ac:dyDescent="0.35">
      <c r="Y801" s="74">
        <f t="shared" ref="Y801:Y864" si="145">Y800+1</f>
        <v>44204</v>
      </c>
      <c r="Z801" s="74">
        <f t="shared" ca="1" si="136"/>
        <v>44216</v>
      </c>
      <c r="AA801" s="80" t="str">
        <f t="shared" ca="1" si="137"/>
        <v>CLG1</v>
      </c>
      <c r="AB801" s="74">
        <f t="shared" si="139"/>
        <v>44225</v>
      </c>
      <c r="AC801" s="80" t="str">
        <f t="shared" si="138"/>
        <v>LCOH1</v>
      </c>
      <c r="AD801" s="80" t="str">
        <f t="shared" si="140"/>
        <v>CLH1</v>
      </c>
      <c r="AE801" s="80" t="str">
        <f t="shared" si="141"/>
        <v>LCOJ1</v>
      </c>
      <c r="AF801" s="80" t="str">
        <f t="shared" si="142"/>
        <v>CLJ1</v>
      </c>
      <c r="AG801" s="80" t="str">
        <f t="shared" si="143"/>
        <v>LCOK1</v>
      </c>
      <c r="AH801" s="80" t="str">
        <f t="shared" si="144"/>
        <v>LCOM1</v>
      </c>
    </row>
    <row r="802" spans="25:34" x14ac:dyDescent="0.35">
      <c r="Y802" s="74">
        <f t="shared" si="145"/>
        <v>44205</v>
      </c>
      <c r="Z802" s="74">
        <f t="shared" ca="1" si="136"/>
        <v>44216</v>
      </c>
      <c r="AA802" s="80" t="str">
        <f t="shared" ca="1" si="137"/>
        <v>CLG1</v>
      </c>
      <c r="AB802" s="74">
        <f t="shared" si="139"/>
        <v>44225</v>
      </c>
      <c r="AC802" s="80" t="str">
        <f t="shared" si="138"/>
        <v>LCOH1</v>
      </c>
      <c r="AD802" s="80" t="str">
        <f t="shared" si="140"/>
        <v>CLH1</v>
      </c>
      <c r="AE802" s="80" t="str">
        <f t="shared" si="141"/>
        <v>LCOJ1</v>
      </c>
      <c r="AF802" s="80" t="str">
        <f t="shared" si="142"/>
        <v>CLJ1</v>
      </c>
      <c r="AG802" s="80" t="str">
        <f t="shared" si="143"/>
        <v>LCOK1</v>
      </c>
      <c r="AH802" s="80" t="str">
        <f t="shared" si="144"/>
        <v>LCOM1</v>
      </c>
    </row>
    <row r="803" spans="25:34" x14ac:dyDescent="0.35">
      <c r="Y803" s="74">
        <f t="shared" si="145"/>
        <v>44206</v>
      </c>
      <c r="Z803" s="74">
        <f t="shared" ca="1" si="136"/>
        <v>44216</v>
      </c>
      <c r="AA803" s="80" t="str">
        <f t="shared" ca="1" si="137"/>
        <v>CLG1</v>
      </c>
      <c r="AB803" s="74">
        <f t="shared" si="139"/>
        <v>44225</v>
      </c>
      <c r="AC803" s="80" t="str">
        <f t="shared" si="138"/>
        <v>LCOH1</v>
      </c>
      <c r="AD803" s="80" t="str">
        <f t="shared" si="140"/>
        <v>CLH1</v>
      </c>
      <c r="AE803" s="80" t="str">
        <f t="shared" si="141"/>
        <v>LCOJ1</v>
      </c>
      <c r="AF803" s="80" t="str">
        <f t="shared" si="142"/>
        <v>CLJ1</v>
      </c>
      <c r="AG803" s="80" t="str">
        <f t="shared" si="143"/>
        <v>LCOK1</v>
      </c>
      <c r="AH803" s="80" t="str">
        <f t="shared" si="144"/>
        <v>LCOM1</v>
      </c>
    </row>
    <row r="804" spans="25:34" x14ac:dyDescent="0.35">
      <c r="Y804" s="74">
        <f t="shared" si="145"/>
        <v>44207</v>
      </c>
      <c r="Z804" s="74">
        <f t="shared" ca="1" si="136"/>
        <v>44216</v>
      </c>
      <c r="AA804" s="80" t="str">
        <f t="shared" ca="1" si="137"/>
        <v>CLG1</v>
      </c>
      <c r="AB804" s="74">
        <f t="shared" si="139"/>
        <v>44225</v>
      </c>
      <c r="AC804" s="80" t="str">
        <f t="shared" si="138"/>
        <v>LCOH1</v>
      </c>
      <c r="AD804" s="80" t="str">
        <f t="shared" si="140"/>
        <v>CLH1</v>
      </c>
      <c r="AE804" s="80" t="str">
        <f t="shared" si="141"/>
        <v>LCOJ1</v>
      </c>
      <c r="AF804" s="80" t="str">
        <f t="shared" si="142"/>
        <v>CLJ1</v>
      </c>
      <c r="AG804" s="80" t="str">
        <f t="shared" si="143"/>
        <v>LCOK1</v>
      </c>
      <c r="AH804" s="80" t="str">
        <f t="shared" si="144"/>
        <v>LCOM1</v>
      </c>
    </row>
    <row r="805" spans="25:34" x14ac:dyDescent="0.35">
      <c r="Y805" s="74">
        <f t="shared" si="145"/>
        <v>44208</v>
      </c>
      <c r="Z805" s="74">
        <f t="shared" ca="1" si="136"/>
        <v>44216</v>
      </c>
      <c r="AA805" s="80" t="str">
        <f t="shared" ca="1" si="137"/>
        <v>CLG1</v>
      </c>
      <c r="AB805" s="74">
        <f t="shared" si="139"/>
        <v>44225</v>
      </c>
      <c r="AC805" s="80" t="str">
        <f t="shared" si="138"/>
        <v>LCOH1</v>
      </c>
      <c r="AD805" s="80" t="str">
        <f t="shared" si="140"/>
        <v>CLH1</v>
      </c>
      <c r="AE805" s="80" t="str">
        <f t="shared" si="141"/>
        <v>LCOJ1</v>
      </c>
      <c r="AF805" s="80" t="str">
        <f t="shared" si="142"/>
        <v>CLJ1</v>
      </c>
      <c r="AG805" s="80" t="str">
        <f t="shared" si="143"/>
        <v>LCOK1</v>
      </c>
      <c r="AH805" s="80" t="str">
        <f t="shared" si="144"/>
        <v>LCOM1</v>
      </c>
    </row>
    <row r="806" spans="25:34" x14ac:dyDescent="0.35">
      <c r="Y806" s="74">
        <f t="shared" si="145"/>
        <v>44209</v>
      </c>
      <c r="Z806" s="74">
        <f t="shared" ca="1" si="136"/>
        <v>44216</v>
      </c>
      <c r="AA806" s="80" t="str">
        <f t="shared" ca="1" si="137"/>
        <v>CLG1</v>
      </c>
      <c r="AB806" s="74">
        <f t="shared" si="139"/>
        <v>44225</v>
      </c>
      <c r="AC806" s="80" t="str">
        <f t="shared" si="138"/>
        <v>LCOH1</v>
      </c>
      <c r="AD806" s="80" t="str">
        <f t="shared" si="140"/>
        <v>CLH1</v>
      </c>
      <c r="AE806" s="80" t="str">
        <f t="shared" si="141"/>
        <v>LCOJ1</v>
      </c>
      <c r="AF806" s="80" t="str">
        <f t="shared" si="142"/>
        <v>CLJ1</v>
      </c>
      <c r="AG806" s="80" t="str">
        <f t="shared" si="143"/>
        <v>LCOK1</v>
      </c>
      <c r="AH806" s="80" t="str">
        <f t="shared" si="144"/>
        <v>LCOM1</v>
      </c>
    </row>
    <row r="807" spans="25:34" x14ac:dyDescent="0.35">
      <c r="Y807" s="74">
        <f t="shared" si="145"/>
        <v>44210</v>
      </c>
      <c r="Z807" s="74">
        <f t="shared" ca="1" si="136"/>
        <v>44216</v>
      </c>
      <c r="AA807" s="80" t="str">
        <f t="shared" ca="1" si="137"/>
        <v>CLG1</v>
      </c>
      <c r="AB807" s="74">
        <f t="shared" si="139"/>
        <v>44225</v>
      </c>
      <c r="AC807" s="80" t="str">
        <f t="shared" si="138"/>
        <v>LCOH1</v>
      </c>
      <c r="AD807" s="80" t="str">
        <f t="shared" si="140"/>
        <v>CLH1</v>
      </c>
      <c r="AE807" s="80" t="str">
        <f t="shared" si="141"/>
        <v>LCOJ1</v>
      </c>
      <c r="AF807" s="80" t="str">
        <f t="shared" si="142"/>
        <v>CLJ1</v>
      </c>
      <c r="AG807" s="80" t="str">
        <f t="shared" si="143"/>
        <v>LCOK1</v>
      </c>
      <c r="AH807" s="80" t="str">
        <f t="shared" si="144"/>
        <v>LCOM1</v>
      </c>
    </row>
    <row r="808" spans="25:34" x14ac:dyDescent="0.35">
      <c r="Y808" s="74">
        <f t="shared" si="145"/>
        <v>44211</v>
      </c>
      <c r="Z808" s="74">
        <f t="shared" ca="1" si="136"/>
        <v>44216</v>
      </c>
      <c r="AA808" s="80" t="str">
        <f t="shared" ca="1" si="137"/>
        <v>CLG1</v>
      </c>
      <c r="AB808" s="74">
        <f t="shared" si="139"/>
        <v>44225</v>
      </c>
      <c r="AC808" s="80" t="str">
        <f t="shared" si="138"/>
        <v>LCOH1</v>
      </c>
      <c r="AD808" s="80" t="str">
        <f t="shared" si="140"/>
        <v>CLH1</v>
      </c>
      <c r="AE808" s="80" t="str">
        <f t="shared" si="141"/>
        <v>LCOJ1</v>
      </c>
      <c r="AF808" s="80" t="str">
        <f t="shared" si="142"/>
        <v>CLJ1</v>
      </c>
      <c r="AG808" s="80" t="str">
        <f t="shared" si="143"/>
        <v>LCOK1</v>
      </c>
      <c r="AH808" s="80" t="str">
        <f t="shared" si="144"/>
        <v>LCOM1</v>
      </c>
    </row>
    <row r="809" spans="25:34" x14ac:dyDescent="0.35">
      <c r="Y809" s="74">
        <f t="shared" si="145"/>
        <v>44212</v>
      </c>
      <c r="Z809" s="74">
        <f t="shared" ca="1" si="136"/>
        <v>44216</v>
      </c>
      <c r="AA809" s="80" t="str">
        <f t="shared" ca="1" si="137"/>
        <v>CLG1</v>
      </c>
      <c r="AB809" s="74">
        <f t="shared" si="139"/>
        <v>44225</v>
      </c>
      <c r="AC809" s="80" t="str">
        <f t="shared" si="138"/>
        <v>LCOH1</v>
      </c>
      <c r="AD809" s="80" t="str">
        <f t="shared" si="140"/>
        <v>CLH1</v>
      </c>
      <c r="AE809" s="80" t="str">
        <f t="shared" si="141"/>
        <v>LCOJ1</v>
      </c>
      <c r="AF809" s="80" t="str">
        <f t="shared" si="142"/>
        <v>CLJ1</v>
      </c>
      <c r="AG809" s="80" t="str">
        <f t="shared" si="143"/>
        <v>LCOK1</v>
      </c>
      <c r="AH809" s="80" t="str">
        <f t="shared" si="144"/>
        <v>LCOM1</v>
      </c>
    </row>
    <row r="810" spans="25:34" x14ac:dyDescent="0.35">
      <c r="Y810" s="74">
        <f t="shared" si="145"/>
        <v>44213</v>
      </c>
      <c r="Z810" s="74">
        <f t="shared" ca="1" si="136"/>
        <v>44216</v>
      </c>
      <c r="AA810" s="80" t="str">
        <f t="shared" ca="1" si="137"/>
        <v>CLG1</v>
      </c>
      <c r="AB810" s="74">
        <f t="shared" si="139"/>
        <v>44225</v>
      </c>
      <c r="AC810" s="80" t="str">
        <f t="shared" si="138"/>
        <v>LCOH1</v>
      </c>
      <c r="AD810" s="80" t="str">
        <f t="shared" si="140"/>
        <v>CLH1</v>
      </c>
      <c r="AE810" s="80" t="str">
        <f t="shared" si="141"/>
        <v>LCOJ1</v>
      </c>
      <c r="AF810" s="80" t="str">
        <f t="shared" si="142"/>
        <v>CLJ1</v>
      </c>
      <c r="AG810" s="80" t="str">
        <f t="shared" si="143"/>
        <v>LCOK1</v>
      </c>
      <c r="AH810" s="80" t="str">
        <f t="shared" si="144"/>
        <v>LCOM1</v>
      </c>
    </row>
    <row r="811" spans="25:34" x14ac:dyDescent="0.35">
      <c r="Y811" s="74">
        <f t="shared" si="145"/>
        <v>44214</v>
      </c>
      <c r="Z811" s="74">
        <f t="shared" ca="1" si="136"/>
        <v>44216</v>
      </c>
      <c r="AA811" s="80" t="str">
        <f t="shared" ca="1" si="137"/>
        <v>CLG1</v>
      </c>
      <c r="AB811" s="74">
        <f t="shared" si="139"/>
        <v>44225</v>
      </c>
      <c r="AC811" s="80" t="str">
        <f t="shared" si="138"/>
        <v>LCOH1</v>
      </c>
      <c r="AD811" s="80" t="str">
        <f t="shared" si="140"/>
        <v>CLH1</v>
      </c>
      <c r="AE811" s="80" t="str">
        <f t="shared" si="141"/>
        <v>LCOJ1</v>
      </c>
      <c r="AF811" s="80" t="str">
        <f t="shared" si="142"/>
        <v>CLJ1</v>
      </c>
      <c r="AG811" s="80" t="str">
        <f t="shared" si="143"/>
        <v>LCOK1</v>
      </c>
      <c r="AH811" s="80" t="str">
        <f t="shared" si="144"/>
        <v>LCOM1</v>
      </c>
    </row>
    <row r="812" spans="25:34" x14ac:dyDescent="0.35">
      <c r="Y812" s="74">
        <f t="shared" si="145"/>
        <v>44215</v>
      </c>
      <c r="Z812" s="74">
        <f t="shared" ca="1" si="136"/>
        <v>44216</v>
      </c>
      <c r="AA812" s="80" t="str">
        <f t="shared" ca="1" si="137"/>
        <v>CLG1</v>
      </c>
      <c r="AB812" s="74">
        <f t="shared" si="139"/>
        <v>44225</v>
      </c>
      <c r="AC812" s="80" t="str">
        <f t="shared" si="138"/>
        <v>LCOH1</v>
      </c>
      <c r="AD812" s="80" t="str">
        <f t="shared" si="140"/>
        <v>CLH1</v>
      </c>
      <c r="AE812" s="80" t="str">
        <f t="shared" si="141"/>
        <v>LCOJ1</v>
      </c>
      <c r="AF812" s="80" t="str">
        <f t="shared" si="142"/>
        <v>CLJ1</v>
      </c>
      <c r="AG812" s="80" t="str">
        <f t="shared" si="143"/>
        <v>LCOK1</v>
      </c>
      <c r="AH812" s="80" t="str">
        <f t="shared" si="144"/>
        <v>LCOM1</v>
      </c>
    </row>
    <row r="813" spans="25:34" x14ac:dyDescent="0.35">
      <c r="Y813" s="74">
        <f t="shared" si="145"/>
        <v>44216</v>
      </c>
      <c r="Z813" s="74">
        <f t="shared" ca="1" si="136"/>
        <v>44216</v>
      </c>
      <c r="AA813" s="80" t="str">
        <f t="shared" ca="1" si="137"/>
        <v>CLG1</v>
      </c>
      <c r="AB813" s="74">
        <f t="shared" si="139"/>
        <v>44225</v>
      </c>
      <c r="AC813" s="80" t="str">
        <f t="shared" si="138"/>
        <v>LCOH1</v>
      </c>
      <c r="AD813" s="80" t="str">
        <f t="shared" si="140"/>
        <v>CLH1</v>
      </c>
      <c r="AE813" s="80" t="str">
        <f t="shared" si="141"/>
        <v>LCOJ1</v>
      </c>
      <c r="AF813" s="80" t="str">
        <f t="shared" si="142"/>
        <v>CLJ1</v>
      </c>
      <c r="AG813" s="80" t="str">
        <f t="shared" si="143"/>
        <v>LCOK1</v>
      </c>
      <c r="AH813" s="80" t="str">
        <f t="shared" si="144"/>
        <v>LCOM1</v>
      </c>
    </row>
    <row r="814" spans="25:34" x14ac:dyDescent="0.35">
      <c r="Y814" s="74">
        <f t="shared" si="145"/>
        <v>44217</v>
      </c>
      <c r="Z814" s="74">
        <f t="shared" ca="1" si="136"/>
        <v>44249</v>
      </c>
      <c r="AA814" s="80" t="str">
        <f t="shared" ca="1" si="137"/>
        <v>CLH1</v>
      </c>
      <c r="AB814" s="74">
        <f t="shared" si="139"/>
        <v>44225</v>
      </c>
      <c r="AC814" s="80" t="str">
        <f t="shared" si="138"/>
        <v>LCOH1</v>
      </c>
      <c r="AD814" s="80" t="str">
        <f t="shared" si="140"/>
        <v>CLH1</v>
      </c>
      <c r="AE814" s="80" t="str">
        <f t="shared" si="141"/>
        <v>LCOJ1</v>
      </c>
      <c r="AF814" s="80" t="str">
        <f t="shared" si="142"/>
        <v>CLJ1</v>
      </c>
      <c r="AG814" s="80" t="str">
        <f t="shared" si="143"/>
        <v>LCOK1</v>
      </c>
      <c r="AH814" s="80" t="str">
        <f t="shared" si="144"/>
        <v>LCOM1</v>
      </c>
    </row>
    <row r="815" spans="25:34" x14ac:dyDescent="0.35">
      <c r="Y815" s="74">
        <f t="shared" si="145"/>
        <v>44218</v>
      </c>
      <c r="Z815" s="74">
        <f t="shared" ca="1" si="136"/>
        <v>44249</v>
      </c>
      <c r="AA815" s="80" t="str">
        <f t="shared" ca="1" si="137"/>
        <v>CLH1</v>
      </c>
      <c r="AB815" s="74">
        <f t="shared" si="139"/>
        <v>44225</v>
      </c>
      <c r="AC815" s="80" t="str">
        <f t="shared" si="138"/>
        <v>LCOH1</v>
      </c>
      <c r="AD815" s="80" t="str">
        <f t="shared" si="140"/>
        <v>CLH1</v>
      </c>
      <c r="AE815" s="80" t="str">
        <f t="shared" si="141"/>
        <v>LCOJ1</v>
      </c>
      <c r="AF815" s="80" t="str">
        <f t="shared" si="142"/>
        <v>CLJ1</v>
      </c>
      <c r="AG815" s="80" t="str">
        <f t="shared" si="143"/>
        <v>LCOK1</v>
      </c>
      <c r="AH815" s="80" t="str">
        <f t="shared" si="144"/>
        <v>LCOM1</v>
      </c>
    </row>
    <row r="816" spans="25:34" x14ac:dyDescent="0.35">
      <c r="Y816" s="74">
        <f t="shared" si="145"/>
        <v>44219</v>
      </c>
      <c r="Z816" s="74">
        <f t="shared" ca="1" si="136"/>
        <v>44249</v>
      </c>
      <c r="AA816" s="80" t="str">
        <f t="shared" ca="1" si="137"/>
        <v>CLH1</v>
      </c>
      <c r="AB816" s="74">
        <f t="shared" si="139"/>
        <v>44225</v>
      </c>
      <c r="AC816" s="80" t="str">
        <f t="shared" si="138"/>
        <v>LCOH1</v>
      </c>
      <c r="AD816" s="80" t="str">
        <f t="shared" si="140"/>
        <v>CLH1</v>
      </c>
      <c r="AE816" s="80" t="str">
        <f t="shared" si="141"/>
        <v>LCOJ1</v>
      </c>
      <c r="AF816" s="80" t="str">
        <f t="shared" si="142"/>
        <v>CLJ1</v>
      </c>
      <c r="AG816" s="80" t="str">
        <f t="shared" si="143"/>
        <v>LCOK1</v>
      </c>
      <c r="AH816" s="80" t="str">
        <f t="shared" si="144"/>
        <v>LCOM1</v>
      </c>
    </row>
    <row r="817" spans="25:34" x14ac:dyDescent="0.35">
      <c r="Y817" s="74">
        <f t="shared" si="145"/>
        <v>44220</v>
      </c>
      <c r="Z817" s="74">
        <f t="shared" ca="1" si="136"/>
        <v>44249</v>
      </c>
      <c r="AA817" s="80" t="str">
        <f t="shared" ca="1" si="137"/>
        <v>CLH1</v>
      </c>
      <c r="AB817" s="74">
        <f t="shared" si="139"/>
        <v>44225</v>
      </c>
      <c r="AC817" s="80" t="str">
        <f t="shared" si="138"/>
        <v>LCOH1</v>
      </c>
      <c r="AD817" s="80" t="str">
        <f t="shared" si="140"/>
        <v>CLH1</v>
      </c>
      <c r="AE817" s="80" t="str">
        <f t="shared" si="141"/>
        <v>LCOJ1</v>
      </c>
      <c r="AF817" s="80" t="str">
        <f t="shared" si="142"/>
        <v>CLJ1</v>
      </c>
      <c r="AG817" s="80" t="str">
        <f t="shared" si="143"/>
        <v>LCOK1</v>
      </c>
      <c r="AH817" s="80" t="str">
        <f t="shared" si="144"/>
        <v>LCOM1</v>
      </c>
    </row>
    <row r="818" spans="25:34" x14ac:dyDescent="0.35">
      <c r="Y818" s="74">
        <f t="shared" si="145"/>
        <v>44221</v>
      </c>
      <c r="Z818" s="74">
        <f t="shared" ca="1" si="136"/>
        <v>44249</v>
      </c>
      <c r="AA818" s="80" t="str">
        <f t="shared" ca="1" si="137"/>
        <v>CLH1</v>
      </c>
      <c r="AB818" s="74">
        <f t="shared" si="139"/>
        <v>44225</v>
      </c>
      <c r="AC818" s="80" t="str">
        <f t="shared" si="138"/>
        <v>LCOH1</v>
      </c>
      <c r="AD818" s="80" t="str">
        <f t="shared" si="140"/>
        <v>CLH1</v>
      </c>
      <c r="AE818" s="80" t="str">
        <f t="shared" si="141"/>
        <v>LCOJ1</v>
      </c>
      <c r="AF818" s="80" t="str">
        <f t="shared" si="142"/>
        <v>CLJ1</v>
      </c>
      <c r="AG818" s="80" t="str">
        <f t="shared" si="143"/>
        <v>LCOK1</v>
      </c>
      <c r="AH818" s="80" t="str">
        <f t="shared" si="144"/>
        <v>LCOM1</v>
      </c>
    </row>
    <row r="819" spans="25:34" x14ac:dyDescent="0.35">
      <c r="Y819" s="74">
        <f t="shared" si="145"/>
        <v>44222</v>
      </c>
      <c r="Z819" s="74">
        <f t="shared" ca="1" si="136"/>
        <v>44249</v>
      </c>
      <c r="AA819" s="80" t="str">
        <f t="shared" ca="1" si="137"/>
        <v>CLH1</v>
      </c>
      <c r="AB819" s="74">
        <f t="shared" si="139"/>
        <v>44225</v>
      </c>
      <c r="AC819" s="80" t="str">
        <f t="shared" si="138"/>
        <v>LCOH1</v>
      </c>
      <c r="AD819" s="80" t="str">
        <f t="shared" si="140"/>
        <v>CLH1</v>
      </c>
      <c r="AE819" s="80" t="str">
        <f t="shared" si="141"/>
        <v>LCOJ1</v>
      </c>
      <c r="AF819" s="80" t="str">
        <f t="shared" si="142"/>
        <v>CLJ1</v>
      </c>
      <c r="AG819" s="80" t="str">
        <f t="shared" si="143"/>
        <v>LCOK1</v>
      </c>
      <c r="AH819" s="80" t="str">
        <f t="shared" si="144"/>
        <v>LCOM1</v>
      </c>
    </row>
    <row r="820" spans="25:34" x14ac:dyDescent="0.35">
      <c r="Y820" s="74">
        <f t="shared" si="145"/>
        <v>44223</v>
      </c>
      <c r="Z820" s="74">
        <f t="shared" ca="1" si="136"/>
        <v>44249</v>
      </c>
      <c r="AA820" s="80" t="str">
        <f t="shared" ca="1" si="137"/>
        <v>CLH1</v>
      </c>
      <c r="AB820" s="74">
        <f t="shared" si="139"/>
        <v>44225</v>
      </c>
      <c r="AC820" s="80" t="str">
        <f t="shared" si="138"/>
        <v>LCOH1</v>
      </c>
      <c r="AD820" s="80" t="str">
        <f t="shared" si="140"/>
        <v>CLH1</v>
      </c>
      <c r="AE820" s="80" t="str">
        <f t="shared" si="141"/>
        <v>LCOJ1</v>
      </c>
      <c r="AF820" s="80" t="str">
        <f t="shared" si="142"/>
        <v>CLJ1</v>
      </c>
      <c r="AG820" s="80" t="str">
        <f t="shared" si="143"/>
        <v>LCOK1</v>
      </c>
      <c r="AH820" s="80" t="str">
        <f t="shared" si="144"/>
        <v>LCOM1</v>
      </c>
    </row>
    <row r="821" spans="25:34" x14ac:dyDescent="0.35">
      <c r="Y821" s="74">
        <f t="shared" si="145"/>
        <v>44224</v>
      </c>
      <c r="Z821" s="74">
        <f t="shared" ca="1" si="136"/>
        <v>44249</v>
      </c>
      <c r="AA821" s="80" t="str">
        <f t="shared" ca="1" si="137"/>
        <v>CLH1</v>
      </c>
      <c r="AB821" s="74">
        <f t="shared" si="139"/>
        <v>44225</v>
      </c>
      <c r="AC821" s="80" t="str">
        <f t="shared" si="138"/>
        <v>LCOH1</v>
      </c>
      <c r="AD821" s="80" t="str">
        <f t="shared" si="140"/>
        <v>CLH1</v>
      </c>
      <c r="AE821" s="80" t="str">
        <f t="shared" si="141"/>
        <v>LCOJ1</v>
      </c>
      <c r="AF821" s="80" t="str">
        <f t="shared" si="142"/>
        <v>CLJ1</v>
      </c>
      <c r="AG821" s="80" t="str">
        <f t="shared" si="143"/>
        <v>LCOK1</v>
      </c>
      <c r="AH821" s="80" t="str">
        <f t="shared" si="144"/>
        <v>LCOM1</v>
      </c>
    </row>
    <row r="822" spans="25:34" x14ac:dyDescent="0.35">
      <c r="Y822" s="74">
        <f t="shared" si="145"/>
        <v>44225</v>
      </c>
      <c r="Z822" s="74">
        <f t="shared" ca="1" si="136"/>
        <v>44249</v>
      </c>
      <c r="AA822" s="80" t="str">
        <f t="shared" ca="1" si="137"/>
        <v>CLH1</v>
      </c>
      <c r="AB822" s="74">
        <f t="shared" si="139"/>
        <v>44225</v>
      </c>
      <c r="AC822" s="80" t="str">
        <f t="shared" si="138"/>
        <v>LCOH1</v>
      </c>
      <c r="AD822" s="80" t="str">
        <f t="shared" si="140"/>
        <v>CLH1</v>
      </c>
      <c r="AE822" s="80" t="str">
        <f t="shared" si="141"/>
        <v>LCOJ1</v>
      </c>
      <c r="AF822" s="80" t="str">
        <f t="shared" si="142"/>
        <v>CLJ1</v>
      </c>
      <c r="AG822" s="80" t="str">
        <f t="shared" si="143"/>
        <v>LCOK1</v>
      </c>
      <c r="AH822" s="80" t="str">
        <f t="shared" si="144"/>
        <v>LCOM1</v>
      </c>
    </row>
    <row r="823" spans="25:34" x14ac:dyDescent="0.35">
      <c r="Y823" s="74">
        <f t="shared" si="145"/>
        <v>44226</v>
      </c>
      <c r="Z823" s="74">
        <f t="shared" ca="1" si="136"/>
        <v>44249</v>
      </c>
      <c r="AA823" s="80" t="str">
        <f t="shared" ca="1" si="137"/>
        <v>CLH1</v>
      </c>
      <c r="AB823" s="74">
        <f t="shared" si="139"/>
        <v>44253</v>
      </c>
      <c r="AC823" s="80" t="str">
        <f t="shared" si="138"/>
        <v>LCOJ1</v>
      </c>
      <c r="AD823" s="80" t="str">
        <f t="shared" si="140"/>
        <v>CLJ1</v>
      </c>
      <c r="AE823" s="80" t="str">
        <f t="shared" si="141"/>
        <v>LCOK1</v>
      </c>
      <c r="AF823" s="80" t="str">
        <f t="shared" si="142"/>
        <v>CLK1</v>
      </c>
      <c r="AG823" s="80" t="str">
        <f t="shared" si="143"/>
        <v>LCOM1</v>
      </c>
      <c r="AH823" s="80" t="str">
        <f t="shared" si="144"/>
        <v>LCON1</v>
      </c>
    </row>
    <row r="824" spans="25:34" x14ac:dyDescent="0.35">
      <c r="Y824" s="74">
        <f t="shared" si="145"/>
        <v>44227</v>
      </c>
      <c r="Z824" s="74">
        <f t="shared" ca="1" si="136"/>
        <v>44249</v>
      </c>
      <c r="AA824" s="80" t="str">
        <f t="shared" ca="1" si="137"/>
        <v>CLH1</v>
      </c>
      <c r="AB824" s="74">
        <f t="shared" si="139"/>
        <v>44253</v>
      </c>
      <c r="AC824" s="80" t="str">
        <f t="shared" si="138"/>
        <v>LCOJ1</v>
      </c>
      <c r="AD824" s="80" t="str">
        <f t="shared" si="140"/>
        <v>CLJ1</v>
      </c>
      <c r="AE824" s="80" t="str">
        <f t="shared" si="141"/>
        <v>LCOK1</v>
      </c>
      <c r="AF824" s="80" t="str">
        <f t="shared" si="142"/>
        <v>CLK1</v>
      </c>
      <c r="AG824" s="80" t="str">
        <f t="shared" si="143"/>
        <v>LCOM1</v>
      </c>
      <c r="AH824" s="80" t="str">
        <f t="shared" si="144"/>
        <v>LCON1</v>
      </c>
    </row>
    <row r="825" spans="25:34" x14ac:dyDescent="0.35">
      <c r="Y825" s="74">
        <f t="shared" si="145"/>
        <v>44228</v>
      </c>
      <c r="Z825" s="74">
        <f t="shared" ca="1" si="136"/>
        <v>44249</v>
      </c>
      <c r="AA825" s="80" t="str">
        <f t="shared" ca="1" si="137"/>
        <v>CLH1</v>
      </c>
      <c r="AB825" s="74">
        <f t="shared" si="139"/>
        <v>44253</v>
      </c>
      <c r="AC825" s="80" t="str">
        <f t="shared" si="138"/>
        <v>LCOJ1</v>
      </c>
      <c r="AD825" s="80" t="str">
        <f t="shared" si="140"/>
        <v>CLJ1</v>
      </c>
      <c r="AE825" s="80" t="str">
        <f t="shared" si="141"/>
        <v>LCOK1</v>
      </c>
      <c r="AF825" s="80" t="str">
        <f t="shared" si="142"/>
        <v>CLK1</v>
      </c>
      <c r="AG825" s="80" t="str">
        <f t="shared" si="143"/>
        <v>LCOM1</v>
      </c>
      <c r="AH825" s="80" t="str">
        <f t="shared" si="144"/>
        <v>LCON1</v>
      </c>
    </row>
    <row r="826" spans="25:34" x14ac:dyDescent="0.35">
      <c r="Y826" s="74">
        <f t="shared" si="145"/>
        <v>44229</v>
      </c>
      <c r="Z826" s="74">
        <f t="shared" ca="1" si="136"/>
        <v>44249</v>
      </c>
      <c r="AA826" s="80" t="str">
        <f t="shared" ca="1" si="137"/>
        <v>CLH1</v>
      </c>
      <c r="AB826" s="74">
        <f t="shared" si="139"/>
        <v>44253</v>
      </c>
      <c r="AC826" s="80" t="str">
        <f t="shared" si="138"/>
        <v>LCOJ1</v>
      </c>
      <c r="AD826" s="80" t="str">
        <f t="shared" si="140"/>
        <v>CLJ1</v>
      </c>
      <c r="AE826" s="80" t="str">
        <f t="shared" si="141"/>
        <v>LCOK1</v>
      </c>
      <c r="AF826" s="80" t="str">
        <f t="shared" si="142"/>
        <v>CLK1</v>
      </c>
      <c r="AG826" s="80" t="str">
        <f t="shared" si="143"/>
        <v>LCOM1</v>
      </c>
      <c r="AH826" s="80" t="str">
        <f t="shared" si="144"/>
        <v>LCON1</v>
      </c>
    </row>
    <row r="827" spans="25:34" x14ac:dyDescent="0.35">
      <c r="Y827" s="74">
        <f t="shared" si="145"/>
        <v>44230</v>
      </c>
      <c r="Z827" s="74">
        <f t="shared" ca="1" si="136"/>
        <v>44249</v>
      </c>
      <c r="AA827" s="80" t="str">
        <f t="shared" ca="1" si="137"/>
        <v>CLH1</v>
      </c>
      <c r="AB827" s="74">
        <f t="shared" si="139"/>
        <v>44253</v>
      </c>
      <c r="AC827" s="80" t="str">
        <f t="shared" si="138"/>
        <v>LCOJ1</v>
      </c>
      <c r="AD827" s="80" t="str">
        <f t="shared" si="140"/>
        <v>CLJ1</v>
      </c>
      <c r="AE827" s="80" t="str">
        <f t="shared" si="141"/>
        <v>LCOK1</v>
      </c>
      <c r="AF827" s="80" t="str">
        <f t="shared" si="142"/>
        <v>CLK1</v>
      </c>
      <c r="AG827" s="80" t="str">
        <f t="shared" si="143"/>
        <v>LCOM1</v>
      </c>
      <c r="AH827" s="80" t="str">
        <f t="shared" si="144"/>
        <v>LCON1</v>
      </c>
    </row>
    <row r="828" spans="25:34" x14ac:dyDescent="0.35">
      <c r="Y828" s="74">
        <f t="shared" si="145"/>
        <v>44231</v>
      </c>
      <c r="Z828" s="74">
        <f t="shared" ca="1" si="136"/>
        <v>44249</v>
      </c>
      <c r="AA828" s="80" t="str">
        <f t="shared" ca="1" si="137"/>
        <v>CLH1</v>
      </c>
      <c r="AB828" s="74">
        <f t="shared" si="139"/>
        <v>44253</v>
      </c>
      <c r="AC828" s="80" t="str">
        <f t="shared" si="138"/>
        <v>LCOJ1</v>
      </c>
      <c r="AD828" s="80" t="str">
        <f t="shared" si="140"/>
        <v>CLJ1</v>
      </c>
      <c r="AE828" s="80" t="str">
        <f t="shared" si="141"/>
        <v>LCOK1</v>
      </c>
      <c r="AF828" s="80" t="str">
        <f t="shared" si="142"/>
        <v>CLK1</v>
      </c>
      <c r="AG828" s="80" t="str">
        <f t="shared" si="143"/>
        <v>LCOM1</v>
      </c>
      <c r="AH828" s="80" t="str">
        <f t="shared" si="144"/>
        <v>LCON1</v>
      </c>
    </row>
    <row r="829" spans="25:34" x14ac:dyDescent="0.35">
      <c r="Y829" s="74">
        <f t="shared" si="145"/>
        <v>44232</v>
      </c>
      <c r="Z829" s="74">
        <f t="shared" ca="1" si="136"/>
        <v>44249</v>
      </c>
      <c r="AA829" s="80" t="str">
        <f t="shared" ca="1" si="137"/>
        <v>CLH1</v>
      </c>
      <c r="AB829" s="74">
        <f t="shared" si="139"/>
        <v>44253</v>
      </c>
      <c r="AC829" s="80" t="str">
        <f t="shared" si="138"/>
        <v>LCOJ1</v>
      </c>
      <c r="AD829" s="80" t="str">
        <f t="shared" si="140"/>
        <v>CLJ1</v>
      </c>
      <c r="AE829" s="80" t="str">
        <f t="shared" si="141"/>
        <v>LCOK1</v>
      </c>
      <c r="AF829" s="80" t="str">
        <f t="shared" si="142"/>
        <v>CLK1</v>
      </c>
      <c r="AG829" s="80" t="str">
        <f t="shared" si="143"/>
        <v>LCOM1</v>
      </c>
      <c r="AH829" s="80" t="str">
        <f t="shared" si="144"/>
        <v>LCON1</v>
      </c>
    </row>
    <row r="830" spans="25:34" x14ac:dyDescent="0.35">
      <c r="Y830" s="74">
        <f t="shared" si="145"/>
        <v>44233</v>
      </c>
      <c r="Z830" s="74">
        <f t="shared" ca="1" si="136"/>
        <v>44249</v>
      </c>
      <c r="AA830" s="80" t="str">
        <f t="shared" ca="1" si="137"/>
        <v>CLH1</v>
      </c>
      <c r="AB830" s="74">
        <f t="shared" si="139"/>
        <v>44253</v>
      </c>
      <c r="AC830" s="80" t="str">
        <f t="shared" si="138"/>
        <v>LCOJ1</v>
      </c>
      <c r="AD830" s="80" t="str">
        <f t="shared" si="140"/>
        <v>CLJ1</v>
      </c>
      <c r="AE830" s="80" t="str">
        <f t="shared" si="141"/>
        <v>LCOK1</v>
      </c>
      <c r="AF830" s="80" t="str">
        <f t="shared" si="142"/>
        <v>CLK1</v>
      </c>
      <c r="AG830" s="80" t="str">
        <f t="shared" si="143"/>
        <v>LCOM1</v>
      </c>
      <c r="AH830" s="80" t="str">
        <f t="shared" si="144"/>
        <v>LCON1</v>
      </c>
    </row>
    <row r="831" spans="25:34" x14ac:dyDescent="0.35">
      <c r="Y831" s="74">
        <f t="shared" si="145"/>
        <v>44234</v>
      </c>
      <c r="Z831" s="74">
        <f t="shared" ca="1" si="136"/>
        <v>44249</v>
      </c>
      <c r="AA831" s="80" t="str">
        <f t="shared" ca="1" si="137"/>
        <v>CLH1</v>
      </c>
      <c r="AB831" s="74">
        <f t="shared" si="139"/>
        <v>44253</v>
      </c>
      <c r="AC831" s="80" t="str">
        <f t="shared" si="138"/>
        <v>LCOJ1</v>
      </c>
      <c r="AD831" s="80" t="str">
        <f t="shared" si="140"/>
        <v>CLJ1</v>
      </c>
      <c r="AE831" s="80" t="str">
        <f t="shared" si="141"/>
        <v>LCOK1</v>
      </c>
      <c r="AF831" s="80" t="str">
        <f t="shared" si="142"/>
        <v>CLK1</v>
      </c>
      <c r="AG831" s="80" t="str">
        <f t="shared" si="143"/>
        <v>LCOM1</v>
      </c>
      <c r="AH831" s="80" t="str">
        <f t="shared" si="144"/>
        <v>LCON1</v>
      </c>
    </row>
    <row r="832" spans="25:34" x14ac:dyDescent="0.35">
      <c r="Y832" s="74">
        <f t="shared" si="145"/>
        <v>44235</v>
      </c>
      <c r="Z832" s="74">
        <f t="shared" ca="1" si="136"/>
        <v>44249</v>
      </c>
      <c r="AA832" s="80" t="str">
        <f t="shared" ca="1" si="137"/>
        <v>CLH1</v>
      </c>
      <c r="AB832" s="74">
        <f t="shared" si="139"/>
        <v>44253</v>
      </c>
      <c r="AC832" s="80" t="str">
        <f t="shared" si="138"/>
        <v>LCOJ1</v>
      </c>
      <c r="AD832" s="80" t="str">
        <f t="shared" si="140"/>
        <v>CLJ1</v>
      </c>
      <c r="AE832" s="80" t="str">
        <f t="shared" si="141"/>
        <v>LCOK1</v>
      </c>
      <c r="AF832" s="80" t="str">
        <f t="shared" si="142"/>
        <v>CLK1</v>
      </c>
      <c r="AG832" s="80" t="str">
        <f t="shared" si="143"/>
        <v>LCOM1</v>
      </c>
      <c r="AH832" s="80" t="str">
        <f t="shared" si="144"/>
        <v>LCON1</v>
      </c>
    </row>
    <row r="833" spans="25:34" x14ac:dyDescent="0.35">
      <c r="Y833" s="74">
        <f t="shared" si="145"/>
        <v>44236</v>
      </c>
      <c r="Z833" s="74">
        <f t="shared" ca="1" si="136"/>
        <v>44249</v>
      </c>
      <c r="AA833" s="80" t="str">
        <f t="shared" ca="1" si="137"/>
        <v>CLH1</v>
      </c>
      <c r="AB833" s="74">
        <f t="shared" si="139"/>
        <v>44253</v>
      </c>
      <c r="AC833" s="80" t="str">
        <f t="shared" si="138"/>
        <v>LCOJ1</v>
      </c>
      <c r="AD833" s="80" t="str">
        <f t="shared" si="140"/>
        <v>CLJ1</v>
      </c>
      <c r="AE833" s="80" t="str">
        <f t="shared" si="141"/>
        <v>LCOK1</v>
      </c>
      <c r="AF833" s="80" t="str">
        <f t="shared" si="142"/>
        <v>CLK1</v>
      </c>
      <c r="AG833" s="80" t="str">
        <f t="shared" si="143"/>
        <v>LCOM1</v>
      </c>
      <c r="AH833" s="80" t="str">
        <f t="shared" si="144"/>
        <v>LCON1</v>
      </c>
    </row>
    <row r="834" spans="25:34" x14ac:dyDescent="0.35">
      <c r="Y834" s="74">
        <f t="shared" si="145"/>
        <v>44237</v>
      </c>
      <c r="Z834" s="74">
        <f t="shared" ref="Z834:Z897" ca="1" si="146">VLOOKUP(AA834,$I$2:$K$39,3,FALSE)</f>
        <v>44249</v>
      </c>
      <c r="AA834" s="80" t="str">
        <f t="shared" ref="AA834:AA897" ca="1" si="147">LOOKUP(2,1/($J$2:$J$700&lt;=$Y834)/($K$2:$K$700&gt;=$Y834),$L$2:$L$700)</f>
        <v>CLH1</v>
      </c>
      <c r="AB834" s="74">
        <f t="shared" si="139"/>
        <v>44253</v>
      </c>
      <c r="AC834" s="80" t="str">
        <f t="shared" ref="AC834:AC897" si="148">LOOKUP(2,1/($R$2:$R$700&lt;=$Y834)/($S$2:$S$700&gt;=$Y834),$T$2:$T$700)</f>
        <v>LCOJ1</v>
      </c>
      <c r="AD834" s="80" t="str">
        <f t="shared" si="140"/>
        <v>CLJ1</v>
      </c>
      <c r="AE834" s="80" t="str">
        <f t="shared" si="141"/>
        <v>LCOK1</v>
      </c>
      <c r="AF834" s="80" t="str">
        <f t="shared" si="142"/>
        <v>CLK1</v>
      </c>
      <c r="AG834" s="80" t="str">
        <f t="shared" si="143"/>
        <v>LCOM1</v>
      </c>
      <c r="AH834" s="80" t="str">
        <f t="shared" si="144"/>
        <v>LCON1</v>
      </c>
    </row>
    <row r="835" spans="25:34" x14ac:dyDescent="0.35">
      <c r="Y835" s="74">
        <f t="shared" si="145"/>
        <v>44238</v>
      </c>
      <c r="Z835" s="74">
        <f t="shared" ca="1" si="146"/>
        <v>44249</v>
      </c>
      <c r="AA835" s="80" t="str">
        <f t="shared" ca="1" si="147"/>
        <v>CLH1</v>
      </c>
      <c r="AB835" s="74">
        <f t="shared" ref="AB835:AB898" si="149">VLOOKUP(AC835,$Q$2:$S$39,3,FALSE)</f>
        <v>44253</v>
      </c>
      <c r="AC835" s="80" t="str">
        <f t="shared" si="148"/>
        <v>LCOJ1</v>
      </c>
      <c r="AD835" s="80" t="str">
        <f t="shared" ref="AD835:AD898" si="150">CONCATENATE("CL",RIGHT(AC835,2))</f>
        <v>CLJ1</v>
      </c>
      <c r="AE835" s="80" t="str">
        <f t="shared" ref="AE835:AE898" si="151">LOOKUP(2,1/($R$2:$R$700&lt;=$Y835)/($S$2:$S$700&gt;=$Y835),$U$2:$U$700)</f>
        <v>LCOK1</v>
      </c>
      <c r="AF835" s="80" t="str">
        <f t="shared" ref="AF835:AF898" si="152">CONCATENATE("CL",RIGHT(AE835,2))</f>
        <v>CLK1</v>
      </c>
      <c r="AG835" s="80" t="str">
        <f t="shared" ref="AG835:AG898" si="153">LOOKUP(2,1/($R$2:$R$700&lt;=$Y835)/($S$2:$S$700&gt;=$Y835),$V$2:$V$700)</f>
        <v>LCOM1</v>
      </c>
      <c r="AH835" s="80" t="str">
        <f t="shared" ref="AH835:AH898" si="154">LOOKUP(2,1/($R$2:$R$700&lt;=$Y835)/($S$2:$S$700&gt;=$Y835),$W$2:$W$700)</f>
        <v>LCON1</v>
      </c>
    </row>
    <row r="836" spans="25:34" x14ac:dyDescent="0.35">
      <c r="Y836" s="74">
        <f t="shared" si="145"/>
        <v>44239</v>
      </c>
      <c r="Z836" s="74">
        <f t="shared" ca="1" si="146"/>
        <v>44249</v>
      </c>
      <c r="AA836" s="80" t="str">
        <f t="shared" ca="1" si="147"/>
        <v>CLH1</v>
      </c>
      <c r="AB836" s="74">
        <f t="shared" si="149"/>
        <v>44253</v>
      </c>
      <c r="AC836" s="80" t="str">
        <f t="shared" si="148"/>
        <v>LCOJ1</v>
      </c>
      <c r="AD836" s="80" t="str">
        <f t="shared" si="150"/>
        <v>CLJ1</v>
      </c>
      <c r="AE836" s="80" t="str">
        <f t="shared" si="151"/>
        <v>LCOK1</v>
      </c>
      <c r="AF836" s="80" t="str">
        <f t="shared" si="152"/>
        <v>CLK1</v>
      </c>
      <c r="AG836" s="80" t="str">
        <f t="shared" si="153"/>
        <v>LCOM1</v>
      </c>
      <c r="AH836" s="80" t="str">
        <f t="shared" si="154"/>
        <v>LCON1</v>
      </c>
    </row>
    <row r="837" spans="25:34" x14ac:dyDescent="0.35">
      <c r="Y837" s="74">
        <f t="shared" si="145"/>
        <v>44240</v>
      </c>
      <c r="Z837" s="74">
        <f t="shared" ca="1" si="146"/>
        <v>44249</v>
      </c>
      <c r="AA837" s="80" t="str">
        <f t="shared" ca="1" si="147"/>
        <v>CLH1</v>
      </c>
      <c r="AB837" s="74">
        <f t="shared" si="149"/>
        <v>44253</v>
      </c>
      <c r="AC837" s="80" t="str">
        <f t="shared" si="148"/>
        <v>LCOJ1</v>
      </c>
      <c r="AD837" s="80" t="str">
        <f t="shared" si="150"/>
        <v>CLJ1</v>
      </c>
      <c r="AE837" s="80" t="str">
        <f t="shared" si="151"/>
        <v>LCOK1</v>
      </c>
      <c r="AF837" s="80" t="str">
        <f t="shared" si="152"/>
        <v>CLK1</v>
      </c>
      <c r="AG837" s="80" t="str">
        <f t="shared" si="153"/>
        <v>LCOM1</v>
      </c>
      <c r="AH837" s="80" t="str">
        <f t="shared" si="154"/>
        <v>LCON1</v>
      </c>
    </row>
    <row r="838" spans="25:34" x14ac:dyDescent="0.35">
      <c r="Y838" s="74">
        <f t="shared" si="145"/>
        <v>44241</v>
      </c>
      <c r="Z838" s="74">
        <f t="shared" ca="1" si="146"/>
        <v>44249</v>
      </c>
      <c r="AA838" s="80" t="str">
        <f t="shared" ca="1" si="147"/>
        <v>CLH1</v>
      </c>
      <c r="AB838" s="74">
        <f t="shared" si="149"/>
        <v>44253</v>
      </c>
      <c r="AC838" s="80" t="str">
        <f t="shared" si="148"/>
        <v>LCOJ1</v>
      </c>
      <c r="AD838" s="80" t="str">
        <f t="shared" si="150"/>
        <v>CLJ1</v>
      </c>
      <c r="AE838" s="80" t="str">
        <f t="shared" si="151"/>
        <v>LCOK1</v>
      </c>
      <c r="AF838" s="80" t="str">
        <f t="shared" si="152"/>
        <v>CLK1</v>
      </c>
      <c r="AG838" s="80" t="str">
        <f t="shared" si="153"/>
        <v>LCOM1</v>
      </c>
      <c r="AH838" s="80" t="str">
        <f t="shared" si="154"/>
        <v>LCON1</v>
      </c>
    </row>
    <row r="839" spans="25:34" x14ac:dyDescent="0.35">
      <c r="Y839" s="74">
        <f t="shared" si="145"/>
        <v>44242</v>
      </c>
      <c r="Z839" s="74">
        <f t="shared" ca="1" si="146"/>
        <v>44249</v>
      </c>
      <c r="AA839" s="80" t="str">
        <f t="shared" ca="1" si="147"/>
        <v>CLH1</v>
      </c>
      <c r="AB839" s="74">
        <f t="shared" si="149"/>
        <v>44253</v>
      </c>
      <c r="AC839" s="80" t="str">
        <f t="shared" si="148"/>
        <v>LCOJ1</v>
      </c>
      <c r="AD839" s="80" t="str">
        <f t="shared" si="150"/>
        <v>CLJ1</v>
      </c>
      <c r="AE839" s="80" t="str">
        <f t="shared" si="151"/>
        <v>LCOK1</v>
      </c>
      <c r="AF839" s="80" t="str">
        <f t="shared" si="152"/>
        <v>CLK1</v>
      </c>
      <c r="AG839" s="80" t="str">
        <f t="shared" si="153"/>
        <v>LCOM1</v>
      </c>
      <c r="AH839" s="80" t="str">
        <f t="shared" si="154"/>
        <v>LCON1</v>
      </c>
    </row>
    <row r="840" spans="25:34" x14ac:dyDescent="0.35">
      <c r="Y840" s="74">
        <f t="shared" si="145"/>
        <v>44243</v>
      </c>
      <c r="Z840" s="74">
        <f t="shared" ca="1" si="146"/>
        <v>44249</v>
      </c>
      <c r="AA840" s="80" t="str">
        <f t="shared" ca="1" si="147"/>
        <v>CLH1</v>
      </c>
      <c r="AB840" s="74">
        <f t="shared" si="149"/>
        <v>44253</v>
      </c>
      <c r="AC840" s="80" t="str">
        <f t="shared" si="148"/>
        <v>LCOJ1</v>
      </c>
      <c r="AD840" s="80" t="str">
        <f t="shared" si="150"/>
        <v>CLJ1</v>
      </c>
      <c r="AE840" s="80" t="str">
        <f t="shared" si="151"/>
        <v>LCOK1</v>
      </c>
      <c r="AF840" s="80" t="str">
        <f t="shared" si="152"/>
        <v>CLK1</v>
      </c>
      <c r="AG840" s="80" t="str">
        <f t="shared" si="153"/>
        <v>LCOM1</v>
      </c>
      <c r="AH840" s="80" t="str">
        <f t="shared" si="154"/>
        <v>LCON1</v>
      </c>
    </row>
    <row r="841" spans="25:34" x14ac:dyDescent="0.35">
      <c r="Y841" s="74">
        <f t="shared" si="145"/>
        <v>44244</v>
      </c>
      <c r="Z841" s="74">
        <f t="shared" ca="1" si="146"/>
        <v>44249</v>
      </c>
      <c r="AA841" s="80" t="str">
        <f t="shared" ca="1" si="147"/>
        <v>CLH1</v>
      </c>
      <c r="AB841" s="74">
        <f t="shared" si="149"/>
        <v>44253</v>
      </c>
      <c r="AC841" s="80" t="str">
        <f t="shared" si="148"/>
        <v>LCOJ1</v>
      </c>
      <c r="AD841" s="80" t="str">
        <f t="shared" si="150"/>
        <v>CLJ1</v>
      </c>
      <c r="AE841" s="80" t="str">
        <f t="shared" si="151"/>
        <v>LCOK1</v>
      </c>
      <c r="AF841" s="80" t="str">
        <f t="shared" si="152"/>
        <v>CLK1</v>
      </c>
      <c r="AG841" s="80" t="str">
        <f t="shared" si="153"/>
        <v>LCOM1</v>
      </c>
      <c r="AH841" s="80" t="str">
        <f t="shared" si="154"/>
        <v>LCON1</v>
      </c>
    </row>
    <row r="842" spans="25:34" x14ac:dyDescent="0.35">
      <c r="Y842" s="74">
        <f t="shared" si="145"/>
        <v>44245</v>
      </c>
      <c r="Z842" s="74">
        <f t="shared" ca="1" si="146"/>
        <v>44249</v>
      </c>
      <c r="AA842" s="80" t="str">
        <f t="shared" ca="1" si="147"/>
        <v>CLH1</v>
      </c>
      <c r="AB842" s="74">
        <f t="shared" si="149"/>
        <v>44253</v>
      </c>
      <c r="AC842" s="80" t="str">
        <f t="shared" si="148"/>
        <v>LCOJ1</v>
      </c>
      <c r="AD842" s="80" t="str">
        <f t="shared" si="150"/>
        <v>CLJ1</v>
      </c>
      <c r="AE842" s="80" t="str">
        <f t="shared" si="151"/>
        <v>LCOK1</v>
      </c>
      <c r="AF842" s="80" t="str">
        <f t="shared" si="152"/>
        <v>CLK1</v>
      </c>
      <c r="AG842" s="80" t="str">
        <f t="shared" si="153"/>
        <v>LCOM1</v>
      </c>
      <c r="AH842" s="80" t="str">
        <f t="shared" si="154"/>
        <v>LCON1</v>
      </c>
    </row>
    <row r="843" spans="25:34" x14ac:dyDescent="0.35">
      <c r="Y843" s="74">
        <f t="shared" si="145"/>
        <v>44246</v>
      </c>
      <c r="Z843" s="74">
        <f t="shared" ca="1" si="146"/>
        <v>44249</v>
      </c>
      <c r="AA843" s="80" t="str">
        <f t="shared" ca="1" si="147"/>
        <v>CLH1</v>
      </c>
      <c r="AB843" s="74">
        <f t="shared" si="149"/>
        <v>44253</v>
      </c>
      <c r="AC843" s="80" t="str">
        <f t="shared" si="148"/>
        <v>LCOJ1</v>
      </c>
      <c r="AD843" s="80" t="str">
        <f t="shared" si="150"/>
        <v>CLJ1</v>
      </c>
      <c r="AE843" s="80" t="str">
        <f t="shared" si="151"/>
        <v>LCOK1</v>
      </c>
      <c r="AF843" s="80" t="str">
        <f t="shared" si="152"/>
        <v>CLK1</v>
      </c>
      <c r="AG843" s="80" t="str">
        <f t="shared" si="153"/>
        <v>LCOM1</v>
      </c>
      <c r="AH843" s="80" t="str">
        <f t="shared" si="154"/>
        <v>LCON1</v>
      </c>
    </row>
    <row r="844" spans="25:34" x14ac:dyDescent="0.35">
      <c r="Y844" s="74">
        <f t="shared" si="145"/>
        <v>44247</v>
      </c>
      <c r="Z844" s="74">
        <f t="shared" ca="1" si="146"/>
        <v>44249</v>
      </c>
      <c r="AA844" s="80" t="str">
        <f t="shared" ca="1" si="147"/>
        <v>CLH1</v>
      </c>
      <c r="AB844" s="74">
        <f t="shared" si="149"/>
        <v>44253</v>
      </c>
      <c r="AC844" s="80" t="str">
        <f t="shared" si="148"/>
        <v>LCOJ1</v>
      </c>
      <c r="AD844" s="80" t="str">
        <f t="shared" si="150"/>
        <v>CLJ1</v>
      </c>
      <c r="AE844" s="80" t="str">
        <f t="shared" si="151"/>
        <v>LCOK1</v>
      </c>
      <c r="AF844" s="80" t="str">
        <f t="shared" si="152"/>
        <v>CLK1</v>
      </c>
      <c r="AG844" s="80" t="str">
        <f t="shared" si="153"/>
        <v>LCOM1</v>
      </c>
      <c r="AH844" s="80" t="str">
        <f t="shared" si="154"/>
        <v>LCON1</v>
      </c>
    </row>
    <row r="845" spans="25:34" x14ac:dyDescent="0.35">
      <c r="Y845" s="74">
        <f t="shared" si="145"/>
        <v>44248</v>
      </c>
      <c r="Z845" s="74">
        <f t="shared" ca="1" si="146"/>
        <v>44249</v>
      </c>
      <c r="AA845" s="80" t="str">
        <f t="shared" ca="1" si="147"/>
        <v>CLH1</v>
      </c>
      <c r="AB845" s="74">
        <f t="shared" si="149"/>
        <v>44253</v>
      </c>
      <c r="AC845" s="80" t="str">
        <f t="shared" si="148"/>
        <v>LCOJ1</v>
      </c>
      <c r="AD845" s="80" t="str">
        <f t="shared" si="150"/>
        <v>CLJ1</v>
      </c>
      <c r="AE845" s="80" t="str">
        <f t="shared" si="151"/>
        <v>LCOK1</v>
      </c>
      <c r="AF845" s="80" t="str">
        <f t="shared" si="152"/>
        <v>CLK1</v>
      </c>
      <c r="AG845" s="80" t="str">
        <f t="shared" si="153"/>
        <v>LCOM1</v>
      </c>
      <c r="AH845" s="80" t="str">
        <f t="shared" si="154"/>
        <v>LCON1</v>
      </c>
    </row>
    <row r="846" spans="25:34" x14ac:dyDescent="0.35">
      <c r="Y846" s="74">
        <f t="shared" si="145"/>
        <v>44249</v>
      </c>
      <c r="Z846" s="74">
        <f t="shared" ca="1" si="146"/>
        <v>44249</v>
      </c>
      <c r="AA846" s="80" t="str">
        <f t="shared" ca="1" si="147"/>
        <v>CLH1</v>
      </c>
      <c r="AB846" s="74">
        <f t="shared" si="149"/>
        <v>44253</v>
      </c>
      <c r="AC846" s="80" t="str">
        <f t="shared" si="148"/>
        <v>LCOJ1</v>
      </c>
      <c r="AD846" s="80" t="str">
        <f t="shared" si="150"/>
        <v>CLJ1</v>
      </c>
      <c r="AE846" s="80" t="str">
        <f t="shared" si="151"/>
        <v>LCOK1</v>
      </c>
      <c r="AF846" s="80" t="str">
        <f t="shared" si="152"/>
        <v>CLK1</v>
      </c>
      <c r="AG846" s="80" t="str">
        <f t="shared" si="153"/>
        <v>LCOM1</v>
      </c>
      <c r="AH846" s="80" t="str">
        <f t="shared" si="154"/>
        <v>LCON1</v>
      </c>
    </row>
    <row r="847" spans="25:34" x14ac:dyDescent="0.35">
      <c r="Y847" s="74">
        <f t="shared" si="145"/>
        <v>44250</v>
      </c>
      <c r="Z847" s="74">
        <f t="shared" ca="1" si="146"/>
        <v>44277</v>
      </c>
      <c r="AA847" s="80" t="str">
        <f t="shared" ca="1" si="147"/>
        <v>CLJ1</v>
      </c>
      <c r="AB847" s="74">
        <f t="shared" si="149"/>
        <v>44253</v>
      </c>
      <c r="AC847" s="80" t="str">
        <f t="shared" si="148"/>
        <v>LCOJ1</v>
      </c>
      <c r="AD847" s="80" t="str">
        <f t="shared" si="150"/>
        <v>CLJ1</v>
      </c>
      <c r="AE847" s="80" t="str">
        <f t="shared" si="151"/>
        <v>LCOK1</v>
      </c>
      <c r="AF847" s="80" t="str">
        <f t="shared" si="152"/>
        <v>CLK1</v>
      </c>
      <c r="AG847" s="80" t="str">
        <f t="shared" si="153"/>
        <v>LCOM1</v>
      </c>
      <c r="AH847" s="80" t="str">
        <f t="shared" si="154"/>
        <v>LCON1</v>
      </c>
    </row>
    <row r="848" spans="25:34" x14ac:dyDescent="0.35">
      <c r="Y848" s="74">
        <f t="shared" si="145"/>
        <v>44251</v>
      </c>
      <c r="Z848" s="74">
        <f t="shared" ca="1" si="146"/>
        <v>44277</v>
      </c>
      <c r="AA848" s="80" t="str">
        <f t="shared" ca="1" si="147"/>
        <v>CLJ1</v>
      </c>
      <c r="AB848" s="74">
        <f t="shared" si="149"/>
        <v>44253</v>
      </c>
      <c r="AC848" s="80" t="str">
        <f t="shared" si="148"/>
        <v>LCOJ1</v>
      </c>
      <c r="AD848" s="80" t="str">
        <f t="shared" si="150"/>
        <v>CLJ1</v>
      </c>
      <c r="AE848" s="80" t="str">
        <f t="shared" si="151"/>
        <v>LCOK1</v>
      </c>
      <c r="AF848" s="80" t="str">
        <f t="shared" si="152"/>
        <v>CLK1</v>
      </c>
      <c r="AG848" s="80" t="str">
        <f t="shared" si="153"/>
        <v>LCOM1</v>
      </c>
      <c r="AH848" s="80" t="str">
        <f t="shared" si="154"/>
        <v>LCON1</v>
      </c>
    </row>
    <row r="849" spans="25:34" x14ac:dyDescent="0.35">
      <c r="Y849" s="74">
        <f t="shared" si="145"/>
        <v>44252</v>
      </c>
      <c r="Z849" s="74">
        <f t="shared" ca="1" si="146"/>
        <v>44277</v>
      </c>
      <c r="AA849" s="80" t="str">
        <f t="shared" ca="1" si="147"/>
        <v>CLJ1</v>
      </c>
      <c r="AB849" s="74">
        <f t="shared" si="149"/>
        <v>44253</v>
      </c>
      <c r="AC849" s="80" t="str">
        <f t="shared" si="148"/>
        <v>LCOJ1</v>
      </c>
      <c r="AD849" s="80" t="str">
        <f t="shared" si="150"/>
        <v>CLJ1</v>
      </c>
      <c r="AE849" s="80" t="str">
        <f t="shared" si="151"/>
        <v>LCOK1</v>
      </c>
      <c r="AF849" s="80" t="str">
        <f t="shared" si="152"/>
        <v>CLK1</v>
      </c>
      <c r="AG849" s="80" t="str">
        <f t="shared" si="153"/>
        <v>LCOM1</v>
      </c>
      <c r="AH849" s="80" t="str">
        <f t="shared" si="154"/>
        <v>LCON1</v>
      </c>
    </row>
    <row r="850" spans="25:34" x14ac:dyDescent="0.35">
      <c r="Y850" s="74">
        <f t="shared" si="145"/>
        <v>44253</v>
      </c>
      <c r="Z850" s="74">
        <f t="shared" ca="1" si="146"/>
        <v>44277</v>
      </c>
      <c r="AA850" s="80" t="str">
        <f t="shared" ca="1" si="147"/>
        <v>CLJ1</v>
      </c>
      <c r="AB850" s="74">
        <f t="shared" si="149"/>
        <v>44253</v>
      </c>
      <c r="AC850" s="80" t="str">
        <f t="shared" si="148"/>
        <v>LCOJ1</v>
      </c>
      <c r="AD850" s="80" t="str">
        <f t="shared" si="150"/>
        <v>CLJ1</v>
      </c>
      <c r="AE850" s="80" t="str">
        <f t="shared" si="151"/>
        <v>LCOK1</v>
      </c>
      <c r="AF850" s="80" t="str">
        <f t="shared" si="152"/>
        <v>CLK1</v>
      </c>
      <c r="AG850" s="80" t="str">
        <f t="shared" si="153"/>
        <v>LCOM1</v>
      </c>
      <c r="AH850" s="80" t="str">
        <f t="shared" si="154"/>
        <v>LCON1</v>
      </c>
    </row>
    <row r="851" spans="25:34" x14ac:dyDescent="0.35">
      <c r="Y851" s="74">
        <f t="shared" si="145"/>
        <v>44254</v>
      </c>
      <c r="Z851" s="74">
        <f t="shared" ca="1" si="146"/>
        <v>44277</v>
      </c>
      <c r="AA851" s="80" t="str">
        <f t="shared" ca="1" si="147"/>
        <v>CLJ1</v>
      </c>
      <c r="AB851" s="74">
        <f t="shared" si="149"/>
        <v>44286</v>
      </c>
      <c r="AC851" s="80" t="str">
        <f t="shared" si="148"/>
        <v>LCOK1</v>
      </c>
      <c r="AD851" s="80" t="str">
        <f t="shared" si="150"/>
        <v>CLK1</v>
      </c>
      <c r="AE851" s="80" t="str">
        <f t="shared" si="151"/>
        <v>LCOM1</v>
      </c>
      <c r="AF851" s="80" t="str">
        <f t="shared" si="152"/>
        <v>CLM1</v>
      </c>
      <c r="AG851" s="80" t="str">
        <f t="shared" si="153"/>
        <v>LCON1</v>
      </c>
      <c r="AH851" s="80" t="str">
        <f t="shared" si="154"/>
        <v>LCOQ1</v>
      </c>
    </row>
    <row r="852" spans="25:34" x14ac:dyDescent="0.35">
      <c r="Y852" s="74">
        <f t="shared" si="145"/>
        <v>44255</v>
      </c>
      <c r="Z852" s="74">
        <f t="shared" ca="1" si="146"/>
        <v>44277</v>
      </c>
      <c r="AA852" s="80" t="str">
        <f t="shared" ca="1" si="147"/>
        <v>CLJ1</v>
      </c>
      <c r="AB852" s="74">
        <f t="shared" si="149"/>
        <v>44286</v>
      </c>
      <c r="AC852" s="80" t="str">
        <f t="shared" si="148"/>
        <v>LCOK1</v>
      </c>
      <c r="AD852" s="80" t="str">
        <f t="shared" si="150"/>
        <v>CLK1</v>
      </c>
      <c r="AE852" s="80" t="str">
        <f t="shared" si="151"/>
        <v>LCOM1</v>
      </c>
      <c r="AF852" s="80" t="str">
        <f t="shared" si="152"/>
        <v>CLM1</v>
      </c>
      <c r="AG852" s="80" t="str">
        <f t="shared" si="153"/>
        <v>LCON1</v>
      </c>
      <c r="AH852" s="80" t="str">
        <f t="shared" si="154"/>
        <v>LCOQ1</v>
      </c>
    </row>
    <row r="853" spans="25:34" x14ac:dyDescent="0.35">
      <c r="Y853" s="74">
        <f t="shared" si="145"/>
        <v>44256</v>
      </c>
      <c r="Z853" s="74">
        <f t="shared" ca="1" si="146"/>
        <v>44277</v>
      </c>
      <c r="AA853" s="80" t="str">
        <f t="shared" ca="1" si="147"/>
        <v>CLJ1</v>
      </c>
      <c r="AB853" s="74">
        <f t="shared" si="149"/>
        <v>44286</v>
      </c>
      <c r="AC853" s="80" t="str">
        <f t="shared" si="148"/>
        <v>LCOK1</v>
      </c>
      <c r="AD853" s="80" t="str">
        <f t="shared" si="150"/>
        <v>CLK1</v>
      </c>
      <c r="AE853" s="80" t="str">
        <f t="shared" si="151"/>
        <v>LCOM1</v>
      </c>
      <c r="AF853" s="80" t="str">
        <f t="shared" si="152"/>
        <v>CLM1</v>
      </c>
      <c r="AG853" s="80" t="str">
        <f t="shared" si="153"/>
        <v>LCON1</v>
      </c>
      <c r="AH853" s="80" t="str">
        <f t="shared" si="154"/>
        <v>LCOQ1</v>
      </c>
    </row>
    <row r="854" spans="25:34" x14ac:dyDescent="0.35">
      <c r="Y854" s="74">
        <f t="shared" si="145"/>
        <v>44257</v>
      </c>
      <c r="Z854" s="74">
        <f t="shared" ca="1" si="146"/>
        <v>44277</v>
      </c>
      <c r="AA854" s="80" t="str">
        <f t="shared" ca="1" si="147"/>
        <v>CLJ1</v>
      </c>
      <c r="AB854" s="74">
        <f t="shared" si="149"/>
        <v>44286</v>
      </c>
      <c r="AC854" s="80" t="str">
        <f t="shared" si="148"/>
        <v>LCOK1</v>
      </c>
      <c r="AD854" s="80" t="str">
        <f t="shared" si="150"/>
        <v>CLK1</v>
      </c>
      <c r="AE854" s="80" t="str">
        <f t="shared" si="151"/>
        <v>LCOM1</v>
      </c>
      <c r="AF854" s="80" t="str">
        <f t="shared" si="152"/>
        <v>CLM1</v>
      </c>
      <c r="AG854" s="80" t="str">
        <f t="shared" si="153"/>
        <v>LCON1</v>
      </c>
      <c r="AH854" s="80" t="str">
        <f t="shared" si="154"/>
        <v>LCOQ1</v>
      </c>
    </row>
    <row r="855" spans="25:34" x14ac:dyDescent="0.35">
      <c r="Y855" s="74">
        <f t="shared" si="145"/>
        <v>44258</v>
      </c>
      <c r="Z855" s="74">
        <f t="shared" ca="1" si="146"/>
        <v>44277</v>
      </c>
      <c r="AA855" s="80" t="str">
        <f t="shared" ca="1" si="147"/>
        <v>CLJ1</v>
      </c>
      <c r="AB855" s="74">
        <f t="shared" si="149"/>
        <v>44286</v>
      </c>
      <c r="AC855" s="80" t="str">
        <f t="shared" si="148"/>
        <v>LCOK1</v>
      </c>
      <c r="AD855" s="80" t="str">
        <f t="shared" si="150"/>
        <v>CLK1</v>
      </c>
      <c r="AE855" s="80" t="str">
        <f t="shared" si="151"/>
        <v>LCOM1</v>
      </c>
      <c r="AF855" s="80" t="str">
        <f t="shared" si="152"/>
        <v>CLM1</v>
      </c>
      <c r="AG855" s="80" t="str">
        <f t="shared" si="153"/>
        <v>LCON1</v>
      </c>
      <c r="AH855" s="80" t="str">
        <f t="shared" si="154"/>
        <v>LCOQ1</v>
      </c>
    </row>
    <row r="856" spans="25:34" x14ac:dyDescent="0.35">
      <c r="Y856" s="74">
        <f t="shared" si="145"/>
        <v>44259</v>
      </c>
      <c r="Z856" s="74">
        <f t="shared" ca="1" si="146"/>
        <v>44277</v>
      </c>
      <c r="AA856" s="80" t="str">
        <f t="shared" ca="1" si="147"/>
        <v>CLJ1</v>
      </c>
      <c r="AB856" s="74">
        <f t="shared" si="149"/>
        <v>44286</v>
      </c>
      <c r="AC856" s="80" t="str">
        <f t="shared" si="148"/>
        <v>LCOK1</v>
      </c>
      <c r="AD856" s="80" t="str">
        <f t="shared" si="150"/>
        <v>CLK1</v>
      </c>
      <c r="AE856" s="80" t="str">
        <f t="shared" si="151"/>
        <v>LCOM1</v>
      </c>
      <c r="AF856" s="80" t="str">
        <f t="shared" si="152"/>
        <v>CLM1</v>
      </c>
      <c r="AG856" s="80" t="str">
        <f t="shared" si="153"/>
        <v>LCON1</v>
      </c>
      <c r="AH856" s="80" t="str">
        <f t="shared" si="154"/>
        <v>LCOQ1</v>
      </c>
    </row>
    <row r="857" spans="25:34" x14ac:dyDescent="0.35">
      <c r="Y857" s="74">
        <f t="shared" si="145"/>
        <v>44260</v>
      </c>
      <c r="Z857" s="74">
        <f t="shared" ca="1" si="146"/>
        <v>44277</v>
      </c>
      <c r="AA857" s="80" t="str">
        <f t="shared" ca="1" si="147"/>
        <v>CLJ1</v>
      </c>
      <c r="AB857" s="74">
        <f t="shared" si="149"/>
        <v>44286</v>
      </c>
      <c r="AC857" s="80" t="str">
        <f t="shared" si="148"/>
        <v>LCOK1</v>
      </c>
      <c r="AD857" s="80" t="str">
        <f t="shared" si="150"/>
        <v>CLK1</v>
      </c>
      <c r="AE857" s="80" t="str">
        <f t="shared" si="151"/>
        <v>LCOM1</v>
      </c>
      <c r="AF857" s="80" t="str">
        <f t="shared" si="152"/>
        <v>CLM1</v>
      </c>
      <c r="AG857" s="80" t="str">
        <f t="shared" si="153"/>
        <v>LCON1</v>
      </c>
      <c r="AH857" s="80" t="str">
        <f t="shared" si="154"/>
        <v>LCOQ1</v>
      </c>
    </row>
    <row r="858" spans="25:34" x14ac:dyDescent="0.35">
      <c r="Y858" s="74">
        <f t="shared" si="145"/>
        <v>44261</v>
      </c>
      <c r="Z858" s="74">
        <f t="shared" ca="1" si="146"/>
        <v>44277</v>
      </c>
      <c r="AA858" s="80" t="str">
        <f t="shared" ca="1" si="147"/>
        <v>CLJ1</v>
      </c>
      <c r="AB858" s="74">
        <f t="shared" si="149"/>
        <v>44286</v>
      </c>
      <c r="AC858" s="80" t="str">
        <f t="shared" si="148"/>
        <v>LCOK1</v>
      </c>
      <c r="AD858" s="80" t="str">
        <f t="shared" si="150"/>
        <v>CLK1</v>
      </c>
      <c r="AE858" s="80" t="str">
        <f t="shared" si="151"/>
        <v>LCOM1</v>
      </c>
      <c r="AF858" s="80" t="str">
        <f t="shared" si="152"/>
        <v>CLM1</v>
      </c>
      <c r="AG858" s="80" t="str">
        <f t="shared" si="153"/>
        <v>LCON1</v>
      </c>
      <c r="AH858" s="80" t="str">
        <f t="shared" si="154"/>
        <v>LCOQ1</v>
      </c>
    </row>
    <row r="859" spans="25:34" x14ac:dyDescent="0.35">
      <c r="Y859" s="74">
        <f t="shared" si="145"/>
        <v>44262</v>
      </c>
      <c r="Z859" s="74">
        <f t="shared" ca="1" si="146"/>
        <v>44277</v>
      </c>
      <c r="AA859" s="80" t="str">
        <f t="shared" ca="1" si="147"/>
        <v>CLJ1</v>
      </c>
      <c r="AB859" s="74">
        <f t="shared" si="149"/>
        <v>44286</v>
      </c>
      <c r="AC859" s="80" t="str">
        <f t="shared" si="148"/>
        <v>LCOK1</v>
      </c>
      <c r="AD859" s="80" t="str">
        <f t="shared" si="150"/>
        <v>CLK1</v>
      </c>
      <c r="AE859" s="80" t="str">
        <f t="shared" si="151"/>
        <v>LCOM1</v>
      </c>
      <c r="AF859" s="80" t="str">
        <f t="shared" si="152"/>
        <v>CLM1</v>
      </c>
      <c r="AG859" s="80" t="str">
        <f t="shared" si="153"/>
        <v>LCON1</v>
      </c>
      <c r="AH859" s="80" t="str">
        <f t="shared" si="154"/>
        <v>LCOQ1</v>
      </c>
    </row>
    <row r="860" spans="25:34" x14ac:dyDescent="0.35">
      <c r="Y860" s="74">
        <f t="shared" si="145"/>
        <v>44263</v>
      </c>
      <c r="Z860" s="74">
        <f t="shared" ca="1" si="146"/>
        <v>44277</v>
      </c>
      <c r="AA860" s="80" t="str">
        <f t="shared" ca="1" si="147"/>
        <v>CLJ1</v>
      </c>
      <c r="AB860" s="74">
        <f t="shared" si="149"/>
        <v>44286</v>
      </c>
      <c r="AC860" s="80" t="str">
        <f t="shared" si="148"/>
        <v>LCOK1</v>
      </c>
      <c r="AD860" s="80" t="str">
        <f t="shared" si="150"/>
        <v>CLK1</v>
      </c>
      <c r="AE860" s="80" t="str">
        <f t="shared" si="151"/>
        <v>LCOM1</v>
      </c>
      <c r="AF860" s="80" t="str">
        <f t="shared" si="152"/>
        <v>CLM1</v>
      </c>
      <c r="AG860" s="80" t="str">
        <f t="shared" si="153"/>
        <v>LCON1</v>
      </c>
      <c r="AH860" s="80" t="str">
        <f t="shared" si="154"/>
        <v>LCOQ1</v>
      </c>
    </row>
    <row r="861" spans="25:34" x14ac:dyDescent="0.35">
      <c r="Y861" s="74">
        <f t="shared" si="145"/>
        <v>44264</v>
      </c>
      <c r="Z861" s="74">
        <f t="shared" ca="1" si="146"/>
        <v>44277</v>
      </c>
      <c r="AA861" s="80" t="str">
        <f t="shared" ca="1" si="147"/>
        <v>CLJ1</v>
      </c>
      <c r="AB861" s="74">
        <f t="shared" si="149"/>
        <v>44286</v>
      </c>
      <c r="AC861" s="80" t="str">
        <f t="shared" si="148"/>
        <v>LCOK1</v>
      </c>
      <c r="AD861" s="80" t="str">
        <f t="shared" si="150"/>
        <v>CLK1</v>
      </c>
      <c r="AE861" s="80" t="str">
        <f t="shared" si="151"/>
        <v>LCOM1</v>
      </c>
      <c r="AF861" s="80" t="str">
        <f t="shared" si="152"/>
        <v>CLM1</v>
      </c>
      <c r="AG861" s="80" t="str">
        <f t="shared" si="153"/>
        <v>LCON1</v>
      </c>
      <c r="AH861" s="80" t="str">
        <f t="shared" si="154"/>
        <v>LCOQ1</v>
      </c>
    </row>
    <row r="862" spans="25:34" x14ac:dyDescent="0.35">
      <c r="Y862" s="74">
        <f t="shared" si="145"/>
        <v>44265</v>
      </c>
      <c r="Z862" s="74">
        <f t="shared" ca="1" si="146"/>
        <v>44277</v>
      </c>
      <c r="AA862" s="80" t="str">
        <f t="shared" ca="1" si="147"/>
        <v>CLJ1</v>
      </c>
      <c r="AB862" s="74">
        <f t="shared" si="149"/>
        <v>44286</v>
      </c>
      <c r="AC862" s="80" t="str">
        <f t="shared" si="148"/>
        <v>LCOK1</v>
      </c>
      <c r="AD862" s="80" t="str">
        <f t="shared" si="150"/>
        <v>CLK1</v>
      </c>
      <c r="AE862" s="80" t="str">
        <f t="shared" si="151"/>
        <v>LCOM1</v>
      </c>
      <c r="AF862" s="80" t="str">
        <f t="shared" si="152"/>
        <v>CLM1</v>
      </c>
      <c r="AG862" s="80" t="str">
        <f t="shared" si="153"/>
        <v>LCON1</v>
      </c>
      <c r="AH862" s="80" t="str">
        <f t="shared" si="154"/>
        <v>LCOQ1</v>
      </c>
    </row>
    <row r="863" spans="25:34" x14ac:dyDescent="0.35">
      <c r="Y863" s="74">
        <f t="shared" si="145"/>
        <v>44266</v>
      </c>
      <c r="Z863" s="74">
        <f t="shared" ca="1" si="146"/>
        <v>44277</v>
      </c>
      <c r="AA863" s="80" t="str">
        <f t="shared" ca="1" si="147"/>
        <v>CLJ1</v>
      </c>
      <c r="AB863" s="74">
        <f t="shared" si="149"/>
        <v>44286</v>
      </c>
      <c r="AC863" s="80" t="str">
        <f t="shared" si="148"/>
        <v>LCOK1</v>
      </c>
      <c r="AD863" s="80" t="str">
        <f t="shared" si="150"/>
        <v>CLK1</v>
      </c>
      <c r="AE863" s="80" t="str">
        <f t="shared" si="151"/>
        <v>LCOM1</v>
      </c>
      <c r="AF863" s="80" t="str">
        <f t="shared" si="152"/>
        <v>CLM1</v>
      </c>
      <c r="AG863" s="80" t="str">
        <f t="shared" si="153"/>
        <v>LCON1</v>
      </c>
      <c r="AH863" s="80" t="str">
        <f t="shared" si="154"/>
        <v>LCOQ1</v>
      </c>
    </row>
    <row r="864" spans="25:34" x14ac:dyDescent="0.35">
      <c r="Y864" s="74">
        <f t="shared" si="145"/>
        <v>44267</v>
      </c>
      <c r="Z864" s="74">
        <f t="shared" ca="1" si="146"/>
        <v>44277</v>
      </c>
      <c r="AA864" s="80" t="str">
        <f t="shared" ca="1" si="147"/>
        <v>CLJ1</v>
      </c>
      <c r="AB864" s="74">
        <f t="shared" si="149"/>
        <v>44286</v>
      </c>
      <c r="AC864" s="80" t="str">
        <f t="shared" si="148"/>
        <v>LCOK1</v>
      </c>
      <c r="AD864" s="80" t="str">
        <f t="shared" si="150"/>
        <v>CLK1</v>
      </c>
      <c r="AE864" s="80" t="str">
        <f t="shared" si="151"/>
        <v>LCOM1</v>
      </c>
      <c r="AF864" s="80" t="str">
        <f t="shared" si="152"/>
        <v>CLM1</v>
      </c>
      <c r="AG864" s="80" t="str">
        <f t="shared" si="153"/>
        <v>LCON1</v>
      </c>
      <c r="AH864" s="80" t="str">
        <f t="shared" si="154"/>
        <v>LCOQ1</v>
      </c>
    </row>
    <row r="865" spans="25:34" x14ac:dyDescent="0.35">
      <c r="Y865" s="74">
        <f t="shared" ref="Y865:Y928" si="155">Y864+1</f>
        <v>44268</v>
      </c>
      <c r="Z865" s="74">
        <f t="shared" ca="1" si="146"/>
        <v>44277</v>
      </c>
      <c r="AA865" s="80" t="str">
        <f t="shared" ca="1" si="147"/>
        <v>CLJ1</v>
      </c>
      <c r="AB865" s="74">
        <f t="shared" si="149"/>
        <v>44286</v>
      </c>
      <c r="AC865" s="80" t="str">
        <f t="shared" si="148"/>
        <v>LCOK1</v>
      </c>
      <c r="AD865" s="80" t="str">
        <f t="shared" si="150"/>
        <v>CLK1</v>
      </c>
      <c r="AE865" s="80" t="str">
        <f t="shared" si="151"/>
        <v>LCOM1</v>
      </c>
      <c r="AF865" s="80" t="str">
        <f t="shared" si="152"/>
        <v>CLM1</v>
      </c>
      <c r="AG865" s="80" t="str">
        <f t="shared" si="153"/>
        <v>LCON1</v>
      </c>
      <c r="AH865" s="80" t="str">
        <f t="shared" si="154"/>
        <v>LCOQ1</v>
      </c>
    </row>
    <row r="866" spans="25:34" x14ac:dyDescent="0.35">
      <c r="Y866" s="74">
        <f t="shared" si="155"/>
        <v>44269</v>
      </c>
      <c r="Z866" s="74">
        <f t="shared" ca="1" si="146"/>
        <v>44277</v>
      </c>
      <c r="AA866" s="80" t="str">
        <f t="shared" ca="1" si="147"/>
        <v>CLJ1</v>
      </c>
      <c r="AB866" s="74">
        <f t="shared" si="149"/>
        <v>44286</v>
      </c>
      <c r="AC866" s="80" t="str">
        <f t="shared" si="148"/>
        <v>LCOK1</v>
      </c>
      <c r="AD866" s="80" t="str">
        <f t="shared" si="150"/>
        <v>CLK1</v>
      </c>
      <c r="AE866" s="80" t="str">
        <f t="shared" si="151"/>
        <v>LCOM1</v>
      </c>
      <c r="AF866" s="80" t="str">
        <f t="shared" si="152"/>
        <v>CLM1</v>
      </c>
      <c r="AG866" s="80" t="str">
        <f t="shared" si="153"/>
        <v>LCON1</v>
      </c>
      <c r="AH866" s="80" t="str">
        <f t="shared" si="154"/>
        <v>LCOQ1</v>
      </c>
    </row>
    <row r="867" spans="25:34" x14ac:dyDescent="0.35">
      <c r="Y867" s="74">
        <f t="shared" si="155"/>
        <v>44270</v>
      </c>
      <c r="Z867" s="74">
        <f t="shared" ca="1" si="146"/>
        <v>44277</v>
      </c>
      <c r="AA867" s="80" t="str">
        <f t="shared" ca="1" si="147"/>
        <v>CLJ1</v>
      </c>
      <c r="AB867" s="74">
        <f t="shared" si="149"/>
        <v>44286</v>
      </c>
      <c r="AC867" s="80" t="str">
        <f t="shared" si="148"/>
        <v>LCOK1</v>
      </c>
      <c r="AD867" s="80" t="str">
        <f t="shared" si="150"/>
        <v>CLK1</v>
      </c>
      <c r="AE867" s="80" t="str">
        <f t="shared" si="151"/>
        <v>LCOM1</v>
      </c>
      <c r="AF867" s="80" t="str">
        <f t="shared" si="152"/>
        <v>CLM1</v>
      </c>
      <c r="AG867" s="80" t="str">
        <f t="shared" si="153"/>
        <v>LCON1</v>
      </c>
      <c r="AH867" s="80" t="str">
        <f t="shared" si="154"/>
        <v>LCOQ1</v>
      </c>
    </row>
    <row r="868" spans="25:34" x14ac:dyDescent="0.35">
      <c r="Y868" s="74">
        <f t="shared" si="155"/>
        <v>44271</v>
      </c>
      <c r="Z868" s="74">
        <f t="shared" ca="1" si="146"/>
        <v>44277</v>
      </c>
      <c r="AA868" s="80" t="str">
        <f t="shared" ca="1" si="147"/>
        <v>CLJ1</v>
      </c>
      <c r="AB868" s="74">
        <f t="shared" si="149"/>
        <v>44286</v>
      </c>
      <c r="AC868" s="80" t="str">
        <f t="shared" si="148"/>
        <v>LCOK1</v>
      </c>
      <c r="AD868" s="80" t="str">
        <f t="shared" si="150"/>
        <v>CLK1</v>
      </c>
      <c r="AE868" s="80" t="str">
        <f t="shared" si="151"/>
        <v>LCOM1</v>
      </c>
      <c r="AF868" s="80" t="str">
        <f t="shared" si="152"/>
        <v>CLM1</v>
      </c>
      <c r="AG868" s="80" t="str">
        <f t="shared" si="153"/>
        <v>LCON1</v>
      </c>
      <c r="AH868" s="80" t="str">
        <f t="shared" si="154"/>
        <v>LCOQ1</v>
      </c>
    </row>
    <row r="869" spans="25:34" x14ac:dyDescent="0.35">
      <c r="Y869" s="74">
        <f t="shared" si="155"/>
        <v>44272</v>
      </c>
      <c r="Z869" s="74">
        <f t="shared" ca="1" si="146"/>
        <v>44277</v>
      </c>
      <c r="AA869" s="80" t="str">
        <f t="shared" ca="1" si="147"/>
        <v>CLJ1</v>
      </c>
      <c r="AB869" s="74">
        <f t="shared" si="149"/>
        <v>44286</v>
      </c>
      <c r="AC869" s="80" t="str">
        <f t="shared" si="148"/>
        <v>LCOK1</v>
      </c>
      <c r="AD869" s="80" t="str">
        <f t="shared" si="150"/>
        <v>CLK1</v>
      </c>
      <c r="AE869" s="80" t="str">
        <f t="shared" si="151"/>
        <v>LCOM1</v>
      </c>
      <c r="AF869" s="80" t="str">
        <f t="shared" si="152"/>
        <v>CLM1</v>
      </c>
      <c r="AG869" s="80" t="str">
        <f t="shared" si="153"/>
        <v>LCON1</v>
      </c>
      <c r="AH869" s="80" t="str">
        <f t="shared" si="154"/>
        <v>LCOQ1</v>
      </c>
    </row>
    <row r="870" spans="25:34" x14ac:dyDescent="0.35">
      <c r="Y870" s="74">
        <f t="shared" si="155"/>
        <v>44273</v>
      </c>
      <c r="Z870" s="74">
        <f t="shared" ca="1" si="146"/>
        <v>44277</v>
      </c>
      <c r="AA870" s="80" t="str">
        <f t="shared" ca="1" si="147"/>
        <v>CLJ1</v>
      </c>
      <c r="AB870" s="74">
        <f t="shared" si="149"/>
        <v>44286</v>
      </c>
      <c r="AC870" s="80" t="str">
        <f t="shared" si="148"/>
        <v>LCOK1</v>
      </c>
      <c r="AD870" s="80" t="str">
        <f t="shared" si="150"/>
        <v>CLK1</v>
      </c>
      <c r="AE870" s="80" t="str">
        <f t="shared" si="151"/>
        <v>LCOM1</v>
      </c>
      <c r="AF870" s="80" t="str">
        <f t="shared" si="152"/>
        <v>CLM1</v>
      </c>
      <c r="AG870" s="80" t="str">
        <f t="shared" si="153"/>
        <v>LCON1</v>
      </c>
      <c r="AH870" s="80" t="str">
        <f t="shared" si="154"/>
        <v>LCOQ1</v>
      </c>
    </row>
    <row r="871" spans="25:34" x14ac:dyDescent="0.35">
      <c r="Y871" s="74">
        <f t="shared" si="155"/>
        <v>44274</v>
      </c>
      <c r="Z871" s="74">
        <f t="shared" ca="1" si="146"/>
        <v>44277</v>
      </c>
      <c r="AA871" s="80" t="str">
        <f t="shared" ca="1" si="147"/>
        <v>CLJ1</v>
      </c>
      <c r="AB871" s="74">
        <f t="shared" si="149"/>
        <v>44286</v>
      </c>
      <c r="AC871" s="80" t="str">
        <f t="shared" si="148"/>
        <v>LCOK1</v>
      </c>
      <c r="AD871" s="80" t="str">
        <f t="shared" si="150"/>
        <v>CLK1</v>
      </c>
      <c r="AE871" s="80" t="str">
        <f t="shared" si="151"/>
        <v>LCOM1</v>
      </c>
      <c r="AF871" s="80" t="str">
        <f t="shared" si="152"/>
        <v>CLM1</v>
      </c>
      <c r="AG871" s="80" t="str">
        <f t="shared" si="153"/>
        <v>LCON1</v>
      </c>
      <c r="AH871" s="80" t="str">
        <f t="shared" si="154"/>
        <v>LCOQ1</v>
      </c>
    </row>
    <row r="872" spans="25:34" x14ac:dyDescent="0.35">
      <c r="Y872" s="74">
        <f t="shared" si="155"/>
        <v>44275</v>
      </c>
      <c r="Z872" s="74">
        <f t="shared" ca="1" si="146"/>
        <v>44277</v>
      </c>
      <c r="AA872" s="80" t="str">
        <f t="shared" ca="1" si="147"/>
        <v>CLJ1</v>
      </c>
      <c r="AB872" s="74">
        <f t="shared" si="149"/>
        <v>44286</v>
      </c>
      <c r="AC872" s="80" t="str">
        <f t="shared" si="148"/>
        <v>LCOK1</v>
      </c>
      <c r="AD872" s="80" t="str">
        <f t="shared" si="150"/>
        <v>CLK1</v>
      </c>
      <c r="AE872" s="80" t="str">
        <f t="shared" si="151"/>
        <v>LCOM1</v>
      </c>
      <c r="AF872" s="80" t="str">
        <f t="shared" si="152"/>
        <v>CLM1</v>
      </c>
      <c r="AG872" s="80" t="str">
        <f t="shared" si="153"/>
        <v>LCON1</v>
      </c>
      <c r="AH872" s="80" t="str">
        <f t="shared" si="154"/>
        <v>LCOQ1</v>
      </c>
    </row>
    <row r="873" spans="25:34" x14ac:dyDescent="0.35">
      <c r="Y873" s="74">
        <f t="shared" si="155"/>
        <v>44276</v>
      </c>
      <c r="Z873" s="74">
        <f t="shared" ca="1" si="146"/>
        <v>44277</v>
      </c>
      <c r="AA873" s="80" t="str">
        <f t="shared" ca="1" si="147"/>
        <v>CLJ1</v>
      </c>
      <c r="AB873" s="74">
        <f t="shared" si="149"/>
        <v>44286</v>
      </c>
      <c r="AC873" s="80" t="str">
        <f t="shared" si="148"/>
        <v>LCOK1</v>
      </c>
      <c r="AD873" s="80" t="str">
        <f t="shared" si="150"/>
        <v>CLK1</v>
      </c>
      <c r="AE873" s="80" t="str">
        <f t="shared" si="151"/>
        <v>LCOM1</v>
      </c>
      <c r="AF873" s="80" t="str">
        <f t="shared" si="152"/>
        <v>CLM1</v>
      </c>
      <c r="AG873" s="80" t="str">
        <f t="shared" si="153"/>
        <v>LCON1</v>
      </c>
      <c r="AH873" s="80" t="str">
        <f t="shared" si="154"/>
        <v>LCOQ1</v>
      </c>
    </row>
    <row r="874" spans="25:34" x14ac:dyDescent="0.35">
      <c r="Y874" s="74">
        <f t="shared" si="155"/>
        <v>44277</v>
      </c>
      <c r="Z874" s="74">
        <f t="shared" ca="1" si="146"/>
        <v>44277</v>
      </c>
      <c r="AA874" s="80" t="str">
        <f t="shared" ca="1" si="147"/>
        <v>CLJ1</v>
      </c>
      <c r="AB874" s="74">
        <f t="shared" si="149"/>
        <v>44286</v>
      </c>
      <c r="AC874" s="80" t="str">
        <f t="shared" si="148"/>
        <v>LCOK1</v>
      </c>
      <c r="AD874" s="80" t="str">
        <f t="shared" si="150"/>
        <v>CLK1</v>
      </c>
      <c r="AE874" s="80" t="str">
        <f t="shared" si="151"/>
        <v>LCOM1</v>
      </c>
      <c r="AF874" s="80" t="str">
        <f t="shared" si="152"/>
        <v>CLM1</v>
      </c>
      <c r="AG874" s="80" t="str">
        <f t="shared" si="153"/>
        <v>LCON1</v>
      </c>
      <c r="AH874" s="80" t="str">
        <f t="shared" si="154"/>
        <v>LCOQ1</v>
      </c>
    </row>
    <row r="875" spans="25:34" x14ac:dyDescent="0.35">
      <c r="Y875" s="74">
        <f t="shared" si="155"/>
        <v>44278</v>
      </c>
      <c r="Z875" s="74">
        <f t="shared" ca="1" si="146"/>
        <v>44306</v>
      </c>
      <c r="AA875" s="80" t="str">
        <f t="shared" ca="1" si="147"/>
        <v>CLK1</v>
      </c>
      <c r="AB875" s="74">
        <f t="shared" si="149"/>
        <v>44286</v>
      </c>
      <c r="AC875" s="80" t="str">
        <f t="shared" si="148"/>
        <v>LCOK1</v>
      </c>
      <c r="AD875" s="80" t="str">
        <f t="shared" si="150"/>
        <v>CLK1</v>
      </c>
      <c r="AE875" s="80" t="str">
        <f t="shared" si="151"/>
        <v>LCOM1</v>
      </c>
      <c r="AF875" s="80" t="str">
        <f t="shared" si="152"/>
        <v>CLM1</v>
      </c>
      <c r="AG875" s="80" t="str">
        <f t="shared" si="153"/>
        <v>LCON1</v>
      </c>
      <c r="AH875" s="80" t="str">
        <f t="shared" si="154"/>
        <v>LCOQ1</v>
      </c>
    </row>
    <row r="876" spans="25:34" x14ac:dyDescent="0.35">
      <c r="Y876" s="74">
        <f t="shared" si="155"/>
        <v>44279</v>
      </c>
      <c r="Z876" s="74">
        <f t="shared" ca="1" si="146"/>
        <v>44306</v>
      </c>
      <c r="AA876" s="80" t="str">
        <f t="shared" ca="1" si="147"/>
        <v>CLK1</v>
      </c>
      <c r="AB876" s="74">
        <f t="shared" si="149"/>
        <v>44286</v>
      </c>
      <c r="AC876" s="80" t="str">
        <f t="shared" si="148"/>
        <v>LCOK1</v>
      </c>
      <c r="AD876" s="80" t="str">
        <f t="shared" si="150"/>
        <v>CLK1</v>
      </c>
      <c r="AE876" s="80" t="str">
        <f t="shared" si="151"/>
        <v>LCOM1</v>
      </c>
      <c r="AF876" s="80" t="str">
        <f t="shared" si="152"/>
        <v>CLM1</v>
      </c>
      <c r="AG876" s="80" t="str">
        <f t="shared" si="153"/>
        <v>LCON1</v>
      </c>
      <c r="AH876" s="80" t="str">
        <f t="shared" si="154"/>
        <v>LCOQ1</v>
      </c>
    </row>
    <row r="877" spans="25:34" x14ac:dyDescent="0.35">
      <c r="Y877" s="74">
        <f t="shared" si="155"/>
        <v>44280</v>
      </c>
      <c r="Z877" s="74">
        <f t="shared" ca="1" si="146"/>
        <v>44306</v>
      </c>
      <c r="AA877" s="80" t="str">
        <f t="shared" ca="1" si="147"/>
        <v>CLK1</v>
      </c>
      <c r="AB877" s="74">
        <f t="shared" si="149"/>
        <v>44286</v>
      </c>
      <c r="AC877" s="80" t="str">
        <f t="shared" si="148"/>
        <v>LCOK1</v>
      </c>
      <c r="AD877" s="80" t="str">
        <f t="shared" si="150"/>
        <v>CLK1</v>
      </c>
      <c r="AE877" s="80" t="str">
        <f t="shared" si="151"/>
        <v>LCOM1</v>
      </c>
      <c r="AF877" s="80" t="str">
        <f t="shared" si="152"/>
        <v>CLM1</v>
      </c>
      <c r="AG877" s="80" t="str">
        <f t="shared" si="153"/>
        <v>LCON1</v>
      </c>
      <c r="AH877" s="80" t="str">
        <f t="shared" si="154"/>
        <v>LCOQ1</v>
      </c>
    </row>
    <row r="878" spans="25:34" x14ac:dyDescent="0.35">
      <c r="Y878" s="74">
        <f t="shared" si="155"/>
        <v>44281</v>
      </c>
      <c r="Z878" s="74">
        <f t="shared" ca="1" si="146"/>
        <v>44306</v>
      </c>
      <c r="AA878" s="80" t="str">
        <f t="shared" ca="1" si="147"/>
        <v>CLK1</v>
      </c>
      <c r="AB878" s="74">
        <f t="shared" si="149"/>
        <v>44286</v>
      </c>
      <c r="AC878" s="80" t="str">
        <f t="shared" si="148"/>
        <v>LCOK1</v>
      </c>
      <c r="AD878" s="80" t="str">
        <f t="shared" si="150"/>
        <v>CLK1</v>
      </c>
      <c r="AE878" s="80" t="str">
        <f t="shared" si="151"/>
        <v>LCOM1</v>
      </c>
      <c r="AF878" s="80" t="str">
        <f t="shared" si="152"/>
        <v>CLM1</v>
      </c>
      <c r="AG878" s="80" t="str">
        <f t="shared" si="153"/>
        <v>LCON1</v>
      </c>
      <c r="AH878" s="80" t="str">
        <f t="shared" si="154"/>
        <v>LCOQ1</v>
      </c>
    </row>
    <row r="879" spans="25:34" x14ac:dyDescent="0.35">
      <c r="Y879" s="74">
        <f t="shared" si="155"/>
        <v>44282</v>
      </c>
      <c r="Z879" s="74">
        <f t="shared" ca="1" si="146"/>
        <v>44306</v>
      </c>
      <c r="AA879" s="80" t="str">
        <f t="shared" ca="1" si="147"/>
        <v>CLK1</v>
      </c>
      <c r="AB879" s="74">
        <f t="shared" si="149"/>
        <v>44286</v>
      </c>
      <c r="AC879" s="80" t="str">
        <f t="shared" si="148"/>
        <v>LCOK1</v>
      </c>
      <c r="AD879" s="80" t="str">
        <f t="shared" si="150"/>
        <v>CLK1</v>
      </c>
      <c r="AE879" s="80" t="str">
        <f t="shared" si="151"/>
        <v>LCOM1</v>
      </c>
      <c r="AF879" s="80" t="str">
        <f t="shared" si="152"/>
        <v>CLM1</v>
      </c>
      <c r="AG879" s="80" t="str">
        <f t="shared" si="153"/>
        <v>LCON1</v>
      </c>
      <c r="AH879" s="80" t="str">
        <f t="shared" si="154"/>
        <v>LCOQ1</v>
      </c>
    </row>
    <row r="880" spans="25:34" x14ac:dyDescent="0.35">
      <c r="Y880" s="74">
        <f t="shared" si="155"/>
        <v>44283</v>
      </c>
      <c r="Z880" s="74">
        <f t="shared" ca="1" si="146"/>
        <v>44306</v>
      </c>
      <c r="AA880" s="80" t="str">
        <f t="shared" ca="1" si="147"/>
        <v>CLK1</v>
      </c>
      <c r="AB880" s="74">
        <f t="shared" si="149"/>
        <v>44286</v>
      </c>
      <c r="AC880" s="80" t="str">
        <f t="shared" si="148"/>
        <v>LCOK1</v>
      </c>
      <c r="AD880" s="80" t="str">
        <f t="shared" si="150"/>
        <v>CLK1</v>
      </c>
      <c r="AE880" s="80" t="str">
        <f t="shared" si="151"/>
        <v>LCOM1</v>
      </c>
      <c r="AF880" s="80" t="str">
        <f t="shared" si="152"/>
        <v>CLM1</v>
      </c>
      <c r="AG880" s="80" t="str">
        <f t="shared" si="153"/>
        <v>LCON1</v>
      </c>
      <c r="AH880" s="80" t="str">
        <f t="shared" si="154"/>
        <v>LCOQ1</v>
      </c>
    </row>
    <row r="881" spans="25:34" x14ac:dyDescent="0.35">
      <c r="Y881" s="74">
        <f t="shared" si="155"/>
        <v>44284</v>
      </c>
      <c r="Z881" s="74">
        <f t="shared" ca="1" si="146"/>
        <v>44306</v>
      </c>
      <c r="AA881" s="80" t="str">
        <f t="shared" ca="1" si="147"/>
        <v>CLK1</v>
      </c>
      <c r="AB881" s="74">
        <f t="shared" si="149"/>
        <v>44286</v>
      </c>
      <c r="AC881" s="80" t="str">
        <f t="shared" si="148"/>
        <v>LCOK1</v>
      </c>
      <c r="AD881" s="80" t="str">
        <f t="shared" si="150"/>
        <v>CLK1</v>
      </c>
      <c r="AE881" s="80" t="str">
        <f t="shared" si="151"/>
        <v>LCOM1</v>
      </c>
      <c r="AF881" s="80" t="str">
        <f t="shared" si="152"/>
        <v>CLM1</v>
      </c>
      <c r="AG881" s="80" t="str">
        <f t="shared" si="153"/>
        <v>LCON1</v>
      </c>
      <c r="AH881" s="80" t="str">
        <f t="shared" si="154"/>
        <v>LCOQ1</v>
      </c>
    </row>
    <row r="882" spans="25:34" x14ac:dyDescent="0.35">
      <c r="Y882" s="74">
        <f t="shared" si="155"/>
        <v>44285</v>
      </c>
      <c r="Z882" s="74">
        <f t="shared" ca="1" si="146"/>
        <v>44306</v>
      </c>
      <c r="AA882" s="80" t="str">
        <f t="shared" ca="1" si="147"/>
        <v>CLK1</v>
      </c>
      <c r="AB882" s="74">
        <f t="shared" si="149"/>
        <v>44286</v>
      </c>
      <c r="AC882" s="80" t="str">
        <f t="shared" si="148"/>
        <v>LCOK1</v>
      </c>
      <c r="AD882" s="80" t="str">
        <f t="shared" si="150"/>
        <v>CLK1</v>
      </c>
      <c r="AE882" s="80" t="str">
        <f t="shared" si="151"/>
        <v>LCOM1</v>
      </c>
      <c r="AF882" s="80" t="str">
        <f t="shared" si="152"/>
        <v>CLM1</v>
      </c>
      <c r="AG882" s="80" t="str">
        <f t="shared" si="153"/>
        <v>LCON1</v>
      </c>
      <c r="AH882" s="80" t="str">
        <f t="shared" si="154"/>
        <v>LCOQ1</v>
      </c>
    </row>
    <row r="883" spans="25:34" x14ac:dyDescent="0.35">
      <c r="Y883" s="74">
        <f t="shared" si="155"/>
        <v>44286</v>
      </c>
      <c r="Z883" s="74">
        <f t="shared" ca="1" si="146"/>
        <v>44306</v>
      </c>
      <c r="AA883" s="80" t="str">
        <f t="shared" ca="1" si="147"/>
        <v>CLK1</v>
      </c>
      <c r="AB883" s="74">
        <f t="shared" si="149"/>
        <v>44286</v>
      </c>
      <c r="AC883" s="80" t="str">
        <f t="shared" si="148"/>
        <v>LCOK1</v>
      </c>
      <c r="AD883" s="80" t="str">
        <f t="shared" si="150"/>
        <v>CLK1</v>
      </c>
      <c r="AE883" s="80" t="str">
        <f t="shared" si="151"/>
        <v>LCOM1</v>
      </c>
      <c r="AF883" s="80" t="str">
        <f t="shared" si="152"/>
        <v>CLM1</v>
      </c>
      <c r="AG883" s="80" t="str">
        <f t="shared" si="153"/>
        <v>LCON1</v>
      </c>
      <c r="AH883" s="80" t="str">
        <f t="shared" si="154"/>
        <v>LCOQ1</v>
      </c>
    </row>
    <row r="884" spans="25:34" x14ac:dyDescent="0.35">
      <c r="Y884" s="74">
        <f t="shared" si="155"/>
        <v>44287</v>
      </c>
      <c r="Z884" s="74">
        <f t="shared" ca="1" si="146"/>
        <v>44306</v>
      </c>
      <c r="AA884" s="80" t="str">
        <f t="shared" ca="1" si="147"/>
        <v>CLK1</v>
      </c>
      <c r="AB884" s="74">
        <f t="shared" si="149"/>
        <v>44316</v>
      </c>
      <c r="AC884" s="80" t="str">
        <f t="shared" si="148"/>
        <v>LCOM1</v>
      </c>
      <c r="AD884" s="80" t="str">
        <f t="shared" si="150"/>
        <v>CLM1</v>
      </c>
      <c r="AE884" s="80" t="str">
        <f t="shared" si="151"/>
        <v>LCON1</v>
      </c>
      <c r="AF884" s="80" t="str">
        <f t="shared" si="152"/>
        <v>CLN1</v>
      </c>
      <c r="AG884" s="80" t="str">
        <f t="shared" si="153"/>
        <v>LCOQ1</v>
      </c>
      <c r="AH884" s="80" t="str">
        <f t="shared" si="154"/>
        <v>LCOU1</v>
      </c>
    </row>
    <row r="885" spans="25:34" x14ac:dyDescent="0.35">
      <c r="Y885" s="74">
        <f t="shared" si="155"/>
        <v>44288</v>
      </c>
      <c r="Z885" s="74">
        <f t="shared" ca="1" si="146"/>
        <v>44306</v>
      </c>
      <c r="AA885" s="80" t="str">
        <f t="shared" ca="1" si="147"/>
        <v>CLK1</v>
      </c>
      <c r="AB885" s="74">
        <f t="shared" si="149"/>
        <v>44316</v>
      </c>
      <c r="AC885" s="80" t="str">
        <f t="shared" si="148"/>
        <v>LCOM1</v>
      </c>
      <c r="AD885" s="80" t="str">
        <f t="shared" si="150"/>
        <v>CLM1</v>
      </c>
      <c r="AE885" s="80" t="str">
        <f t="shared" si="151"/>
        <v>LCON1</v>
      </c>
      <c r="AF885" s="80" t="str">
        <f t="shared" si="152"/>
        <v>CLN1</v>
      </c>
      <c r="AG885" s="80" t="str">
        <f t="shared" si="153"/>
        <v>LCOQ1</v>
      </c>
      <c r="AH885" s="80" t="str">
        <f t="shared" si="154"/>
        <v>LCOU1</v>
      </c>
    </row>
    <row r="886" spans="25:34" x14ac:dyDescent="0.35">
      <c r="Y886" s="74">
        <f t="shared" si="155"/>
        <v>44289</v>
      </c>
      <c r="Z886" s="74">
        <f t="shared" ca="1" si="146"/>
        <v>44306</v>
      </c>
      <c r="AA886" s="80" t="str">
        <f t="shared" ca="1" si="147"/>
        <v>CLK1</v>
      </c>
      <c r="AB886" s="74">
        <f t="shared" si="149"/>
        <v>44316</v>
      </c>
      <c r="AC886" s="80" t="str">
        <f t="shared" si="148"/>
        <v>LCOM1</v>
      </c>
      <c r="AD886" s="80" t="str">
        <f t="shared" si="150"/>
        <v>CLM1</v>
      </c>
      <c r="AE886" s="80" t="str">
        <f t="shared" si="151"/>
        <v>LCON1</v>
      </c>
      <c r="AF886" s="80" t="str">
        <f t="shared" si="152"/>
        <v>CLN1</v>
      </c>
      <c r="AG886" s="80" t="str">
        <f t="shared" si="153"/>
        <v>LCOQ1</v>
      </c>
      <c r="AH886" s="80" t="str">
        <f t="shared" si="154"/>
        <v>LCOU1</v>
      </c>
    </row>
    <row r="887" spans="25:34" x14ac:dyDescent="0.35">
      <c r="Y887" s="74">
        <f t="shared" si="155"/>
        <v>44290</v>
      </c>
      <c r="Z887" s="74">
        <f t="shared" ca="1" si="146"/>
        <v>44306</v>
      </c>
      <c r="AA887" s="80" t="str">
        <f t="shared" ca="1" si="147"/>
        <v>CLK1</v>
      </c>
      <c r="AB887" s="74">
        <f t="shared" si="149"/>
        <v>44316</v>
      </c>
      <c r="AC887" s="80" t="str">
        <f t="shared" si="148"/>
        <v>LCOM1</v>
      </c>
      <c r="AD887" s="80" t="str">
        <f t="shared" si="150"/>
        <v>CLM1</v>
      </c>
      <c r="AE887" s="80" t="str">
        <f t="shared" si="151"/>
        <v>LCON1</v>
      </c>
      <c r="AF887" s="80" t="str">
        <f t="shared" si="152"/>
        <v>CLN1</v>
      </c>
      <c r="AG887" s="80" t="str">
        <f t="shared" si="153"/>
        <v>LCOQ1</v>
      </c>
      <c r="AH887" s="80" t="str">
        <f t="shared" si="154"/>
        <v>LCOU1</v>
      </c>
    </row>
    <row r="888" spans="25:34" x14ac:dyDescent="0.35">
      <c r="Y888" s="74">
        <f t="shared" si="155"/>
        <v>44291</v>
      </c>
      <c r="Z888" s="74">
        <f t="shared" ca="1" si="146"/>
        <v>44306</v>
      </c>
      <c r="AA888" s="80" t="str">
        <f t="shared" ca="1" si="147"/>
        <v>CLK1</v>
      </c>
      <c r="AB888" s="74">
        <f t="shared" si="149"/>
        <v>44316</v>
      </c>
      <c r="AC888" s="80" t="str">
        <f t="shared" si="148"/>
        <v>LCOM1</v>
      </c>
      <c r="AD888" s="80" t="str">
        <f t="shared" si="150"/>
        <v>CLM1</v>
      </c>
      <c r="AE888" s="80" t="str">
        <f t="shared" si="151"/>
        <v>LCON1</v>
      </c>
      <c r="AF888" s="80" t="str">
        <f t="shared" si="152"/>
        <v>CLN1</v>
      </c>
      <c r="AG888" s="80" t="str">
        <f t="shared" si="153"/>
        <v>LCOQ1</v>
      </c>
      <c r="AH888" s="80" t="str">
        <f t="shared" si="154"/>
        <v>LCOU1</v>
      </c>
    </row>
    <row r="889" spans="25:34" x14ac:dyDescent="0.35">
      <c r="Y889" s="74">
        <f t="shared" si="155"/>
        <v>44292</v>
      </c>
      <c r="Z889" s="74">
        <f t="shared" ca="1" si="146"/>
        <v>44306</v>
      </c>
      <c r="AA889" s="80" t="str">
        <f t="shared" ca="1" si="147"/>
        <v>CLK1</v>
      </c>
      <c r="AB889" s="74">
        <f t="shared" si="149"/>
        <v>44316</v>
      </c>
      <c r="AC889" s="80" t="str">
        <f t="shared" si="148"/>
        <v>LCOM1</v>
      </c>
      <c r="AD889" s="80" t="str">
        <f t="shared" si="150"/>
        <v>CLM1</v>
      </c>
      <c r="AE889" s="80" t="str">
        <f t="shared" si="151"/>
        <v>LCON1</v>
      </c>
      <c r="AF889" s="80" t="str">
        <f t="shared" si="152"/>
        <v>CLN1</v>
      </c>
      <c r="AG889" s="80" t="str">
        <f t="shared" si="153"/>
        <v>LCOQ1</v>
      </c>
      <c r="AH889" s="80" t="str">
        <f t="shared" si="154"/>
        <v>LCOU1</v>
      </c>
    </row>
    <row r="890" spans="25:34" x14ac:dyDescent="0.35">
      <c r="Y890" s="74">
        <f t="shared" si="155"/>
        <v>44293</v>
      </c>
      <c r="Z890" s="74">
        <f t="shared" ca="1" si="146"/>
        <v>44306</v>
      </c>
      <c r="AA890" s="80" t="str">
        <f t="shared" ca="1" si="147"/>
        <v>CLK1</v>
      </c>
      <c r="AB890" s="74">
        <f t="shared" si="149"/>
        <v>44316</v>
      </c>
      <c r="AC890" s="80" t="str">
        <f t="shared" si="148"/>
        <v>LCOM1</v>
      </c>
      <c r="AD890" s="80" t="str">
        <f t="shared" si="150"/>
        <v>CLM1</v>
      </c>
      <c r="AE890" s="80" t="str">
        <f t="shared" si="151"/>
        <v>LCON1</v>
      </c>
      <c r="AF890" s="80" t="str">
        <f t="shared" si="152"/>
        <v>CLN1</v>
      </c>
      <c r="AG890" s="80" t="str">
        <f t="shared" si="153"/>
        <v>LCOQ1</v>
      </c>
      <c r="AH890" s="80" t="str">
        <f t="shared" si="154"/>
        <v>LCOU1</v>
      </c>
    </row>
    <row r="891" spans="25:34" x14ac:dyDescent="0.35">
      <c r="Y891" s="74">
        <f t="shared" si="155"/>
        <v>44294</v>
      </c>
      <c r="Z891" s="74">
        <f t="shared" ca="1" si="146"/>
        <v>44306</v>
      </c>
      <c r="AA891" s="80" t="str">
        <f t="shared" ca="1" si="147"/>
        <v>CLK1</v>
      </c>
      <c r="AB891" s="74">
        <f t="shared" si="149"/>
        <v>44316</v>
      </c>
      <c r="AC891" s="80" t="str">
        <f t="shared" si="148"/>
        <v>LCOM1</v>
      </c>
      <c r="AD891" s="80" t="str">
        <f t="shared" si="150"/>
        <v>CLM1</v>
      </c>
      <c r="AE891" s="80" t="str">
        <f t="shared" si="151"/>
        <v>LCON1</v>
      </c>
      <c r="AF891" s="80" t="str">
        <f t="shared" si="152"/>
        <v>CLN1</v>
      </c>
      <c r="AG891" s="80" t="str">
        <f t="shared" si="153"/>
        <v>LCOQ1</v>
      </c>
      <c r="AH891" s="80" t="str">
        <f t="shared" si="154"/>
        <v>LCOU1</v>
      </c>
    </row>
    <row r="892" spans="25:34" x14ac:dyDescent="0.35">
      <c r="Y892" s="74">
        <f t="shared" si="155"/>
        <v>44295</v>
      </c>
      <c r="Z892" s="74">
        <f t="shared" ca="1" si="146"/>
        <v>44306</v>
      </c>
      <c r="AA892" s="80" t="str">
        <f t="shared" ca="1" si="147"/>
        <v>CLK1</v>
      </c>
      <c r="AB892" s="74">
        <f t="shared" si="149"/>
        <v>44316</v>
      </c>
      <c r="AC892" s="80" t="str">
        <f t="shared" si="148"/>
        <v>LCOM1</v>
      </c>
      <c r="AD892" s="80" t="str">
        <f t="shared" si="150"/>
        <v>CLM1</v>
      </c>
      <c r="AE892" s="80" t="str">
        <f t="shared" si="151"/>
        <v>LCON1</v>
      </c>
      <c r="AF892" s="80" t="str">
        <f t="shared" si="152"/>
        <v>CLN1</v>
      </c>
      <c r="AG892" s="80" t="str">
        <f t="shared" si="153"/>
        <v>LCOQ1</v>
      </c>
      <c r="AH892" s="80" t="str">
        <f t="shared" si="154"/>
        <v>LCOU1</v>
      </c>
    </row>
    <row r="893" spans="25:34" x14ac:dyDescent="0.35">
      <c r="Y893" s="74">
        <f t="shared" si="155"/>
        <v>44296</v>
      </c>
      <c r="Z893" s="74">
        <f t="shared" ca="1" si="146"/>
        <v>44306</v>
      </c>
      <c r="AA893" s="80" t="str">
        <f t="shared" ca="1" si="147"/>
        <v>CLK1</v>
      </c>
      <c r="AB893" s="74">
        <f t="shared" si="149"/>
        <v>44316</v>
      </c>
      <c r="AC893" s="80" t="str">
        <f t="shared" si="148"/>
        <v>LCOM1</v>
      </c>
      <c r="AD893" s="80" t="str">
        <f t="shared" si="150"/>
        <v>CLM1</v>
      </c>
      <c r="AE893" s="80" t="str">
        <f t="shared" si="151"/>
        <v>LCON1</v>
      </c>
      <c r="AF893" s="80" t="str">
        <f t="shared" si="152"/>
        <v>CLN1</v>
      </c>
      <c r="AG893" s="80" t="str">
        <f t="shared" si="153"/>
        <v>LCOQ1</v>
      </c>
      <c r="AH893" s="80" t="str">
        <f t="shared" si="154"/>
        <v>LCOU1</v>
      </c>
    </row>
    <row r="894" spans="25:34" x14ac:dyDescent="0.35">
      <c r="Y894" s="74">
        <f t="shared" si="155"/>
        <v>44297</v>
      </c>
      <c r="Z894" s="74">
        <f t="shared" ca="1" si="146"/>
        <v>44306</v>
      </c>
      <c r="AA894" s="80" t="str">
        <f t="shared" ca="1" si="147"/>
        <v>CLK1</v>
      </c>
      <c r="AB894" s="74">
        <f t="shared" si="149"/>
        <v>44316</v>
      </c>
      <c r="AC894" s="80" t="str">
        <f t="shared" si="148"/>
        <v>LCOM1</v>
      </c>
      <c r="AD894" s="80" t="str">
        <f t="shared" si="150"/>
        <v>CLM1</v>
      </c>
      <c r="AE894" s="80" t="str">
        <f t="shared" si="151"/>
        <v>LCON1</v>
      </c>
      <c r="AF894" s="80" t="str">
        <f t="shared" si="152"/>
        <v>CLN1</v>
      </c>
      <c r="AG894" s="80" t="str">
        <f t="shared" si="153"/>
        <v>LCOQ1</v>
      </c>
      <c r="AH894" s="80" t="str">
        <f t="shared" si="154"/>
        <v>LCOU1</v>
      </c>
    </row>
    <row r="895" spans="25:34" x14ac:dyDescent="0.35">
      <c r="Y895" s="74">
        <f t="shared" si="155"/>
        <v>44298</v>
      </c>
      <c r="Z895" s="74">
        <f t="shared" ca="1" si="146"/>
        <v>44306</v>
      </c>
      <c r="AA895" s="80" t="str">
        <f t="shared" ca="1" si="147"/>
        <v>CLK1</v>
      </c>
      <c r="AB895" s="74">
        <f t="shared" si="149"/>
        <v>44316</v>
      </c>
      <c r="AC895" s="80" t="str">
        <f t="shared" si="148"/>
        <v>LCOM1</v>
      </c>
      <c r="AD895" s="80" t="str">
        <f t="shared" si="150"/>
        <v>CLM1</v>
      </c>
      <c r="AE895" s="80" t="str">
        <f t="shared" si="151"/>
        <v>LCON1</v>
      </c>
      <c r="AF895" s="80" t="str">
        <f t="shared" si="152"/>
        <v>CLN1</v>
      </c>
      <c r="AG895" s="80" t="str">
        <f t="shared" si="153"/>
        <v>LCOQ1</v>
      </c>
      <c r="AH895" s="80" t="str">
        <f t="shared" si="154"/>
        <v>LCOU1</v>
      </c>
    </row>
    <row r="896" spans="25:34" x14ac:dyDescent="0.35">
      <c r="Y896" s="74">
        <f t="shared" si="155"/>
        <v>44299</v>
      </c>
      <c r="Z896" s="74">
        <f t="shared" ca="1" si="146"/>
        <v>44306</v>
      </c>
      <c r="AA896" s="80" t="str">
        <f t="shared" ca="1" si="147"/>
        <v>CLK1</v>
      </c>
      <c r="AB896" s="74">
        <f t="shared" si="149"/>
        <v>44316</v>
      </c>
      <c r="AC896" s="80" t="str">
        <f t="shared" si="148"/>
        <v>LCOM1</v>
      </c>
      <c r="AD896" s="80" t="str">
        <f t="shared" si="150"/>
        <v>CLM1</v>
      </c>
      <c r="AE896" s="80" t="str">
        <f t="shared" si="151"/>
        <v>LCON1</v>
      </c>
      <c r="AF896" s="80" t="str">
        <f t="shared" si="152"/>
        <v>CLN1</v>
      </c>
      <c r="AG896" s="80" t="str">
        <f t="shared" si="153"/>
        <v>LCOQ1</v>
      </c>
      <c r="AH896" s="80" t="str">
        <f t="shared" si="154"/>
        <v>LCOU1</v>
      </c>
    </row>
    <row r="897" spans="25:34" x14ac:dyDescent="0.35">
      <c r="Y897" s="74">
        <f t="shared" si="155"/>
        <v>44300</v>
      </c>
      <c r="Z897" s="74">
        <f t="shared" ca="1" si="146"/>
        <v>44306</v>
      </c>
      <c r="AA897" s="80" t="str">
        <f t="shared" ca="1" si="147"/>
        <v>CLK1</v>
      </c>
      <c r="AB897" s="74">
        <f t="shared" si="149"/>
        <v>44316</v>
      </c>
      <c r="AC897" s="80" t="str">
        <f t="shared" si="148"/>
        <v>LCOM1</v>
      </c>
      <c r="AD897" s="80" t="str">
        <f t="shared" si="150"/>
        <v>CLM1</v>
      </c>
      <c r="AE897" s="80" t="str">
        <f t="shared" si="151"/>
        <v>LCON1</v>
      </c>
      <c r="AF897" s="80" t="str">
        <f t="shared" si="152"/>
        <v>CLN1</v>
      </c>
      <c r="AG897" s="80" t="str">
        <f t="shared" si="153"/>
        <v>LCOQ1</v>
      </c>
      <c r="AH897" s="80" t="str">
        <f t="shared" si="154"/>
        <v>LCOU1</v>
      </c>
    </row>
    <row r="898" spans="25:34" x14ac:dyDescent="0.35">
      <c r="Y898" s="74">
        <f t="shared" si="155"/>
        <v>44301</v>
      </c>
      <c r="Z898" s="74">
        <f t="shared" ref="Z898:Z961" ca="1" si="156">VLOOKUP(AA898,$I$2:$K$39,3,FALSE)</f>
        <v>44306</v>
      </c>
      <c r="AA898" s="80" t="str">
        <f t="shared" ref="AA898:AA961" ca="1" si="157">LOOKUP(2,1/($J$2:$J$700&lt;=$Y898)/($K$2:$K$700&gt;=$Y898),$L$2:$L$700)</f>
        <v>CLK1</v>
      </c>
      <c r="AB898" s="74">
        <f t="shared" si="149"/>
        <v>44316</v>
      </c>
      <c r="AC898" s="80" t="str">
        <f t="shared" ref="AC898:AC961" si="158">LOOKUP(2,1/($R$2:$R$700&lt;=$Y898)/($S$2:$S$700&gt;=$Y898),$T$2:$T$700)</f>
        <v>LCOM1</v>
      </c>
      <c r="AD898" s="80" t="str">
        <f t="shared" si="150"/>
        <v>CLM1</v>
      </c>
      <c r="AE898" s="80" t="str">
        <f t="shared" si="151"/>
        <v>LCON1</v>
      </c>
      <c r="AF898" s="80" t="str">
        <f t="shared" si="152"/>
        <v>CLN1</v>
      </c>
      <c r="AG898" s="80" t="str">
        <f t="shared" si="153"/>
        <v>LCOQ1</v>
      </c>
      <c r="AH898" s="80" t="str">
        <f t="shared" si="154"/>
        <v>LCOU1</v>
      </c>
    </row>
    <row r="899" spans="25:34" x14ac:dyDescent="0.35">
      <c r="Y899" s="74">
        <f t="shared" si="155"/>
        <v>44302</v>
      </c>
      <c r="Z899" s="74">
        <f t="shared" ca="1" si="156"/>
        <v>44306</v>
      </c>
      <c r="AA899" s="80" t="str">
        <f t="shared" ca="1" si="157"/>
        <v>CLK1</v>
      </c>
      <c r="AB899" s="74">
        <f t="shared" ref="AB899:AB962" si="159">VLOOKUP(AC899,$Q$2:$S$39,3,FALSE)</f>
        <v>44316</v>
      </c>
      <c r="AC899" s="80" t="str">
        <f t="shared" si="158"/>
        <v>LCOM1</v>
      </c>
      <c r="AD899" s="80" t="str">
        <f t="shared" ref="AD899:AD962" si="160">CONCATENATE("CL",RIGHT(AC899,2))</f>
        <v>CLM1</v>
      </c>
      <c r="AE899" s="80" t="str">
        <f t="shared" ref="AE899:AE962" si="161">LOOKUP(2,1/($R$2:$R$700&lt;=$Y899)/($S$2:$S$700&gt;=$Y899),$U$2:$U$700)</f>
        <v>LCON1</v>
      </c>
      <c r="AF899" s="80" t="str">
        <f t="shared" ref="AF899:AF962" si="162">CONCATENATE("CL",RIGHT(AE899,2))</f>
        <v>CLN1</v>
      </c>
      <c r="AG899" s="80" t="str">
        <f t="shared" ref="AG899:AG962" si="163">LOOKUP(2,1/($R$2:$R$700&lt;=$Y899)/($S$2:$S$700&gt;=$Y899),$V$2:$V$700)</f>
        <v>LCOQ1</v>
      </c>
      <c r="AH899" s="80" t="str">
        <f t="shared" ref="AH899:AH962" si="164">LOOKUP(2,1/($R$2:$R$700&lt;=$Y899)/($S$2:$S$700&gt;=$Y899),$W$2:$W$700)</f>
        <v>LCOU1</v>
      </c>
    </row>
    <row r="900" spans="25:34" x14ac:dyDescent="0.35">
      <c r="Y900" s="74">
        <f t="shared" si="155"/>
        <v>44303</v>
      </c>
      <c r="Z900" s="74">
        <f t="shared" ca="1" si="156"/>
        <v>44306</v>
      </c>
      <c r="AA900" s="80" t="str">
        <f t="shared" ca="1" si="157"/>
        <v>CLK1</v>
      </c>
      <c r="AB900" s="74">
        <f t="shared" si="159"/>
        <v>44316</v>
      </c>
      <c r="AC900" s="80" t="str">
        <f t="shared" si="158"/>
        <v>LCOM1</v>
      </c>
      <c r="AD900" s="80" t="str">
        <f t="shared" si="160"/>
        <v>CLM1</v>
      </c>
      <c r="AE900" s="80" t="str">
        <f t="shared" si="161"/>
        <v>LCON1</v>
      </c>
      <c r="AF900" s="80" t="str">
        <f t="shared" si="162"/>
        <v>CLN1</v>
      </c>
      <c r="AG900" s="80" t="str">
        <f t="shared" si="163"/>
        <v>LCOQ1</v>
      </c>
      <c r="AH900" s="80" t="str">
        <f t="shared" si="164"/>
        <v>LCOU1</v>
      </c>
    </row>
    <row r="901" spans="25:34" x14ac:dyDescent="0.35">
      <c r="Y901" s="74">
        <f t="shared" si="155"/>
        <v>44304</v>
      </c>
      <c r="Z901" s="74">
        <f t="shared" ca="1" si="156"/>
        <v>44306</v>
      </c>
      <c r="AA901" s="80" t="str">
        <f t="shared" ca="1" si="157"/>
        <v>CLK1</v>
      </c>
      <c r="AB901" s="74">
        <f t="shared" si="159"/>
        <v>44316</v>
      </c>
      <c r="AC901" s="80" t="str">
        <f t="shared" si="158"/>
        <v>LCOM1</v>
      </c>
      <c r="AD901" s="80" t="str">
        <f t="shared" si="160"/>
        <v>CLM1</v>
      </c>
      <c r="AE901" s="80" t="str">
        <f t="shared" si="161"/>
        <v>LCON1</v>
      </c>
      <c r="AF901" s="80" t="str">
        <f t="shared" si="162"/>
        <v>CLN1</v>
      </c>
      <c r="AG901" s="80" t="str">
        <f t="shared" si="163"/>
        <v>LCOQ1</v>
      </c>
      <c r="AH901" s="80" t="str">
        <f t="shared" si="164"/>
        <v>LCOU1</v>
      </c>
    </row>
    <row r="902" spans="25:34" x14ac:dyDescent="0.35">
      <c r="Y902" s="74">
        <f t="shared" si="155"/>
        <v>44305</v>
      </c>
      <c r="Z902" s="74">
        <f t="shared" ca="1" si="156"/>
        <v>44306</v>
      </c>
      <c r="AA902" s="80" t="str">
        <f t="shared" ca="1" si="157"/>
        <v>CLK1</v>
      </c>
      <c r="AB902" s="74">
        <f t="shared" si="159"/>
        <v>44316</v>
      </c>
      <c r="AC902" s="80" t="str">
        <f t="shared" si="158"/>
        <v>LCOM1</v>
      </c>
      <c r="AD902" s="80" t="str">
        <f t="shared" si="160"/>
        <v>CLM1</v>
      </c>
      <c r="AE902" s="80" t="str">
        <f t="shared" si="161"/>
        <v>LCON1</v>
      </c>
      <c r="AF902" s="80" t="str">
        <f t="shared" si="162"/>
        <v>CLN1</v>
      </c>
      <c r="AG902" s="80" t="str">
        <f t="shared" si="163"/>
        <v>LCOQ1</v>
      </c>
      <c r="AH902" s="80" t="str">
        <f t="shared" si="164"/>
        <v>LCOU1</v>
      </c>
    </row>
    <row r="903" spans="25:34" x14ac:dyDescent="0.35">
      <c r="Y903" s="74">
        <f t="shared" si="155"/>
        <v>44306</v>
      </c>
      <c r="Z903" s="74">
        <f t="shared" ca="1" si="156"/>
        <v>44306</v>
      </c>
      <c r="AA903" s="80" t="str">
        <f t="shared" ca="1" si="157"/>
        <v>CLK1</v>
      </c>
      <c r="AB903" s="74">
        <f t="shared" si="159"/>
        <v>44316</v>
      </c>
      <c r="AC903" s="80" t="str">
        <f t="shared" si="158"/>
        <v>LCOM1</v>
      </c>
      <c r="AD903" s="80" t="str">
        <f t="shared" si="160"/>
        <v>CLM1</v>
      </c>
      <c r="AE903" s="80" t="str">
        <f t="shared" si="161"/>
        <v>LCON1</v>
      </c>
      <c r="AF903" s="80" t="str">
        <f t="shared" si="162"/>
        <v>CLN1</v>
      </c>
      <c r="AG903" s="80" t="str">
        <f t="shared" si="163"/>
        <v>LCOQ1</v>
      </c>
      <c r="AH903" s="80" t="str">
        <f t="shared" si="164"/>
        <v>LCOU1</v>
      </c>
    </row>
    <row r="904" spans="25:34" x14ac:dyDescent="0.35">
      <c r="Y904" s="74">
        <f t="shared" si="155"/>
        <v>44307</v>
      </c>
      <c r="Z904" s="74">
        <f t="shared" ca="1" si="156"/>
        <v>44336</v>
      </c>
      <c r="AA904" s="80" t="str">
        <f t="shared" ca="1" si="157"/>
        <v>CLM1</v>
      </c>
      <c r="AB904" s="74">
        <f t="shared" si="159"/>
        <v>44316</v>
      </c>
      <c r="AC904" s="80" t="str">
        <f t="shared" si="158"/>
        <v>LCOM1</v>
      </c>
      <c r="AD904" s="80" t="str">
        <f t="shared" si="160"/>
        <v>CLM1</v>
      </c>
      <c r="AE904" s="80" t="str">
        <f t="shared" si="161"/>
        <v>LCON1</v>
      </c>
      <c r="AF904" s="80" t="str">
        <f t="shared" si="162"/>
        <v>CLN1</v>
      </c>
      <c r="AG904" s="80" t="str">
        <f t="shared" si="163"/>
        <v>LCOQ1</v>
      </c>
      <c r="AH904" s="80" t="str">
        <f t="shared" si="164"/>
        <v>LCOU1</v>
      </c>
    </row>
    <row r="905" spans="25:34" x14ac:dyDescent="0.35">
      <c r="Y905" s="74">
        <f t="shared" si="155"/>
        <v>44308</v>
      </c>
      <c r="Z905" s="74">
        <f t="shared" ca="1" si="156"/>
        <v>44336</v>
      </c>
      <c r="AA905" s="80" t="str">
        <f t="shared" ca="1" si="157"/>
        <v>CLM1</v>
      </c>
      <c r="AB905" s="74">
        <f t="shared" si="159"/>
        <v>44316</v>
      </c>
      <c r="AC905" s="80" t="str">
        <f t="shared" si="158"/>
        <v>LCOM1</v>
      </c>
      <c r="AD905" s="80" t="str">
        <f t="shared" si="160"/>
        <v>CLM1</v>
      </c>
      <c r="AE905" s="80" t="str">
        <f t="shared" si="161"/>
        <v>LCON1</v>
      </c>
      <c r="AF905" s="80" t="str">
        <f t="shared" si="162"/>
        <v>CLN1</v>
      </c>
      <c r="AG905" s="80" t="str">
        <f t="shared" si="163"/>
        <v>LCOQ1</v>
      </c>
      <c r="AH905" s="80" t="str">
        <f t="shared" si="164"/>
        <v>LCOU1</v>
      </c>
    </row>
    <row r="906" spans="25:34" x14ac:dyDescent="0.35">
      <c r="Y906" s="74">
        <f t="shared" si="155"/>
        <v>44309</v>
      </c>
      <c r="Z906" s="74">
        <f t="shared" ca="1" si="156"/>
        <v>44336</v>
      </c>
      <c r="AA906" s="80" t="str">
        <f t="shared" ca="1" si="157"/>
        <v>CLM1</v>
      </c>
      <c r="AB906" s="74">
        <f t="shared" si="159"/>
        <v>44316</v>
      </c>
      <c r="AC906" s="80" t="str">
        <f t="shared" si="158"/>
        <v>LCOM1</v>
      </c>
      <c r="AD906" s="80" t="str">
        <f t="shared" si="160"/>
        <v>CLM1</v>
      </c>
      <c r="AE906" s="80" t="str">
        <f t="shared" si="161"/>
        <v>LCON1</v>
      </c>
      <c r="AF906" s="80" t="str">
        <f t="shared" si="162"/>
        <v>CLN1</v>
      </c>
      <c r="AG906" s="80" t="str">
        <f t="shared" si="163"/>
        <v>LCOQ1</v>
      </c>
      <c r="AH906" s="80" t="str">
        <f t="shared" si="164"/>
        <v>LCOU1</v>
      </c>
    </row>
    <row r="907" spans="25:34" x14ac:dyDescent="0.35">
      <c r="Y907" s="74">
        <f t="shared" si="155"/>
        <v>44310</v>
      </c>
      <c r="Z907" s="74">
        <f t="shared" ca="1" si="156"/>
        <v>44336</v>
      </c>
      <c r="AA907" s="80" t="str">
        <f t="shared" ca="1" si="157"/>
        <v>CLM1</v>
      </c>
      <c r="AB907" s="74">
        <f t="shared" si="159"/>
        <v>44316</v>
      </c>
      <c r="AC907" s="80" t="str">
        <f t="shared" si="158"/>
        <v>LCOM1</v>
      </c>
      <c r="AD907" s="80" t="str">
        <f t="shared" si="160"/>
        <v>CLM1</v>
      </c>
      <c r="AE907" s="80" t="str">
        <f t="shared" si="161"/>
        <v>LCON1</v>
      </c>
      <c r="AF907" s="80" t="str">
        <f t="shared" si="162"/>
        <v>CLN1</v>
      </c>
      <c r="AG907" s="80" t="str">
        <f t="shared" si="163"/>
        <v>LCOQ1</v>
      </c>
      <c r="AH907" s="80" t="str">
        <f t="shared" si="164"/>
        <v>LCOU1</v>
      </c>
    </row>
    <row r="908" spans="25:34" x14ac:dyDescent="0.35">
      <c r="Y908" s="74">
        <f t="shared" si="155"/>
        <v>44311</v>
      </c>
      <c r="Z908" s="74">
        <f t="shared" ca="1" si="156"/>
        <v>44336</v>
      </c>
      <c r="AA908" s="80" t="str">
        <f t="shared" ca="1" si="157"/>
        <v>CLM1</v>
      </c>
      <c r="AB908" s="74">
        <f t="shared" si="159"/>
        <v>44316</v>
      </c>
      <c r="AC908" s="80" t="str">
        <f t="shared" si="158"/>
        <v>LCOM1</v>
      </c>
      <c r="AD908" s="80" t="str">
        <f t="shared" si="160"/>
        <v>CLM1</v>
      </c>
      <c r="AE908" s="80" t="str">
        <f t="shared" si="161"/>
        <v>LCON1</v>
      </c>
      <c r="AF908" s="80" t="str">
        <f t="shared" si="162"/>
        <v>CLN1</v>
      </c>
      <c r="AG908" s="80" t="str">
        <f t="shared" si="163"/>
        <v>LCOQ1</v>
      </c>
      <c r="AH908" s="80" t="str">
        <f t="shared" si="164"/>
        <v>LCOU1</v>
      </c>
    </row>
    <row r="909" spans="25:34" x14ac:dyDescent="0.35">
      <c r="Y909" s="74">
        <f t="shared" si="155"/>
        <v>44312</v>
      </c>
      <c r="Z909" s="74">
        <f t="shared" ca="1" si="156"/>
        <v>44336</v>
      </c>
      <c r="AA909" s="80" t="str">
        <f t="shared" ca="1" si="157"/>
        <v>CLM1</v>
      </c>
      <c r="AB909" s="74">
        <f t="shared" si="159"/>
        <v>44316</v>
      </c>
      <c r="AC909" s="80" t="str">
        <f t="shared" si="158"/>
        <v>LCOM1</v>
      </c>
      <c r="AD909" s="80" t="str">
        <f t="shared" si="160"/>
        <v>CLM1</v>
      </c>
      <c r="AE909" s="80" t="str">
        <f t="shared" si="161"/>
        <v>LCON1</v>
      </c>
      <c r="AF909" s="80" t="str">
        <f t="shared" si="162"/>
        <v>CLN1</v>
      </c>
      <c r="AG909" s="80" t="str">
        <f t="shared" si="163"/>
        <v>LCOQ1</v>
      </c>
      <c r="AH909" s="80" t="str">
        <f t="shared" si="164"/>
        <v>LCOU1</v>
      </c>
    </row>
    <row r="910" spans="25:34" x14ac:dyDescent="0.35">
      <c r="Y910" s="74">
        <f t="shared" si="155"/>
        <v>44313</v>
      </c>
      <c r="Z910" s="74">
        <f t="shared" ca="1" si="156"/>
        <v>44336</v>
      </c>
      <c r="AA910" s="80" t="str">
        <f t="shared" ca="1" si="157"/>
        <v>CLM1</v>
      </c>
      <c r="AB910" s="74">
        <f t="shared" si="159"/>
        <v>44316</v>
      </c>
      <c r="AC910" s="80" t="str">
        <f t="shared" si="158"/>
        <v>LCOM1</v>
      </c>
      <c r="AD910" s="80" t="str">
        <f t="shared" si="160"/>
        <v>CLM1</v>
      </c>
      <c r="AE910" s="80" t="str">
        <f t="shared" si="161"/>
        <v>LCON1</v>
      </c>
      <c r="AF910" s="80" t="str">
        <f t="shared" si="162"/>
        <v>CLN1</v>
      </c>
      <c r="AG910" s="80" t="str">
        <f t="shared" si="163"/>
        <v>LCOQ1</v>
      </c>
      <c r="AH910" s="80" t="str">
        <f t="shared" si="164"/>
        <v>LCOU1</v>
      </c>
    </row>
    <row r="911" spans="25:34" x14ac:dyDescent="0.35">
      <c r="Y911" s="74">
        <f t="shared" si="155"/>
        <v>44314</v>
      </c>
      <c r="Z911" s="74">
        <f t="shared" ca="1" si="156"/>
        <v>44336</v>
      </c>
      <c r="AA911" s="80" t="str">
        <f t="shared" ca="1" si="157"/>
        <v>CLM1</v>
      </c>
      <c r="AB911" s="74">
        <f t="shared" si="159"/>
        <v>44316</v>
      </c>
      <c r="AC911" s="80" t="str">
        <f t="shared" si="158"/>
        <v>LCOM1</v>
      </c>
      <c r="AD911" s="80" t="str">
        <f t="shared" si="160"/>
        <v>CLM1</v>
      </c>
      <c r="AE911" s="80" t="str">
        <f t="shared" si="161"/>
        <v>LCON1</v>
      </c>
      <c r="AF911" s="80" t="str">
        <f t="shared" si="162"/>
        <v>CLN1</v>
      </c>
      <c r="AG911" s="80" t="str">
        <f t="shared" si="163"/>
        <v>LCOQ1</v>
      </c>
      <c r="AH911" s="80" t="str">
        <f t="shared" si="164"/>
        <v>LCOU1</v>
      </c>
    </row>
    <row r="912" spans="25:34" x14ac:dyDescent="0.35">
      <c r="Y912" s="74">
        <f t="shared" si="155"/>
        <v>44315</v>
      </c>
      <c r="Z912" s="74">
        <f t="shared" ca="1" si="156"/>
        <v>44336</v>
      </c>
      <c r="AA912" s="80" t="str">
        <f t="shared" ca="1" si="157"/>
        <v>CLM1</v>
      </c>
      <c r="AB912" s="74">
        <f t="shared" si="159"/>
        <v>44316</v>
      </c>
      <c r="AC912" s="80" t="str">
        <f t="shared" si="158"/>
        <v>LCOM1</v>
      </c>
      <c r="AD912" s="80" t="str">
        <f t="shared" si="160"/>
        <v>CLM1</v>
      </c>
      <c r="AE912" s="80" t="str">
        <f t="shared" si="161"/>
        <v>LCON1</v>
      </c>
      <c r="AF912" s="80" t="str">
        <f t="shared" si="162"/>
        <v>CLN1</v>
      </c>
      <c r="AG912" s="80" t="str">
        <f t="shared" si="163"/>
        <v>LCOQ1</v>
      </c>
      <c r="AH912" s="80" t="str">
        <f t="shared" si="164"/>
        <v>LCOU1</v>
      </c>
    </row>
    <row r="913" spans="25:34" x14ac:dyDescent="0.35">
      <c r="Y913" s="74">
        <f t="shared" si="155"/>
        <v>44316</v>
      </c>
      <c r="Z913" s="74">
        <f t="shared" ca="1" si="156"/>
        <v>44336</v>
      </c>
      <c r="AA913" s="80" t="str">
        <f t="shared" ca="1" si="157"/>
        <v>CLM1</v>
      </c>
      <c r="AB913" s="74">
        <f t="shared" si="159"/>
        <v>44316</v>
      </c>
      <c r="AC913" s="80" t="str">
        <f t="shared" si="158"/>
        <v>LCOM1</v>
      </c>
      <c r="AD913" s="80" t="str">
        <f t="shared" si="160"/>
        <v>CLM1</v>
      </c>
      <c r="AE913" s="80" t="str">
        <f t="shared" si="161"/>
        <v>LCON1</v>
      </c>
      <c r="AF913" s="80" t="str">
        <f t="shared" si="162"/>
        <v>CLN1</v>
      </c>
      <c r="AG913" s="80" t="str">
        <f t="shared" si="163"/>
        <v>LCOQ1</v>
      </c>
      <c r="AH913" s="80" t="str">
        <f t="shared" si="164"/>
        <v>LCOU1</v>
      </c>
    </row>
    <row r="914" spans="25:34" x14ac:dyDescent="0.35">
      <c r="Y914" s="74">
        <f t="shared" si="155"/>
        <v>44317</v>
      </c>
      <c r="Z914" s="74">
        <f t="shared" ca="1" si="156"/>
        <v>44336</v>
      </c>
      <c r="AA914" s="80" t="str">
        <f t="shared" ca="1" si="157"/>
        <v>CLM1</v>
      </c>
      <c r="AB914" s="74">
        <f t="shared" si="159"/>
        <v>44344</v>
      </c>
      <c r="AC914" s="80" t="str">
        <f t="shared" si="158"/>
        <v>LCON1</v>
      </c>
      <c r="AD914" s="80" t="str">
        <f t="shared" si="160"/>
        <v>CLN1</v>
      </c>
      <c r="AE914" s="80" t="str">
        <f t="shared" si="161"/>
        <v>LCOQ1</v>
      </c>
      <c r="AF914" s="80" t="str">
        <f t="shared" si="162"/>
        <v>CLQ1</v>
      </c>
      <c r="AG914" s="80" t="str">
        <f t="shared" si="163"/>
        <v>LCOU1</v>
      </c>
      <c r="AH914" s="80" t="str">
        <f t="shared" si="164"/>
        <v>LCOV1</v>
      </c>
    </row>
    <row r="915" spans="25:34" x14ac:dyDescent="0.35">
      <c r="Y915" s="74">
        <f t="shared" si="155"/>
        <v>44318</v>
      </c>
      <c r="Z915" s="74">
        <f t="shared" ca="1" si="156"/>
        <v>44336</v>
      </c>
      <c r="AA915" s="80" t="str">
        <f t="shared" ca="1" si="157"/>
        <v>CLM1</v>
      </c>
      <c r="AB915" s="74">
        <f t="shared" si="159"/>
        <v>44344</v>
      </c>
      <c r="AC915" s="80" t="str">
        <f t="shared" si="158"/>
        <v>LCON1</v>
      </c>
      <c r="AD915" s="80" t="str">
        <f t="shared" si="160"/>
        <v>CLN1</v>
      </c>
      <c r="AE915" s="80" t="str">
        <f t="shared" si="161"/>
        <v>LCOQ1</v>
      </c>
      <c r="AF915" s="80" t="str">
        <f t="shared" si="162"/>
        <v>CLQ1</v>
      </c>
      <c r="AG915" s="80" t="str">
        <f t="shared" si="163"/>
        <v>LCOU1</v>
      </c>
      <c r="AH915" s="80" t="str">
        <f t="shared" si="164"/>
        <v>LCOV1</v>
      </c>
    </row>
    <row r="916" spans="25:34" x14ac:dyDescent="0.35">
      <c r="Y916" s="74">
        <f t="shared" si="155"/>
        <v>44319</v>
      </c>
      <c r="Z916" s="74">
        <f t="shared" ca="1" si="156"/>
        <v>44336</v>
      </c>
      <c r="AA916" s="80" t="str">
        <f t="shared" ca="1" si="157"/>
        <v>CLM1</v>
      </c>
      <c r="AB916" s="74">
        <f t="shared" si="159"/>
        <v>44344</v>
      </c>
      <c r="AC916" s="80" t="str">
        <f t="shared" si="158"/>
        <v>LCON1</v>
      </c>
      <c r="AD916" s="80" t="str">
        <f t="shared" si="160"/>
        <v>CLN1</v>
      </c>
      <c r="AE916" s="80" t="str">
        <f t="shared" si="161"/>
        <v>LCOQ1</v>
      </c>
      <c r="AF916" s="80" t="str">
        <f t="shared" si="162"/>
        <v>CLQ1</v>
      </c>
      <c r="AG916" s="80" t="str">
        <f t="shared" si="163"/>
        <v>LCOU1</v>
      </c>
      <c r="AH916" s="80" t="str">
        <f t="shared" si="164"/>
        <v>LCOV1</v>
      </c>
    </row>
    <row r="917" spans="25:34" x14ac:dyDescent="0.35">
      <c r="Y917" s="74">
        <f t="shared" si="155"/>
        <v>44320</v>
      </c>
      <c r="Z917" s="74">
        <f t="shared" ca="1" si="156"/>
        <v>44336</v>
      </c>
      <c r="AA917" s="80" t="str">
        <f t="shared" ca="1" si="157"/>
        <v>CLM1</v>
      </c>
      <c r="AB917" s="74">
        <f t="shared" si="159"/>
        <v>44344</v>
      </c>
      <c r="AC917" s="80" t="str">
        <f t="shared" si="158"/>
        <v>LCON1</v>
      </c>
      <c r="AD917" s="80" t="str">
        <f t="shared" si="160"/>
        <v>CLN1</v>
      </c>
      <c r="AE917" s="80" t="str">
        <f t="shared" si="161"/>
        <v>LCOQ1</v>
      </c>
      <c r="AF917" s="80" t="str">
        <f t="shared" si="162"/>
        <v>CLQ1</v>
      </c>
      <c r="AG917" s="80" t="str">
        <f t="shared" si="163"/>
        <v>LCOU1</v>
      </c>
      <c r="AH917" s="80" t="str">
        <f t="shared" si="164"/>
        <v>LCOV1</v>
      </c>
    </row>
    <row r="918" spans="25:34" x14ac:dyDescent="0.35">
      <c r="Y918" s="74">
        <f t="shared" si="155"/>
        <v>44321</v>
      </c>
      <c r="Z918" s="74">
        <f t="shared" ca="1" si="156"/>
        <v>44336</v>
      </c>
      <c r="AA918" s="80" t="str">
        <f t="shared" ca="1" si="157"/>
        <v>CLM1</v>
      </c>
      <c r="AB918" s="74">
        <f t="shared" si="159"/>
        <v>44344</v>
      </c>
      <c r="AC918" s="80" t="str">
        <f t="shared" si="158"/>
        <v>LCON1</v>
      </c>
      <c r="AD918" s="80" t="str">
        <f t="shared" si="160"/>
        <v>CLN1</v>
      </c>
      <c r="AE918" s="80" t="str">
        <f t="shared" si="161"/>
        <v>LCOQ1</v>
      </c>
      <c r="AF918" s="80" t="str">
        <f t="shared" si="162"/>
        <v>CLQ1</v>
      </c>
      <c r="AG918" s="80" t="str">
        <f t="shared" si="163"/>
        <v>LCOU1</v>
      </c>
      <c r="AH918" s="80" t="str">
        <f t="shared" si="164"/>
        <v>LCOV1</v>
      </c>
    </row>
    <row r="919" spans="25:34" x14ac:dyDescent="0.35">
      <c r="Y919" s="74">
        <f t="shared" si="155"/>
        <v>44322</v>
      </c>
      <c r="Z919" s="74">
        <f t="shared" ca="1" si="156"/>
        <v>44336</v>
      </c>
      <c r="AA919" s="80" t="str">
        <f t="shared" ca="1" si="157"/>
        <v>CLM1</v>
      </c>
      <c r="AB919" s="74">
        <f t="shared" si="159"/>
        <v>44344</v>
      </c>
      <c r="AC919" s="80" t="str">
        <f t="shared" si="158"/>
        <v>LCON1</v>
      </c>
      <c r="AD919" s="80" t="str">
        <f t="shared" si="160"/>
        <v>CLN1</v>
      </c>
      <c r="AE919" s="80" t="str">
        <f t="shared" si="161"/>
        <v>LCOQ1</v>
      </c>
      <c r="AF919" s="80" t="str">
        <f t="shared" si="162"/>
        <v>CLQ1</v>
      </c>
      <c r="AG919" s="80" t="str">
        <f t="shared" si="163"/>
        <v>LCOU1</v>
      </c>
      <c r="AH919" s="80" t="str">
        <f t="shared" si="164"/>
        <v>LCOV1</v>
      </c>
    </row>
    <row r="920" spans="25:34" x14ac:dyDescent="0.35">
      <c r="Y920" s="74">
        <f t="shared" si="155"/>
        <v>44323</v>
      </c>
      <c r="Z920" s="74">
        <f t="shared" ca="1" si="156"/>
        <v>44336</v>
      </c>
      <c r="AA920" s="80" t="str">
        <f t="shared" ca="1" si="157"/>
        <v>CLM1</v>
      </c>
      <c r="AB920" s="74">
        <f t="shared" si="159"/>
        <v>44344</v>
      </c>
      <c r="AC920" s="80" t="str">
        <f t="shared" si="158"/>
        <v>LCON1</v>
      </c>
      <c r="AD920" s="80" t="str">
        <f t="shared" si="160"/>
        <v>CLN1</v>
      </c>
      <c r="AE920" s="80" t="str">
        <f t="shared" si="161"/>
        <v>LCOQ1</v>
      </c>
      <c r="AF920" s="80" t="str">
        <f t="shared" si="162"/>
        <v>CLQ1</v>
      </c>
      <c r="AG920" s="80" t="str">
        <f t="shared" si="163"/>
        <v>LCOU1</v>
      </c>
      <c r="AH920" s="80" t="str">
        <f t="shared" si="164"/>
        <v>LCOV1</v>
      </c>
    </row>
    <row r="921" spans="25:34" x14ac:dyDescent="0.35">
      <c r="Y921" s="74">
        <f t="shared" si="155"/>
        <v>44324</v>
      </c>
      <c r="Z921" s="74">
        <f t="shared" ca="1" si="156"/>
        <v>44336</v>
      </c>
      <c r="AA921" s="80" t="str">
        <f t="shared" ca="1" si="157"/>
        <v>CLM1</v>
      </c>
      <c r="AB921" s="74">
        <f t="shared" si="159"/>
        <v>44344</v>
      </c>
      <c r="AC921" s="80" t="str">
        <f t="shared" si="158"/>
        <v>LCON1</v>
      </c>
      <c r="AD921" s="80" t="str">
        <f t="shared" si="160"/>
        <v>CLN1</v>
      </c>
      <c r="AE921" s="80" t="str">
        <f t="shared" si="161"/>
        <v>LCOQ1</v>
      </c>
      <c r="AF921" s="80" t="str">
        <f t="shared" si="162"/>
        <v>CLQ1</v>
      </c>
      <c r="AG921" s="80" t="str">
        <f t="shared" si="163"/>
        <v>LCOU1</v>
      </c>
      <c r="AH921" s="80" t="str">
        <f t="shared" si="164"/>
        <v>LCOV1</v>
      </c>
    </row>
    <row r="922" spans="25:34" x14ac:dyDescent="0.35">
      <c r="Y922" s="74">
        <f t="shared" si="155"/>
        <v>44325</v>
      </c>
      <c r="Z922" s="74">
        <f t="shared" ca="1" si="156"/>
        <v>44336</v>
      </c>
      <c r="AA922" s="80" t="str">
        <f t="shared" ca="1" si="157"/>
        <v>CLM1</v>
      </c>
      <c r="AB922" s="74">
        <f t="shared" si="159"/>
        <v>44344</v>
      </c>
      <c r="AC922" s="80" t="str">
        <f t="shared" si="158"/>
        <v>LCON1</v>
      </c>
      <c r="AD922" s="80" t="str">
        <f t="shared" si="160"/>
        <v>CLN1</v>
      </c>
      <c r="AE922" s="80" t="str">
        <f t="shared" si="161"/>
        <v>LCOQ1</v>
      </c>
      <c r="AF922" s="80" t="str">
        <f t="shared" si="162"/>
        <v>CLQ1</v>
      </c>
      <c r="AG922" s="80" t="str">
        <f t="shared" si="163"/>
        <v>LCOU1</v>
      </c>
      <c r="AH922" s="80" t="str">
        <f t="shared" si="164"/>
        <v>LCOV1</v>
      </c>
    </row>
    <row r="923" spans="25:34" x14ac:dyDescent="0.35">
      <c r="Y923" s="74">
        <f t="shared" si="155"/>
        <v>44326</v>
      </c>
      <c r="Z923" s="74">
        <f t="shared" ca="1" si="156"/>
        <v>44336</v>
      </c>
      <c r="AA923" s="80" t="str">
        <f t="shared" ca="1" si="157"/>
        <v>CLM1</v>
      </c>
      <c r="AB923" s="74">
        <f t="shared" si="159"/>
        <v>44344</v>
      </c>
      <c r="AC923" s="80" t="str">
        <f t="shared" si="158"/>
        <v>LCON1</v>
      </c>
      <c r="AD923" s="80" t="str">
        <f t="shared" si="160"/>
        <v>CLN1</v>
      </c>
      <c r="AE923" s="80" t="str">
        <f t="shared" si="161"/>
        <v>LCOQ1</v>
      </c>
      <c r="AF923" s="80" t="str">
        <f t="shared" si="162"/>
        <v>CLQ1</v>
      </c>
      <c r="AG923" s="80" t="str">
        <f t="shared" si="163"/>
        <v>LCOU1</v>
      </c>
      <c r="AH923" s="80" t="str">
        <f t="shared" si="164"/>
        <v>LCOV1</v>
      </c>
    </row>
    <row r="924" spans="25:34" x14ac:dyDescent="0.35">
      <c r="Y924" s="74">
        <f t="shared" si="155"/>
        <v>44327</v>
      </c>
      <c r="Z924" s="74">
        <f t="shared" ca="1" si="156"/>
        <v>44336</v>
      </c>
      <c r="AA924" s="80" t="str">
        <f t="shared" ca="1" si="157"/>
        <v>CLM1</v>
      </c>
      <c r="AB924" s="74">
        <f t="shared" si="159"/>
        <v>44344</v>
      </c>
      <c r="AC924" s="80" t="str">
        <f t="shared" si="158"/>
        <v>LCON1</v>
      </c>
      <c r="AD924" s="80" t="str">
        <f t="shared" si="160"/>
        <v>CLN1</v>
      </c>
      <c r="AE924" s="80" t="str">
        <f t="shared" si="161"/>
        <v>LCOQ1</v>
      </c>
      <c r="AF924" s="80" t="str">
        <f t="shared" si="162"/>
        <v>CLQ1</v>
      </c>
      <c r="AG924" s="80" t="str">
        <f t="shared" si="163"/>
        <v>LCOU1</v>
      </c>
      <c r="AH924" s="80" t="str">
        <f t="shared" si="164"/>
        <v>LCOV1</v>
      </c>
    </row>
    <row r="925" spans="25:34" x14ac:dyDescent="0.35">
      <c r="Y925" s="74">
        <f t="shared" si="155"/>
        <v>44328</v>
      </c>
      <c r="Z925" s="74">
        <f t="shared" ca="1" si="156"/>
        <v>44336</v>
      </c>
      <c r="AA925" s="80" t="str">
        <f t="shared" ca="1" si="157"/>
        <v>CLM1</v>
      </c>
      <c r="AB925" s="74">
        <f t="shared" si="159"/>
        <v>44344</v>
      </c>
      <c r="AC925" s="80" t="str">
        <f t="shared" si="158"/>
        <v>LCON1</v>
      </c>
      <c r="AD925" s="80" t="str">
        <f t="shared" si="160"/>
        <v>CLN1</v>
      </c>
      <c r="AE925" s="80" t="str">
        <f t="shared" si="161"/>
        <v>LCOQ1</v>
      </c>
      <c r="AF925" s="80" t="str">
        <f t="shared" si="162"/>
        <v>CLQ1</v>
      </c>
      <c r="AG925" s="80" t="str">
        <f t="shared" si="163"/>
        <v>LCOU1</v>
      </c>
      <c r="AH925" s="80" t="str">
        <f t="shared" si="164"/>
        <v>LCOV1</v>
      </c>
    </row>
    <row r="926" spans="25:34" x14ac:dyDescent="0.35">
      <c r="Y926" s="74">
        <f t="shared" si="155"/>
        <v>44329</v>
      </c>
      <c r="Z926" s="74">
        <f t="shared" ca="1" si="156"/>
        <v>44336</v>
      </c>
      <c r="AA926" s="80" t="str">
        <f t="shared" ca="1" si="157"/>
        <v>CLM1</v>
      </c>
      <c r="AB926" s="74">
        <f t="shared" si="159"/>
        <v>44344</v>
      </c>
      <c r="AC926" s="80" t="str">
        <f t="shared" si="158"/>
        <v>LCON1</v>
      </c>
      <c r="AD926" s="80" t="str">
        <f t="shared" si="160"/>
        <v>CLN1</v>
      </c>
      <c r="AE926" s="80" t="str">
        <f t="shared" si="161"/>
        <v>LCOQ1</v>
      </c>
      <c r="AF926" s="80" t="str">
        <f t="shared" si="162"/>
        <v>CLQ1</v>
      </c>
      <c r="AG926" s="80" t="str">
        <f t="shared" si="163"/>
        <v>LCOU1</v>
      </c>
      <c r="AH926" s="80" t="str">
        <f t="shared" si="164"/>
        <v>LCOV1</v>
      </c>
    </row>
    <row r="927" spans="25:34" x14ac:dyDescent="0.35">
      <c r="Y927" s="74">
        <f t="shared" si="155"/>
        <v>44330</v>
      </c>
      <c r="Z927" s="74">
        <f t="shared" ca="1" si="156"/>
        <v>44336</v>
      </c>
      <c r="AA927" s="80" t="str">
        <f t="shared" ca="1" si="157"/>
        <v>CLM1</v>
      </c>
      <c r="AB927" s="74">
        <f t="shared" si="159"/>
        <v>44344</v>
      </c>
      <c r="AC927" s="80" t="str">
        <f t="shared" si="158"/>
        <v>LCON1</v>
      </c>
      <c r="AD927" s="80" t="str">
        <f t="shared" si="160"/>
        <v>CLN1</v>
      </c>
      <c r="AE927" s="80" t="str">
        <f t="shared" si="161"/>
        <v>LCOQ1</v>
      </c>
      <c r="AF927" s="80" t="str">
        <f t="shared" si="162"/>
        <v>CLQ1</v>
      </c>
      <c r="AG927" s="80" t="str">
        <f t="shared" si="163"/>
        <v>LCOU1</v>
      </c>
      <c r="AH927" s="80" t="str">
        <f t="shared" si="164"/>
        <v>LCOV1</v>
      </c>
    </row>
    <row r="928" spans="25:34" x14ac:dyDescent="0.35">
      <c r="Y928" s="74">
        <f t="shared" si="155"/>
        <v>44331</v>
      </c>
      <c r="Z928" s="74">
        <f t="shared" ca="1" si="156"/>
        <v>44336</v>
      </c>
      <c r="AA928" s="80" t="str">
        <f t="shared" ca="1" si="157"/>
        <v>CLM1</v>
      </c>
      <c r="AB928" s="74">
        <f t="shared" si="159"/>
        <v>44344</v>
      </c>
      <c r="AC928" s="80" t="str">
        <f t="shared" si="158"/>
        <v>LCON1</v>
      </c>
      <c r="AD928" s="80" t="str">
        <f t="shared" si="160"/>
        <v>CLN1</v>
      </c>
      <c r="AE928" s="80" t="str">
        <f t="shared" si="161"/>
        <v>LCOQ1</v>
      </c>
      <c r="AF928" s="80" t="str">
        <f t="shared" si="162"/>
        <v>CLQ1</v>
      </c>
      <c r="AG928" s="80" t="str">
        <f t="shared" si="163"/>
        <v>LCOU1</v>
      </c>
      <c r="AH928" s="80" t="str">
        <f t="shared" si="164"/>
        <v>LCOV1</v>
      </c>
    </row>
    <row r="929" spans="25:34" x14ac:dyDescent="0.35">
      <c r="Y929" s="74">
        <f t="shared" ref="Y929:Y992" si="165">Y928+1</f>
        <v>44332</v>
      </c>
      <c r="Z929" s="74">
        <f t="shared" ca="1" si="156"/>
        <v>44336</v>
      </c>
      <c r="AA929" s="80" t="str">
        <f t="shared" ca="1" si="157"/>
        <v>CLM1</v>
      </c>
      <c r="AB929" s="74">
        <f t="shared" si="159"/>
        <v>44344</v>
      </c>
      <c r="AC929" s="80" t="str">
        <f t="shared" si="158"/>
        <v>LCON1</v>
      </c>
      <c r="AD929" s="80" t="str">
        <f t="shared" si="160"/>
        <v>CLN1</v>
      </c>
      <c r="AE929" s="80" t="str">
        <f t="shared" si="161"/>
        <v>LCOQ1</v>
      </c>
      <c r="AF929" s="80" t="str">
        <f t="shared" si="162"/>
        <v>CLQ1</v>
      </c>
      <c r="AG929" s="80" t="str">
        <f t="shared" si="163"/>
        <v>LCOU1</v>
      </c>
      <c r="AH929" s="80" t="str">
        <f t="shared" si="164"/>
        <v>LCOV1</v>
      </c>
    </row>
    <row r="930" spans="25:34" x14ac:dyDescent="0.35">
      <c r="Y930" s="74">
        <f t="shared" si="165"/>
        <v>44333</v>
      </c>
      <c r="Z930" s="74">
        <f t="shared" ca="1" si="156"/>
        <v>44336</v>
      </c>
      <c r="AA930" s="80" t="str">
        <f t="shared" ca="1" si="157"/>
        <v>CLM1</v>
      </c>
      <c r="AB930" s="74">
        <f t="shared" si="159"/>
        <v>44344</v>
      </c>
      <c r="AC930" s="80" t="str">
        <f t="shared" si="158"/>
        <v>LCON1</v>
      </c>
      <c r="AD930" s="80" t="str">
        <f t="shared" si="160"/>
        <v>CLN1</v>
      </c>
      <c r="AE930" s="80" t="str">
        <f t="shared" si="161"/>
        <v>LCOQ1</v>
      </c>
      <c r="AF930" s="80" t="str">
        <f t="shared" si="162"/>
        <v>CLQ1</v>
      </c>
      <c r="AG930" s="80" t="str">
        <f t="shared" si="163"/>
        <v>LCOU1</v>
      </c>
      <c r="AH930" s="80" t="str">
        <f t="shared" si="164"/>
        <v>LCOV1</v>
      </c>
    </row>
    <row r="931" spans="25:34" x14ac:dyDescent="0.35">
      <c r="Y931" s="74">
        <f t="shared" si="165"/>
        <v>44334</v>
      </c>
      <c r="Z931" s="74">
        <f t="shared" ca="1" si="156"/>
        <v>44336</v>
      </c>
      <c r="AA931" s="80" t="str">
        <f t="shared" ca="1" si="157"/>
        <v>CLM1</v>
      </c>
      <c r="AB931" s="74">
        <f t="shared" si="159"/>
        <v>44344</v>
      </c>
      <c r="AC931" s="80" t="str">
        <f t="shared" si="158"/>
        <v>LCON1</v>
      </c>
      <c r="AD931" s="80" t="str">
        <f t="shared" si="160"/>
        <v>CLN1</v>
      </c>
      <c r="AE931" s="80" t="str">
        <f t="shared" si="161"/>
        <v>LCOQ1</v>
      </c>
      <c r="AF931" s="80" t="str">
        <f t="shared" si="162"/>
        <v>CLQ1</v>
      </c>
      <c r="AG931" s="80" t="str">
        <f t="shared" si="163"/>
        <v>LCOU1</v>
      </c>
      <c r="AH931" s="80" t="str">
        <f t="shared" si="164"/>
        <v>LCOV1</v>
      </c>
    </row>
    <row r="932" spans="25:34" x14ac:dyDescent="0.35">
      <c r="Y932" s="74">
        <f t="shared" si="165"/>
        <v>44335</v>
      </c>
      <c r="Z932" s="74">
        <f t="shared" ca="1" si="156"/>
        <v>44336</v>
      </c>
      <c r="AA932" s="80" t="str">
        <f t="shared" ca="1" si="157"/>
        <v>CLM1</v>
      </c>
      <c r="AB932" s="74">
        <f t="shared" si="159"/>
        <v>44344</v>
      </c>
      <c r="AC932" s="80" t="str">
        <f t="shared" si="158"/>
        <v>LCON1</v>
      </c>
      <c r="AD932" s="80" t="str">
        <f t="shared" si="160"/>
        <v>CLN1</v>
      </c>
      <c r="AE932" s="80" t="str">
        <f t="shared" si="161"/>
        <v>LCOQ1</v>
      </c>
      <c r="AF932" s="80" t="str">
        <f t="shared" si="162"/>
        <v>CLQ1</v>
      </c>
      <c r="AG932" s="80" t="str">
        <f t="shared" si="163"/>
        <v>LCOU1</v>
      </c>
      <c r="AH932" s="80" t="str">
        <f t="shared" si="164"/>
        <v>LCOV1</v>
      </c>
    </row>
    <row r="933" spans="25:34" x14ac:dyDescent="0.35">
      <c r="Y933" s="74">
        <f t="shared" si="165"/>
        <v>44336</v>
      </c>
      <c r="Z933" s="74">
        <f t="shared" ca="1" si="156"/>
        <v>44336</v>
      </c>
      <c r="AA933" s="80" t="str">
        <f t="shared" ca="1" si="157"/>
        <v>CLM1</v>
      </c>
      <c r="AB933" s="74">
        <f t="shared" si="159"/>
        <v>44344</v>
      </c>
      <c r="AC933" s="80" t="str">
        <f t="shared" si="158"/>
        <v>LCON1</v>
      </c>
      <c r="AD933" s="80" t="str">
        <f t="shared" si="160"/>
        <v>CLN1</v>
      </c>
      <c r="AE933" s="80" t="str">
        <f t="shared" si="161"/>
        <v>LCOQ1</v>
      </c>
      <c r="AF933" s="80" t="str">
        <f t="shared" si="162"/>
        <v>CLQ1</v>
      </c>
      <c r="AG933" s="80" t="str">
        <f t="shared" si="163"/>
        <v>LCOU1</v>
      </c>
      <c r="AH933" s="80" t="str">
        <f t="shared" si="164"/>
        <v>LCOV1</v>
      </c>
    </row>
    <row r="934" spans="25:34" x14ac:dyDescent="0.35">
      <c r="Y934" s="74">
        <f t="shared" si="165"/>
        <v>44337</v>
      </c>
      <c r="Z934" s="74">
        <f t="shared" ca="1" si="156"/>
        <v>44369</v>
      </c>
      <c r="AA934" s="80" t="str">
        <f t="shared" ca="1" si="157"/>
        <v>CLN1</v>
      </c>
      <c r="AB934" s="74">
        <f t="shared" si="159"/>
        <v>44344</v>
      </c>
      <c r="AC934" s="80" t="str">
        <f t="shared" si="158"/>
        <v>LCON1</v>
      </c>
      <c r="AD934" s="80" t="str">
        <f t="shared" si="160"/>
        <v>CLN1</v>
      </c>
      <c r="AE934" s="80" t="str">
        <f t="shared" si="161"/>
        <v>LCOQ1</v>
      </c>
      <c r="AF934" s="80" t="str">
        <f t="shared" si="162"/>
        <v>CLQ1</v>
      </c>
      <c r="AG934" s="80" t="str">
        <f t="shared" si="163"/>
        <v>LCOU1</v>
      </c>
      <c r="AH934" s="80" t="str">
        <f t="shared" si="164"/>
        <v>LCOV1</v>
      </c>
    </row>
    <row r="935" spans="25:34" x14ac:dyDescent="0.35">
      <c r="Y935" s="74">
        <f t="shared" si="165"/>
        <v>44338</v>
      </c>
      <c r="Z935" s="74">
        <f t="shared" ca="1" si="156"/>
        <v>44369</v>
      </c>
      <c r="AA935" s="80" t="str">
        <f t="shared" ca="1" si="157"/>
        <v>CLN1</v>
      </c>
      <c r="AB935" s="74">
        <f t="shared" si="159"/>
        <v>44344</v>
      </c>
      <c r="AC935" s="80" t="str">
        <f t="shared" si="158"/>
        <v>LCON1</v>
      </c>
      <c r="AD935" s="80" t="str">
        <f t="shared" si="160"/>
        <v>CLN1</v>
      </c>
      <c r="AE935" s="80" t="str">
        <f t="shared" si="161"/>
        <v>LCOQ1</v>
      </c>
      <c r="AF935" s="80" t="str">
        <f t="shared" si="162"/>
        <v>CLQ1</v>
      </c>
      <c r="AG935" s="80" t="str">
        <f t="shared" si="163"/>
        <v>LCOU1</v>
      </c>
      <c r="AH935" s="80" t="str">
        <f t="shared" si="164"/>
        <v>LCOV1</v>
      </c>
    </row>
    <row r="936" spans="25:34" x14ac:dyDescent="0.35">
      <c r="Y936" s="74">
        <f t="shared" si="165"/>
        <v>44339</v>
      </c>
      <c r="Z936" s="74">
        <f t="shared" ca="1" si="156"/>
        <v>44369</v>
      </c>
      <c r="AA936" s="80" t="str">
        <f t="shared" ca="1" si="157"/>
        <v>CLN1</v>
      </c>
      <c r="AB936" s="74">
        <f t="shared" si="159"/>
        <v>44344</v>
      </c>
      <c r="AC936" s="80" t="str">
        <f t="shared" si="158"/>
        <v>LCON1</v>
      </c>
      <c r="AD936" s="80" t="str">
        <f t="shared" si="160"/>
        <v>CLN1</v>
      </c>
      <c r="AE936" s="80" t="str">
        <f t="shared" si="161"/>
        <v>LCOQ1</v>
      </c>
      <c r="AF936" s="80" t="str">
        <f t="shared" si="162"/>
        <v>CLQ1</v>
      </c>
      <c r="AG936" s="80" t="str">
        <f t="shared" si="163"/>
        <v>LCOU1</v>
      </c>
      <c r="AH936" s="80" t="str">
        <f t="shared" si="164"/>
        <v>LCOV1</v>
      </c>
    </row>
    <row r="937" spans="25:34" x14ac:dyDescent="0.35">
      <c r="Y937" s="74">
        <f t="shared" si="165"/>
        <v>44340</v>
      </c>
      <c r="Z937" s="74">
        <f t="shared" ca="1" si="156"/>
        <v>44369</v>
      </c>
      <c r="AA937" s="80" t="str">
        <f t="shared" ca="1" si="157"/>
        <v>CLN1</v>
      </c>
      <c r="AB937" s="74">
        <f t="shared" si="159"/>
        <v>44344</v>
      </c>
      <c r="AC937" s="80" t="str">
        <f t="shared" si="158"/>
        <v>LCON1</v>
      </c>
      <c r="AD937" s="80" t="str">
        <f t="shared" si="160"/>
        <v>CLN1</v>
      </c>
      <c r="AE937" s="80" t="str">
        <f t="shared" si="161"/>
        <v>LCOQ1</v>
      </c>
      <c r="AF937" s="80" t="str">
        <f t="shared" si="162"/>
        <v>CLQ1</v>
      </c>
      <c r="AG937" s="80" t="str">
        <f t="shared" si="163"/>
        <v>LCOU1</v>
      </c>
      <c r="AH937" s="80" t="str">
        <f t="shared" si="164"/>
        <v>LCOV1</v>
      </c>
    </row>
    <row r="938" spans="25:34" x14ac:dyDescent="0.35">
      <c r="Y938" s="74">
        <f t="shared" si="165"/>
        <v>44341</v>
      </c>
      <c r="Z938" s="74">
        <f t="shared" ca="1" si="156"/>
        <v>44369</v>
      </c>
      <c r="AA938" s="80" t="str">
        <f t="shared" ca="1" si="157"/>
        <v>CLN1</v>
      </c>
      <c r="AB938" s="74">
        <f t="shared" si="159"/>
        <v>44344</v>
      </c>
      <c r="AC938" s="80" t="str">
        <f t="shared" si="158"/>
        <v>LCON1</v>
      </c>
      <c r="AD938" s="80" t="str">
        <f t="shared" si="160"/>
        <v>CLN1</v>
      </c>
      <c r="AE938" s="80" t="str">
        <f t="shared" si="161"/>
        <v>LCOQ1</v>
      </c>
      <c r="AF938" s="80" t="str">
        <f t="shared" si="162"/>
        <v>CLQ1</v>
      </c>
      <c r="AG938" s="80" t="str">
        <f t="shared" si="163"/>
        <v>LCOU1</v>
      </c>
      <c r="AH938" s="80" t="str">
        <f t="shared" si="164"/>
        <v>LCOV1</v>
      </c>
    </row>
    <row r="939" spans="25:34" x14ac:dyDescent="0.35">
      <c r="Y939" s="74">
        <f t="shared" si="165"/>
        <v>44342</v>
      </c>
      <c r="Z939" s="74">
        <f t="shared" ca="1" si="156"/>
        <v>44369</v>
      </c>
      <c r="AA939" s="80" t="str">
        <f t="shared" ca="1" si="157"/>
        <v>CLN1</v>
      </c>
      <c r="AB939" s="74">
        <f t="shared" si="159"/>
        <v>44344</v>
      </c>
      <c r="AC939" s="80" t="str">
        <f t="shared" si="158"/>
        <v>LCON1</v>
      </c>
      <c r="AD939" s="80" t="str">
        <f t="shared" si="160"/>
        <v>CLN1</v>
      </c>
      <c r="AE939" s="80" t="str">
        <f t="shared" si="161"/>
        <v>LCOQ1</v>
      </c>
      <c r="AF939" s="80" t="str">
        <f t="shared" si="162"/>
        <v>CLQ1</v>
      </c>
      <c r="AG939" s="80" t="str">
        <f t="shared" si="163"/>
        <v>LCOU1</v>
      </c>
      <c r="AH939" s="80" t="str">
        <f t="shared" si="164"/>
        <v>LCOV1</v>
      </c>
    </row>
    <row r="940" spans="25:34" x14ac:dyDescent="0.35">
      <c r="Y940" s="74">
        <f t="shared" si="165"/>
        <v>44343</v>
      </c>
      <c r="Z940" s="74">
        <f t="shared" ca="1" si="156"/>
        <v>44369</v>
      </c>
      <c r="AA940" s="80" t="str">
        <f t="shared" ca="1" si="157"/>
        <v>CLN1</v>
      </c>
      <c r="AB940" s="74">
        <f t="shared" si="159"/>
        <v>44344</v>
      </c>
      <c r="AC940" s="80" t="str">
        <f t="shared" si="158"/>
        <v>LCON1</v>
      </c>
      <c r="AD940" s="80" t="str">
        <f t="shared" si="160"/>
        <v>CLN1</v>
      </c>
      <c r="AE940" s="80" t="str">
        <f t="shared" si="161"/>
        <v>LCOQ1</v>
      </c>
      <c r="AF940" s="80" t="str">
        <f t="shared" si="162"/>
        <v>CLQ1</v>
      </c>
      <c r="AG940" s="80" t="str">
        <f t="shared" si="163"/>
        <v>LCOU1</v>
      </c>
      <c r="AH940" s="80" t="str">
        <f t="shared" si="164"/>
        <v>LCOV1</v>
      </c>
    </row>
    <row r="941" spans="25:34" x14ac:dyDescent="0.35">
      <c r="Y941" s="74">
        <f t="shared" si="165"/>
        <v>44344</v>
      </c>
      <c r="Z941" s="74">
        <f t="shared" ca="1" si="156"/>
        <v>44369</v>
      </c>
      <c r="AA941" s="80" t="str">
        <f t="shared" ca="1" si="157"/>
        <v>CLN1</v>
      </c>
      <c r="AB941" s="74">
        <f t="shared" si="159"/>
        <v>44344</v>
      </c>
      <c r="AC941" s="80" t="str">
        <f t="shared" si="158"/>
        <v>LCON1</v>
      </c>
      <c r="AD941" s="80" t="str">
        <f t="shared" si="160"/>
        <v>CLN1</v>
      </c>
      <c r="AE941" s="80" t="str">
        <f t="shared" si="161"/>
        <v>LCOQ1</v>
      </c>
      <c r="AF941" s="80" t="str">
        <f t="shared" si="162"/>
        <v>CLQ1</v>
      </c>
      <c r="AG941" s="80" t="str">
        <f t="shared" si="163"/>
        <v>LCOU1</v>
      </c>
      <c r="AH941" s="80" t="str">
        <f t="shared" si="164"/>
        <v>LCOV1</v>
      </c>
    </row>
    <row r="942" spans="25:34" x14ac:dyDescent="0.35">
      <c r="Y942" s="74">
        <f t="shared" si="165"/>
        <v>44345</v>
      </c>
      <c r="Z942" s="74">
        <f t="shared" ca="1" si="156"/>
        <v>44369</v>
      </c>
      <c r="AA942" s="80" t="str">
        <f t="shared" ca="1" si="157"/>
        <v>CLN1</v>
      </c>
      <c r="AB942" s="74">
        <f t="shared" si="159"/>
        <v>44377</v>
      </c>
      <c r="AC942" s="80" t="str">
        <f t="shared" si="158"/>
        <v>LCOQ1</v>
      </c>
      <c r="AD942" s="80" t="str">
        <f t="shared" si="160"/>
        <v>CLQ1</v>
      </c>
      <c r="AE942" s="80" t="str">
        <f t="shared" si="161"/>
        <v>LCOU1</v>
      </c>
      <c r="AF942" s="80" t="str">
        <f t="shared" si="162"/>
        <v>CLU1</v>
      </c>
      <c r="AG942" s="80" t="str">
        <f t="shared" si="163"/>
        <v>LCOV1</v>
      </c>
      <c r="AH942" s="80" t="str">
        <f t="shared" si="164"/>
        <v>LCOX1</v>
      </c>
    </row>
    <row r="943" spans="25:34" x14ac:dyDescent="0.35">
      <c r="Y943" s="74">
        <f t="shared" si="165"/>
        <v>44346</v>
      </c>
      <c r="Z943" s="74">
        <f t="shared" ca="1" si="156"/>
        <v>44369</v>
      </c>
      <c r="AA943" s="80" t="str">
        <f t="shared" ca="1" si="157"/>
        <v>CLN1</v>
      </c>
      <c r="AB943" s="74">
        <f t="shared" si="159"/>
        <v>44377</v>
      </c>
      <c r="AC943" s="80" t="str">
        <f t="shared" si="158"/>
        <v>LCOQ1</v>
      </c>
      <c r="AD943" s="80" t="str">
        <f t="shared" si="160"/>
        <v>CLQ1</v>
      </c>
      <c r="AE943" s="80" t="str">
        <f t="shared" si="161"/>
        <v>LCOU1</v>
      </c>
      <c r="AF943" s="80" t="str">
        <f t="shared" si="162"/>
        <v>CLU1</v>
      </c>
      <c r="AG943" s="80" t="str">
        <f t="shared" si="163"/>
        <v>LCOV1</v>
      </c>
      <c r="AH943" s="80" t="str">
        <f t="shared" si="164"/>
        <v>LCOX1</v>
      </c>
    </row>
    <row r="944" spans="25:34" x14ac:dyDescent="0.35">
      <c r="Y944" s="74">
        <f t="shared" si="165"/>
        <v>44347</v>
      </c>
      <c r="Z944" s="74">
        <f t="shared" ca="1" si="156"/>
        <v>44369</v>
      </c>
      <c r="AA944" s="80" t="str">
        <f t="shared" ca="1" si="157"/>
        <v>CLN1</v>
      </c>
      <c r="AB944" s="74">
        <f t="shared" si="159"/>
        <v>44377</v>
      </c>
      <c r="AC944" s="80" t="str">
        <f t="shared" si="158"/>
        <v>LCOQ1</v>
      </c>
      <c r="AD944" s="80" t="str">
        <f t="shared" si="160"/>
        <v>CLQ1</v>
      </c>
      <c r="AE944" s="80" t="str">
        <f t="shared" si="161"/>
        <v>LCOU1</v>
      </c>
      <c r="AF944" s="80" t="str">
        <f t="shared" si="162"/>
        <v>CLU1</v>
      </c>
      <c r="AG944" s="80" t="str">
        <f t="shared" si="163"/>
        <v>LCOV1</v>
      </c>
      <c r="AH944" s="80" t="str">
        <f t="shared" si="164"/>
        <v>LCOX1</v>
      </c>
    </row>
    <row r="945" spans="25:34" x14ac:dyDescent="0.35">
      <c r="Y945" s="74">
        <f t="shared" si="165"/>
        <v>44348</v>
      </c>
      <c r="Z945" s="74">
        <f t="shared" ca="1" si="156"/>
        <v>44369</v>
      </c>
      <c r="AA945" s="80" t="str">
        <f t="shared" ca="1" si="157"/>
        <v>CLN1</v>
      </c>
      <c r="AB945" s="74">
        <f t="shared" si="159"/>
        <v>44377</v>
      </c>
      <c r="AC945" s="80" t="str">
        <f t="shared" si="158"/>
        <v>LCOQ1</v>
      </c>
      <c r="AD945" s="80" t="str">
        <f t="shared" si="160"/>
        <v>CLQ1</v>
      </c>
      <c r="AE945" s="80" t="str">
        <f t="shared" si="161"/>
        <v>LCOU1</v>
      </c>
      <c r="AF945" s="80" t="str">
        <f t="shared" si="162"/>
        <v>CLU1</v>
      </c>
      <c r="AG945" s="80" t="str">
        <f t="shared" si="163"/>
        <v>LCOV1</v>
      </c>
      <c r="AH945" s="80" t="str">
        <f t="shared" si="164"/>
        <v>LCOX1</v>
      </c>
    </row>
    <row r="946" spans="25:34" x14ac:dyDescent="0.35">
      <c r="Y946" s="74">
        <f t="shared" si="165"/>
        <v>44349</v>
      </c>
      <c r="Z946" s="74">
        <f t="shared" ca="1" si="156"/>
        <v>44369</v>
      </c>
      <c r="AA946" s="80" t="str">
        <f t="shared" ca="1" si="157"/>
        <v>CLN1</v>
      </c>
      <c r="AB946" s="74">
        <f t="shared" si="159"/>
        <v>44377</v>
      </c>
      <c r="AC946" s="80" t="str">
        <f t="shared" si="158"/>
        <v>LCOQ1</v>
      </c>
      <c r="AD946" s="80" t="str">
        <f t="shared" si="160"/>
        <v>CLQ1</v>
      </c>
      <c r="AE946" s="80" t="str">
        <f t="shared" si="161"/>
        <v>LCOU1</v>
      </c>
      <c r="AF946" s="80" t="str">
        <f t="shared" si="162"/>
        <v>CLU1</v>
      </c>
      <c r="AG946" s="80" t="str">
        <f t="shared" si="163"/>
        <v>LCOV1</v>
      </c>
      <c r="AH946" s="80" t="str">
        <f t="shared" si="164"/>
        <v>LCOX1</v>
      </c>
    </row>
    <row r="947" spans="25:34" x14ac:dyDescent="0.35">
      <c r="Y947" s="74">
        <f t="shared" si="165"/>
        <v>44350</v>
      </c>
      <c r="Z947" s="74">
        <f t="shared" ca="1" si="156"/>
        <v>44369</v>
      </c>
      <c r="AA947" s="80" t="str">
        <f t="shared" ca="1" si="157"/>
        <v>CLN1</v>
      </c>
      <c r="AB947" s="74">
        <f t="shared" si="159"/>
        <v>44377</v>
      </c>
      <c r="AC947" s="80" t="str">
        <f t="shared" si="158"/>
        <v>LCOQ1</v>
      </c>
      <c r="AD947" s="80" t="str">
        <f t="shared" si="160"/>
        <v>CLQ1</v>
      </c>
      <c r="AE947" s="80" t="str">
        <f t="shared" si="161"/>
        <v>LCOU1</v>
      </c>
      <c r="AF947" s="80" t="str">
        <f t="shared" si="162"/>
        <v>CLU1</v>
      </c>
      <c r="AG947" s="80" t="str">
        <f t="shared" si="163"/>
        <v>LCOV1</v>
      </c>
      <c r="AH947" s="80" t="str">
        <f t="shared" si="164"/>
        <v>LCOX1</v>
      </c>
    </row>
    <row r="948" spans="25:34" x14ac:dyDescent="0.35">
      <c r="Y948" s="74">
        <f t="shared" si="165"/>
        <v>44351</v>
      </c>
      <c r="Z948" s="74">
        <f t="shared" ca="1" si="156"/>
        <v>44369</v>
      </c>
      <c r="AA948" s="80" t="str">
        <f t="shared" ca="1" si="157"/>
        <v>CLN1</v>
      </c>
      <c r="AB948" s="74">
        <f t="shared" si="159"/>
        <v>44377</v>
      </c>
      <c r="AC948" s="80" t="str">
        <f t="shared" si="158"/>
        <v>LCOQ1</v>
      </c>
      <c r="AD948" s="80" t="str">
        <f t="shared" si="160"/>
        <v>CLQ1</v>
      </c>
      <c r="AE948" s="80" t="str">
        <f t="shared" si="161"/>
        <v>LCOU1</v>
      </c>
      <c r="AF948" s="80" t="str">
        <f t="shared" si="162"/>
        <v>CLU1</v>
      </c>
      <c r="AG948" s="80" t="str">
        <f t="shared" si="163"/>
        <v>LCOV1</v>
      </c>
      <c r="AH948" s="80" t="str">
        <f t="shared" si="164"/>
        <v>LCOX1</v>
      </c>
    </row>
    <row r="949" spans="25:34" x14ac:dyDescent="0.35">
      <c r="Y949" s="74">
        <f t="shared" si="165"/>
        <v>44352</v>
      </c>
      <c r="Z949" s="74">
        <f t="shared" ca="1" si="156"/>
        <v>44369</v>
      </c>
      <c r="AA949" s="80" t="str">
        <f t="shared" ca="1" si="157"/>
        <v>CLN1</v>
      </c>
      <c r="AB949" s="74">
        <f t="shared" si="159"/>
        <v>44377</v>
      </c>
      <c r="AC949" s="80" t="str">
        <f t="shared" si="158"/>
        <v>LCOQ1</v>
      </c>
      <c r="AD949" s="80" t="str">
        <f t="shared" si="160"/>
        <v>CLQ1</v>
      </c>
      <c r="AE949" s="80" t="str">
        <f t="shared" si="161"/>
        <v>LCOU1</v>
      </c>
      <c r="AF949" s="80" t="str">
        <f t="shared" si="162"/>
        <v>CLU1</v>
      </c>
      <c r="AG949" s="80" t="str">
        <f t="shared" si="163"/>
        <v>LCOV1</v>
      </c>
      <c r="AH949" s="80" t="str">
        <f t="shared" si="164"/>
        <v>LCOX1</v>
      </c>
    </row>
    <row r="950" spans="25:34" x14ac:dyDescent="0.35">
      <c r="Y950" s="74">
        <f t="shared" si="165"/>
        <v>44353</v>
      </c>
      <c r="Z950" s="74">
        <f t="shared" ca="1" si="156"/>
        <v>44369</v>
      </c>
      <c r="AA950" s="80" t="str">
        <f t="shared" ca="1" si="157"/>
        <v>CLN1</v>
      </c>
      <c r="AB950" s="74">
        <f t="shared" si="159"/>
        <v>44377</v>
      </c>
      <c r="AC950" s="80" t="str">
        <f t="shared" si="158"/>
        <v>LCOQ1</v>
      </c>
      <c r="AD950" s="80" t="str">
        <f t="shared" si="160"/>
        <v>CLQ1</v>
      </c>
      <c r="AE950" s="80" t="str">
        <f t="shared" si="161"/>
        <v>LCOU1</v>
      </c>
      <c r="AF950" s="80" t="str">
        <f t="shared" si="162"/>
        <v>CLU1</v>
      </c>
      <c r="AG950" s="80" t="str">
        <f t="shared" si="163"/>
        <v>LCOV1</v>
      </c>
      <c r="AH950" s="80" t="str">
        <f t="shared" si="164"/>
        <v>LCOX1</v>
      </c>
    </row>
    <row r="951" spans="25:34" x14ac:dyDescent="0.35">
      <c r="Y951" s="74">
        <f t="shared" si="165"/>
        <v>44354</v>
      </c>
      <c r="Z951" s="74">
        <f t="shared" ca="1" si="156"/>
        <v>44369</v>
      </c>
      <c r="AA951" s="80" t="str">
        <f t="shared" ca="1" si="157"/>
        <v>CLN1</v>
      </c>
      <c r="AB951" s="74">
        <f t="shared" si="159"/>
        <v>44377</v>
      </c>
      <c r="AC951" s="80" t="str">
        <f t="shared" si="158"/>
        <v>LCOQ1</v>
      </c>
      <c r="AD951" s="80" t="str">
        <f t="shared" si="160"/>
        <v>CLQ1</v>
      </c>
      <c r="AE951" s="80" t="str">
        <f t="shared" si="161"/>
        <v>LCOU1</v>
      </c>
      <c r="AF951" s="80" t="str">
        <f t="shared" si="162"/>
        <v>CLU1</v>
      </c>
      <c r="AG951" s="80" t="str">
        <f t="shared" si="163"/>
        <v>LCOV1</v>
      </c>
      <c r="AH951" s="80" t="str">
        <f t="shared" si="164"/>
        <v>LCOX1</v>
      </c>
    </row>
    <row r="952" spans="25:34" x14ac:dyDescent="0.35">
      <c r="Y952" s="74">
        <f t="shared" si="165"/>
        <v>44355</v>
      </c>
      <c r="Z952" s="74">
        <f t="shared" ca="1" si="156"/>
        <v>44369</v>
      </c>
      <c r="AA952" s="80" t="str">
        <f t="shared" ca="1" si="157"/>
        <v>CLN1</v>
      </c>
      <c r="AB952" s="74">
        <f t="shared" si="159"/>
        <v>44377</v>
      </c>
      <c r="AC952" s="80" t="str">
        <f t="shared" si="158"/>
        <v>LCOQ1</v>
      </c>
      <c r="AD952" s="80" t="str">
        <f t="shared" si="160"/>
        <v>CLQ1</v>
      </c>
      <c r="AE952" s="80" t="str">
        <f t="shared" si="161"/>
        <v>LCOU1</v>
      </c>
      <c r="AF952" s="80" t="str">
        <f t="shared" si="162"/>
        <v>CLU1</v>
      </c>
      <c r="AG952" s="80" t="str">
        <f t="shared" si="163"/>
        <v>LCOV1</v>
      </c>
      <c r="AH952" s="80" t="str">
        <f t="shared" si="164"/>
        <v>LCOX1</v>
      </c>
    </row>
    <row r="953" spans="25:34" x14ac:dyDescent="0.35">
      <c r="Y953" s="74">
        <f t="shared" si="165"/>
        <v>44356</v>
      </c>
      <c r="Z953" s="74">
        <f t="shared" ca="1" si="156"/>
        <v>44369</v>
      </c>
      <c r="AA953" s="80" t="str">
        <f t="shared" ca="1" si="157"/>
        <v>CLN1</v>
      </c>
      <c r="AB953" s="74">
        <f t="shared" si="159"/>
        <v>44377</v>
      </c>
      <c r="AC953" s="80" t="str">
        <f t="shared" si="158"/>
        <v>LCOQ1</v>
      </c>
      <c r="AD953" s="80" t="str">
        <f t="shared" si="160"/>
        <v>CLQ1</v>
      </c>
      <c r="AE953" s="80" t="str">
        <f t="shared" si="161"/>
        <v>LCOU1</v>
      </c>
      <c r="AF953" s="80" t="str">
        <f t="shared" si="162"/>
        <v>CLU1</v>
      </c>
      <c r="AG953" s="80" t="str">
        <f t="shared" si="163"/>
        <v>LCOV1</v>
      </c>
      <c r="AH953" s="80" t="str">
        <f t="shared" si="164"/>
        <v>LCOX1</v>
      </c>
    </row>
    <row r="954" spans="25:34" x14ac:dyDescent="0.35">
      <c r="Y954" s="74">
        <f t="shared" si="165"/>
        <v>44357</v>
      </c>
      <c r="Z954" s="74">
        <f t="shared" ca="1" si="156"/>
        <v>44369</v>
      </c>
      <c r="AA954" s="80" t="str">
        <f t="shared" ca="1" si="157"/>
        <v>CLN1</v>
      </c>
      <c r="AB954" s="74">
        <f t="shared" si="159"/>
        <v>44377</v>
      </c>
      <c r="AC954" s="80" t="str">
        <f t="shared" si="158"/>
        <v>LCOQ1</v>
      </c>
      <c r="AD954" s="80" t="str">
        <f t="shared" si="160"/>
        <v>CLQ1</v>
      </c>
      <c r="AE954" s="80" t="str">
        <f t="shared" si="161"/>
        <v>LCOU1</v>
      </c>
      <c r="AF954" s="80" t="str">
        <f t="shared" si="162"/>
        <v>CLU1</v>
      </c>
      <c r="AG954" s="80" t="str">
        <f t="shared" si="163"/>
        <v>LCOV1</v>
      </c>
      <c r="AH954" s="80" t="str">
        <f t="shared" si="164"/>
        <v>LCOX1</v>
      </c>
    </row>
    <row r="955" spans="25:34" x14ac:dyDescent="0.35">
      <c r="Y955" s="74">
        <f t="shared" si="165"/>
        <v>44358</v>
      </c>
      <c r="Z955" s="74">
        <f t="shared" ca="1" si="156"/>
        <v>44369</v>
      </c>
      <c r="AA955" s="80" t="str">
        <f t="shared" ca="1" si="157"/>
        <v>CLN1</v>
      </c>
      <c r="AB955" s="74">
        <f t="shared" si="159"/>
        <v>44377</v>
      </c>
      <c r="AC955" s="80" t="str">
        <f t="shared" si="158"/>
        <v>LCOQ1</v>
      </c>
      <c r="AD955" s="80" t="str">
        <f t="shared" si="160"/>
        <v>CLQ1</v>
      </c>
      <c r="AE955" s="80" t="str">
        <f t="shared" si="161"/>
        <v>LCOU1</v>
      </c>
      <c r="AF955" s="80" t="str">
        <f t="shared" si="162"/>
        <v>CLU1</v>
      </c>
      <c r="AG955" s="80" t="str">
        <f t="shared" si="163"/>
        <v>LCOV1</v>
      </c>
      <c r="AH955" s="80" t="str">
        <f t="shared" si="164"/>
        <v>LCOX1</v>
      </c>
    </row>
    <row r="956" spans="25:34" x14ac:dyDescent="0.35">
      <c r="Y956" s="74">
        <f t="shared" si="165"/>
        <v>44359</v>
      </c>
      <c r="Z956" s="74">
        <f t="shared" ca="1" si="156"/>
        <v>44369</v>
      </c>
      <c r="AA956" s="80" t="str">
        <f t="shared" ca="1" si="157"/>
        <v>CLN1</v>
      </c>
      <c r="AB956" s="74">
        <f t="shared" si="159"/>
        <v>44377</v>
      </c>
      <c r="AC956" s="80" t="str">
        <f t="shared" si="158"/>
        <v>LCOQ1</v>
      </c>
      <c r="AD956" s="80" t="str">
        <f t="shared" si="160"/>
        <v>CLQ1</v>
      </c>
      <c r="AE956" s="80" t="str">
        <f t="shared" si="161"/>
        <v>LCOU1</v>
      </c>
      <c r="AF956" s="80" t="str">
        <f t="shared" si="162"/>
        <v>CLU1</v>
      </c>
      <c r="AG956" s="80" t="str">
        <f t="shared" si="163"/>
        <v>LCOV1</v>
      </c>
      <c r="AH956" s="80" t="str">
        <f t="shared" si="164"/>
        <v>LCOX1</v>
      </c>
    </row>
    <row r="957" spans="25:34" x14ac:dyDescent="0.35">
      <c r="Y957" s="74">
        <f t="shared" si="165"/>
        <v>44360</v>
      </c>
      <c r="Z957" s="74">
        <f t="shared" ca="1" si="156"/>
        <v>44369</v>
      </c>
      <c r="AA957" s="80" t="str">
        <f t="shared" ca="1" si="157"/>
        <v>CLN1</v>
      </c>
      <c r="AB957" s="74">
        <f t="shared" si="159"/>
        <v>44377</v>
      </c>
      <c r="AC957" s="80" t="str">
        <f t="shared" si="158"/>
        <v>LCOQ1</v>
      </c>
      <c r="AD957" s="80" t="str">
        <f t="shared" si="160"/>
        <v>CLQ1</v>
      </c>
      <c r="AE957" s="80" t="str">
        <f t="shared" si="161"/>
        <v>LCOU1</v>
      </c>
      <c r="AF957" s="80" t="str">
        <f t="shared" si="162"/>
        <v>CLU1</v>
      </c>
      <c r="AG957" s="80" t="str">
        <f t="shared" si="163"/>
        <v>LCOV1</v>
      </c>
      <c r="AH957" s="80" t="str">
        <f t="shared" si="164"/>
        <v>LCOX1</v>
      </c>
    </row>
    <row r="958" spans="25:34" x14ac:dyDescent="0.35">
      <c r="Y958" s="74">
        <f t="shared" si="165"/>
        <v>44361</v>
      </c>
      <c r="Z958" s="74">
        <f t="shared" ca="1" si="156"/>
        <v>44369</v>
      </c>
      <c r="AA958" s="80" t="str">
        <f t="shared" ca="1" si="157"/>
        <v>CLN1</v>
      </c>
      <c r="AB958" s="74">
        <f t="shared" si="159"/>
        <v>44377</v>
      </c>
      <c r="AC958" s="80" t="str">
        <f t="shared" si="158"/>
        <v>LCOQ1</v>
      </c>
      <c r="AD958" s="80" t="str">
        <f t="shared" si="160"/>
        <v>CLQ1</v>
      </c>
      <c r="AE958" s="80" t="str">
        <f t="shared" si="161"/>
        <v>LCOU1</v>
      </c>
      <c r="AF958" s="80" t="str">
        <f t="shared" si="162"/>
        <v>CLU1</v>
      </c>
      <c r="AG958" s="80" t="str">
        <f t="shared" si="163"/>
        <v>LCOV1</v>
      </c>
      <c r="AH958" s="80" t="str">
        <f t="shared" si="164"/>
        <v>LCOX1</v>
      </c>
    </row>
    <row r="959" spans="25:34" x14ac:dyDescent="0.35">
      <c r="Y959" s="74">
        <f t="shared" si="165"/>
        <v>44362</v>
      </c>
      <c r="Z959" s="74">
        <f t="shared" ca="1" si="156"/>
        <v>44369</v>
      </c>
      <c r="AA959" s="80" t="str">
        <f t="shared" ca="1" si="157"/>
        <v>CLN1</v>
      </c>
      <c r="AB959" s="74">
        <f t="shared" si="159"/>
        <v>44377</v>
      </c>
      <c r="AC959" s="80" t="str">
        <f t="shared" si="158"/>
        <v>LCOQ1</v>
      </c>
      <c r="AD959" s="80" t="str">
        <f t="shared" si="160"/>
        <v>CLQ1</v>
      </c>
      <c r="AE959" s="80" t="str">
        <f t="shared" si="161"/>
        <v>LCOU1</v>
      </c>
      <c r="AF959" s="80" t="str">
        <f t="shared" si="162"/>
        <v>CLU1</v>
      </c>
      <c r="AG959" s="80" t="str">
        <f t="shared" si="163"/>
        <v>LCOV1</v>
      </c>
      <c r="AH959" s="80" t="str">
        <f t="shared" si="164"/>
        <v>LCOX1</v>
      </c>
    </row>
    <row r="960" spans="25:34" x14ac:dyDescent="0.35">
      <c r="Y960" s="74">
        <f t="shared" si="165"/>
        <v>44363</v>
      </c>
      <c r="Z960" s="74">
        <f t="shared" ca="1" si="156"/>
        <v>44369</v>
      </c>
      <c r="AA960" s="80" t="str">
        <f t="shared" ca="1" si="157"/>
        <v>CLN1</v>
      </c>
      <c r="AB960" s="74">
        <f t="shared" si="159"/>
        <v>44377</v>
      </c>
      <c r="AC960" s="80" t="str">
        <f t="shared" si="158"/>
        <v>LCOQ1</v>
      </c>
      <c r="AD960" s="80" t="str">
        <f t="shared" si="160"/>
        <v>CLQ1</v>
      </c>
      <c r="AE960" s="80" t="str">
        <f t="shared" si="161"/>
        <v>LCOU1</v>
      </c>
      <c r="AF960" s="80" t="str">
        <f t="shared" si="162"/>
        <v>CLU1</v>
      </c>
      <c r="AG960" s="80" t="str">
        <f t="shared" si="163"/>
        <v>LCOV1</v>
      </c>
      <c r="AH960" s="80" t="str">
        <f t="shared" si="164"/>
        <v>LCOX1</v>
      </c>
    </row>
    <row r="961" spans="25:34" x14ac:dyDescent="0.35">
      <c r="Y961" s="74">
        <f t="shared" si="165"/>
        <v>44364</v>
      </c>
      <c r="Z961" s="74">
        <f t="shared" ca="1" si="156"/>
        <v>44369</v>
      </c>
      <c r="AA961" s="80" t="str">
        <f t="shared" ca="1" si="157"/>
        <v>CLN1</v>
      </c>
      <c r="AB961" s="74">
        <f t="shared" si="159"/>
        <v>44377</v>
      </c>
      <c r="AC961" s="80" t="str">
        <f t="shared" si="158"/>
        <v>LCOQ1</v>
      </c>
      <c r="AD961" s="80" t="str">
        <f t="shared" si="160"/>
        <v>CLQ1</v>
      </c>
      <c r="AE961" s="80" t="str">
        <f t="shared" si="161"/>
        <v>LCOU1</v>
      </c>
      <c r="AF961" s="80" t="str">
        <f t="shared" si="162"/>
        <v>CLU1</v>
      </c>
      <c r="AG961" s="80" t="str">
        <f t="shared" si="163"/>
        <v>LCOV1</v>
      </c>
      <c r="AH961" s="80" t="str">
        <f t="shared" si="164"/>
        <v>LCOX1</v>
      </c>
    </row>
    <row r="962" spans="25:34" x14ac:dyDescent="0.35">
      <c r="Y962" s="74">
        <f t="shared" si="165"/>
        <v>44365</v>
      </c>
      <c r="Z962" s="74">
        <f t="shared" ref="Z962:Z1025" ca="1" si="166">VLOOKUP(AA962,$I$2:$K$39,3,FALSE)</f>
        <v>44369</v>
      </c>
      <c r="AA962" s="80" t="str">
        <f t="shared" ref="AA962:AA1025" ca="1" si="167">LOOKUP(2,1/($J$2:$J$700&lt;=$Y962)/($K$2:$K$700&gt;=$Y962),$L$2:$L$700)</f>
        <v>CLN1</v>
      </c>
      <c r="AB962" s="74">
        <f t="shared" si="159"/>
        <v>44377</v>
      </c>
      <c r="AC962" s="80" t="str">
        <f t="shared" ref="AC962:AC1025" si="168">LOOKUP(2,1/($R$2:$R$700&lt;=$Y962)/($S$2:$S$700&gt;=$Y962),$T$2:$T$700)</f>
        <v>LCOQ1</v>
      </c>
      <c r="AD962" s="80" t="str">
        <f t="shared" si="160"/>
        <v>CLQ1</v>
      </c>
      <c r="AE962" s="80" t="str">
        <f t="shared" si="161"/>
        <v>LCOU1</v>
      </c>
      <c r="AF962" s="80" t="str">
        <f t="shared" si="162"/>
        <v>CLU1</v>
      </c>
      <c r="AG962" s="80" t="str">
        <f t="shared" si="163"/>
        <v>LCOV1</v>
      </c>
      <c r="AH962" s="80" t="str">
        <f t="shared" si="164"/>
        <v>LCOX1</v>
      </c>
    </row>
    <row r="963" spans="25:34" x14ac:dyDescent="0.35">
      <c r="Y963" s="74">
        <f t="shared" si="165"/>
        <v>44366</v>
      </c>
      <c r="Z963" s="74">
        <f t="shared" ca="1" si="166"/>
        <v>44369</v>
      </c>
      <c r="AA963" s="80" t="str">
        <f t="shared" ca="1" si="167"/>
        <v>CLN1</v>
      </c>
      <c r="AB963" s="74">
        <f t="shared" ref="AB963:AB1026" si="169">VLOOKUP(AC963,$Q$2:$S$39,3,FALSE)</f>
        <v>44377</v>
      </c>
      <c r="AC963" s="80" t="str">
        <f t="shared" si="168"/>
        <v>LCOQ1</v>
      </c>
      <c r="AD963" s="80" t="str">
        <f t="shared" ref="AD963:AD1026" si="170">CONCATENATE("CL",RIGHT(AC963,2))</f>
        <v>CLQ1</v>
      </c>
      <c r="AE963" s="80" t="str">
        <f t="shared" ref="AE963:AE1026" si="171">LOOKUP(2,1/($R$2:$R$700&lt;=$Y963)/($S$2:$S$700&gt;=$Y963),$U$2:$U$700)</f>
        <v>LCOU1</v>
      </c>
      <c r="AF963" s="80" t="str">
        <f t="shared" ref="AF963:AF1026" si="172">CONCATENATE("CL",RIGHT(AE963,2))</f>
        <v>CLU1</v>
      </c>
      <c r="AG963" s="80" t="str">
        <f t="shared" ref="AG963:AG1026" si="173">LOOKUP(2,1/($R$2:$R$700&lt;=$Y963)/($S$2:$S$700&gt;=$Y963),$V$2:$V$700)</f>
        <v>LCOV1</v>
      </c>
      <c r="AH963" s="80" t="str">
        <f t="shared" ref="AH963:AH1026" si="174">LOOKUP(2,1/($R$2:$R$700&lt;=$Y963)/($S$2:$S$700&gt;=$Y963),$W$2:$W$700)</f>
        <v>LCOX1</v>
      </c>
    </row>
    <row r="964" spans="25:34" x14ac:dyDescent="0.35">
      <c r="Y964" s="74">
        <f t="shared" si="165"/>
        <v>44367</v>
      </c>
      <c r="Z964" s="74">
        <f t="shared" ca="1" si="166"/>
        <v>44369</v>
      </c>
      <c r="AA964" s="80" t="str">
        <f t="shared" ca="1" si="167"/>
        <v>CLN1</v>
      </c>
      <c r="AB964" s="74">
        <f t="shared" si="169"/>
        <v>44377</v>
      </c>
      <c r="AC964" s="80" t="str">
        <f t="shared" si="168"/>
        <v>LCOQ1</v>
      </c>
      <c r="AD964" s="80" t="str">
        <f t="shared" si="170"/>
        <v>CLQ1</v>
      </c>
      <c r="AE964" s="80" t="str">
        <f t="shared" si="171"/>
        <v>LCOU1</v>
      </c>
      <c r="AF964" s="80" t="str">
        <f t="shared" si="172"/>
        <v>CLU1</v>
      </c>
      <c r="AG964" s="80" t="str">
        <f t="shared" si="173"/>
        <v>LCOV1</v>
      </c>
      <c r="AH964" s="80" t="str">
        <f t="shared" si="174"/>
        <v>LCOX1</v>
      </c>
    </row>
    <row r="965" spans="25:34" x14ac:dyDescent="0.35">
      <c r="Y965" s="74">
        <f t="shared" si="165"/>
        <v>44368</v>
      </c>
      <c r="Z965" s="74">
        <f t="shared" ca="1" si="166"/>
        <v>44369</v>
      </c>
      <c r="AA965" s="80" t="str">
        <f t="shared" ca="1" si="167"/>
        <v>CLN1</v>
      </c>
      <c r="AB965" s="74">
        <f t="shared" si="169"/>
        <v>44377</v>
      </c>
      <c r="AC965" s="80" t="str">
        <f t="shared" si="168"/>
        <v>LCOQ1</v>
      </c>
      <c r="AD965" s="80" t="str">
        <f t="shared" si="170"/>
        <v>CLQ1</v>
      </c>
      <c r="AE965" s="80" t="str">
        <f t="shared" si="171"/>
        <v>LCOU1</v>
      </c>
      <c r="AF965" s="80" t="str">
        <f t="shared" si="172"/>
        <v>CLU1</v>
      </c>
      <c r="AG965" s="80" t="str">
        <f t="shared" si="173"/>
        <v>LCOV1</v>
      </c>
      <c r="AH965" s="80" t="str">
        <f t="shared" si="174"/>
        <v>LCOX1</v>
      </c>
    </row>
    <row r="966" spans="25:34" x14ac:dyDescent="0.35">
      <c r="Y966" s="74">
        <f t="shared" si="165"/>
        <v>44369</v>
      </c>
      <c r="Z966" s="74">
        <f t="shared" ca="1" si="166"/>
        <v>44369</v>
      </c>
      <c r="AA966" s="80" t="str">
        <f t="shared" ca="1" si="167"/>
        <v>CLN1</v>
      </c>
      <c r="AB966" s="74">
        <f t="shared" si="169"/>
        <v>44377</v>
      </c>
      <c r="AC966" s="80" t="str">
        <f t="shared" si="168"/>
        <v>LCOQ1</v>
      </c>
      <c r="AD966" s="80" t="str">
        <f t="shared" si="170"/>
        <v>CLQ1</v>
      </c>
      <c r="AE966" s="80" t="str">
        <f t="shared" si="171"/>
        <v>LCOU1</v>
      </c>
      <c r="AF966" s="80" t="str">
        <f t="shared" si="172"/>
        <v>CLU1</v>
      </c>
      <c r="AG966" s="80" t="str">
        <f t="shared" si="173"/>
        <v>LCOV1</v>
      </c>
      <c r="AH966" s="80" t="str">
        <f t="shared" si="174"/>
        <v>LCOX1</v>
      </c>
    </row>
    <row r="967" spans="25:34" x14ac:dyDescent="0.35">
      <c r="Y967" s="74">
        <f t="shared" si="165"/>
        <v>44370</v>
      </c>
      <c r="Z967" s="74">
        <f t="shared" ca="1" si="166"/>
        <v>44397</v>
      </c>
      <c r="AA967" s="80" t="str">
        <f t="shared" ca="1" si="167"/>
        <v>CLQ1</v>
      </c>
      <c r="AB967" s="74">
        <f t="shared" si="169"/>
        <v>44377</v>
      </c>
      <c r="AC967" s="80" t="str">
        <f t="shared" si="168"/>
        <v>LCOQ1</v>
      </c>
      <c r="AD967" s="80" t="str">
        <f t="shared" si="170"/>
        <v>CLQ1</v>
      </c>
      <c r="AE967" s="80" t="str">
        <f t="shared" si="171"/>
        <v>LCOU1</v>
      </c>
      <c r="AF967" s="80" t="str">
        <f t="shared" si="172"/>
        <v>CLU1</v>
      </c>
      <c r="AG967" s="80" t="str">
        <f t="shared" si="173"/>
        <v>LCOV1</v>
      </c>
      <c r="AH967" s="80" t="str">
        <f t="shared" si="174"/>
        <v>LCOX1</v>
      </c>
    </row>
    <row r="968" spans="25:34" x14ac:dyDescent="0.35">
      <c r="Y968" s="74">
        <f t="shared" si="165"/>
        <v>44371</v>
      </c>
      <c r="Z968" s="74">
        <f t="shared" ca="1" si="166"/>
        <v>44397</v>
      </c>
      <c r="AA968" s="80" t="str">
        <f t="shared" ca="1" si="167"/>
        <v>CLQ1</v>
      </c>
      <c r="AB968" s="74">
        <f t="shared" si="169"/>
        <v>44377</v>
      </c>
      <c r="AC968" s="80" t="str">
        <f t="shared" si="168"/>
        <v>LCOQ1</v>
      </c>
      <c r="AD968" s="80" t="str">
        <f t="shared" si="170"/>
        <v>CLQ1</v>
      </c>
      <c r="AE968" s="80" t="str">
        <f t="shared" si="171"/>
        <v>LCOU1</v>
      </c>
      <c r="AF968" s="80" t="str">
        <f t="shared" si="172"/>
        <v>CLU1</v>
      </c>
      <c r="AG968" s="80" t="str">
        <f t="shared" si="173"/>
        <v>LCOV1</v>
      </c>
      <c r="AH968" s="80" t="str">
        <f t="shared" si="174"/>
        <v>LCOX1</v>
      </c>
    </row>
    <row r="969" spans="25:34" x14ac:dyDescent="0.35">
      <c r="Y969" s="74">
        <f t="shared" si="165"/>
        <v>44372</v>
      </c>
      <c r="Z969" s="74">
        <f t="shared" ca="1" si="166"/>
        <v>44397</v>
      </c>
      <c r="AA969" s="80" t="str">
        <f t="shared" ca="1" si="167"/>
        <v>CLQ1</v>
      </c>
      <c r="AB969" s="74">
        <f t="shared" si="169"/>
        <v>44377</v>
      </c>
      <c r="AC969" s="80" t="str">
        <f t="shared" si="168"/>
        <v>LCOQ1</v>
      </c>
      <c r="AD969" s="80" t="str">
        <f t="shared" si="170"/>
        <v>CLQ1</v>
      </c>
      <c r="AE969" s="80" t="str">
        <f t="shared" si="171"/>
        <v>LCOU1</v>
      </c>
      <c r="AF969" s="80" t="str">
        <f t="shared" si="172"/>
        <v>CLU1</v>
      </c>
      <c r="AG969" s="80" t="str">
        <f t="shared" si="173"/>
        <v>LCOV1</v>
      </c>
      <c r="AH969" s="80" t="str">
        <f t="shared" si="174"/>
        <v>LCOX1</v>
      </c>
    </row>
    <row r="970" spans="25:34" x14ac:dyDescent="0.35">
      <c r="Y970" s="74">
        <f t="shared" si="165"/>
        <v>44373</v>
      </c>
      <c r="Z970" s="74">
        <f t="shared" ca="1" si="166"/>
        <v>44397</v>
      </c>
      <c r="AA970" s="80" t="str">
        <f t="shared" ca="1" si="167"/>
        <v>CLQ1</v>
      </c>
      <c r="AB970" s="74">
        <f t="shared" si="169"/>
        <v>44377</v>
      </c>
      <c r="AC970" s="80" t="str">
        <f t="shared" si="168"/>
        <v>LCOQ1</v>
      </c>
      <c r="AD970" s="80" t="str">
        <f t="shared" si="170"/>
        <v>CLQ1</v>
      </c>
      <c r="AE970" s="80" t="str">
        <f t="shared" si="171"/>
        <v>LCOU1</v>
      </c>
      <c r="AF970" s="80" t="str">
        <f t="shared" si="172"/>
        <v>CLU1</v>
      </c>
      <c r="AG970" s="80" t="str">
        <f t="shared" si="173"/>
        <v>LCOV1</v>
      </c>
      <c r="AH970" s="80" t="str">
        <f t="shared" si="174"/>
        <v>LCOX1</v>
      </c>
    </row>
    <row r="971" spans="25:34" x14ac:dyDescent="0.35">
      <c r="Y971" s="74">
        <f t="shared" si="165"/>
        <v>44374</v>
      </c>
      <c r="Z971" s="74">
        <f t="shared" ca="1" si="166"/>
        <v>44397</v>
      </c>
      <c r="AA971" s="80" t="str">
        <f t="shared" ca="1" si="167"/>
        <v>CLQ1</v>
      </c>
      <c r="AB971" s="74">
        <f t="shared" si="169"/>
        <v>44377</v>
      </c>
      <c r="AC971" s="80" t="str">
        <f t="shared" si="168"/>
        <v>LCOQ1</v>
      </c>
      <c r="AD971" s="80" t="str">
        <f t="shared" si="170"/>
        <v>CLQ1</v>
      </c>
      <c r="AE971" s="80" t="str">
        <f t="shared" si="171"/>
        <v>LCOU1</v>
      </c>
      <c r="AF971" s="80" t="str">
        <f t="shared" si="172"/>
        <v>CLU1</v>
      </c>
      <c r="AG971" s="80" t="str">
        <f t="shared" si="173"/>
        <v>LCOV1</v>
      </c>
      <c r="AH971" s="80" t="str">
        <f t="shared" si="174"/>
        <v>LCOX1</v>
      </c>
    </row>
    <row r="972" spans="25:34" x14ac:dyDescent="0.35">
      <c r="Y972" s="74">
        <f t="shared" si="165"/>
        <v>44375</v>
      </c>
      <c r="Z972" s="74">
        <f t="shared" ca="1" si="166"/>
        <v>44397</v>
      </c>
      <c r="AA972" s="80" t="str">
        <f t="shared" ca="1" si="167"/>
        <v>CLQ1</v>
      </c>
      <c r="AB972" s="74">
        <f t="shared" si="169"/>
        <v>44377</v>
      </c>
      <c r="AC972" s="80" t="str">
        <f t="shared" si="168"/>
        <v>LCOQ1</v>
      </c>
      <c r="AD972" s="80" t="str">
        <f t="shared" si="170"/>
        <v>CLQ1</v>
      </c>
      <c r="AE972" s="80" t="str">
        <f t="shared" si="171"/>
        <v>LCOU1</v>
      </c>
      <c r="AF972" s="80" t="str">
        <f t="shared" si="172"/>
        <v>CLU1</v>
      </c>
      <c r="AG972" s="80" t="str">
        <f t="shared" si="173"/>
        <v>LCOV1</v>
      </c>
      <c r="AH972" s="80" t="str">
        <f t="shared" si="174"/>
        <v>LCOX1</v>
      </c>
    </row>
    <row r="973" spans="25:34" x14ac:dyDescent="0.35">
      <c r="Y973" s="74">
        <f t="shared" si="165"/>
        <v>44376</v>
      </c>
      <c r="Z973" s="74">
        <f t="shared" ca="1" si="166"/>
        <v>44397</v>
      </c>
      <c r="AA973" s="80" t="str">
        <f t="shared" ca="1" si="167"/>
        <v>CLQ1</v>
      </c>
      <c r="AB973" s="74">
        <f t="shared" si="169"/>
        <v>44377</v>
      </c>
      <c r="AC973" s="80" t="str">
        <f t="shared" si="168"/>
        <v>LCOQ1</v>
      </c>
      <c r="AD973" s="80" t="str">
        <f t="shared" si="170"/>
        <v>CLQ1</v>
      </c>
      <c r="AE973" s="80" t="str">
        <f t="shared" si="171"/>
        <v>LCOU1</v>
      </c>
      <c r="AF973" s="80" t="str">
        <f t="shared" si="172"/>
        <v>CLU1</v>
      </c>
      <c r="AG973" s="80" t="str">
        <f t="shared" si="173"/>
        <v>LCOV1</v>
      </c>
      <c r="AH973" s="80" t="str">
        <f t="shared" si="174"/>
        <v>LCOX1</v>
      </c>
    </row>
    <row r="974" spans="25:34" x14ac:dyDescent="0.35">
      <c r="Y974" s="74">
        <f t="shared" si="165"/>
        <v>44377</v>
      </c>
      <c r="Z974" s="74">
        <f t="shared" ca="1" si="166"/>
        <v>44397</v>
      </c>
      <c r="AA974" s="80" t="str">
        <f t="shared" ca="1" si="167"/>
        <v>CLQ1</v>
      </c>
      <c r="AB974" s="74">
        <f t="shared" si="169"/>
        <v>44377</v>
      </c>
      <c r="AC974" s="80" t="str">
        <f t="shared" si="168"/>
        <v>LCOQ1</v>
      </c>
      <c r="AD974" s="80" t="str">
        <f t="shared" si="170"/>
        <v>CLQ1</v>
      </c>
      <c r="AE974" s="80" t="str">
        <f t="shared" si="171"/>
        <v>LCOU1</v>
      </c>
      <c r="AF974" s="80" t="str">
        <f t="shared" si="172"/>
        <v>CLU1</v>
      </c>
      <c r="AG974" s="80" t="str">
        <f t="shared" si="173"/>
        <v>LCOV1</v>
      </c>
      <c r="AH974" s="80" t="str">
        <f t="shared" si="174"/>
        <v>LCOX1</v>
      </c>
    </row>
    <row r="975" spans="25:34" x14ac:dyDescent="0.35">
      <c r="Y975" s="74">
        <f t="shared" si="165"/>
        <v>44378</v>
      </c>
      <c r="Z975" s="74">
        <f t="shared" ca="1" si="166"/>
        <v>44397</v>
      </c>
      <c r="AA975" s="80" t="str">
        <f t="shared" ca="1" si="167"/>
        <v>CLQ1</v>
      </c>
      <c r="AB975" s="74">
        <f t="shared" si="169"/>
        <v>44407</v>
      </c>
      <c r="AC975" s="80" t="str">
        <f t="shared" si="168"/>
        <v>LCOU1</v>
      </c>
      <c r="AD975" s="80" t="str">
        <f t="shared" si="170"/>
        <v>CLU1</v>
      </c>
      <c r="AE975" s="80" t="str">
        <f t="shared" si="171"/>
        <v>LCOV1</v>
      </c>
      <c r="AF975" s="80" t="str">
        <f t="shared" si="172"/>
        <v>CLV1</v>
      </c>
      <c r="AG975" s="80" t="str">
        <f t="shared" si="173"/>
        <v>LCOX1</v>
      </c>
      <c r="AH975" s="80" t="str">
        <f t="shared" si="174"/>
        <v>LCOZ1</v>
      </c>
    </row>
    <row r="976" spans="25:34" x14ac:dyDescent="0.35">
      <c r="Y976" s="74">
        <f t="shared" si="165"/>
        <v>44379</v>
      </c>
      <c r="Z976" s="74">
        <f t="shared" ca="1" si="166"/>
        <v>44397</v>
      </c>
      <c r="AA976" s="80" t="str">
        <f t="shared" ca="1" si="167"/>
        <v>CLQ1</v>
      </c>
      <c r="AB976" s="74">
        <f t="shared" si="169"/>
        <v>44407</v>
      </c>
      <c r="AC976" s="80" t="str">
        <f t="shared" si="168"/>
        <v>LCOU1</v>
      </c>
      <c r="AD976" s="80" t="str">
        <f t="shared" si="170"/>
        <v>CLU1</v>
      </c>
      <c r="AE976" s="80" t="str">
        <f t="shared" si="171"/>
        <v>LCOV1</v>
      </c>
      <c r="AF976" s="80" t="str">
        <f t="shared" si="172"/>
        <v>CLV1</v>
      </c>
      <c r="AG976" s="80" t="str">
        <f t="shared" si="173"/>
        <v>LCOX1</v>
      </c>
      <c r="AH976" s="80" t="str">
        <f t="shared" si="174"/>
        <v>LCOZ1</v>
      </c>
    </row>
    <row r="977" spans="25:34" x14ac:dyDescent="0.35">
      <c r="Y977" s="74">
        <f t="shared" si="165"/>
        <v>44380</v>
      </c>
      <c r="Z977" s="74">
        <f t="shared" ca="1" si="166"/>
        <v>44397</v>
      </c>
      <c r="AA977" s="80" t="str">
        <f t="shared" ca="1" si="167"/>
        <v>CLQ1</v>
      </c>
      <c r="AB977" s="74">
        <f t="shared" si="169"/>
        <v>44407</v>
      </c>
      <c r="AC977" s="80" t="str">
        <f t="shared" si="168"/>
        <v>LCOU1</v>
      </c>
      <c r="AD977" s="80" t="str">
        <f t="shared" si="170"/>
        <v>CLU1</v>
      </c>
      <c r="AE977" s="80" t="str">
        <f t="shared" si="171"/>
        <v>LCOV1</v>
      </c>
      <c r="AF977" s="80" t="str">
        <f t="shared" si="172"/>
        <v>CLV1</v>
      </c>
      <c r="AG977" s="80" t="str">
        <f t="shared" si="173"/>
        <v>LCOX1</v>
      </c>
      <c r="AH977" s="80" t="str">
        <f t="shared" si="174"/>
        <v>LCOZ1</v>
      </c>
    </row>
    <row r="978" spans="25:34" x14ac:dyDescent="0.35">
      <c r="Y978" s="74">
        <f t="shared" si="165"/>
        <v>44381</v>
      </c>
      <c r="Z978" s="74">
        <f t="shared" ca="1" si="166"/>
        <v>44397</v>
      </c>
      <c r="AA978" s="80" t="str">
        <f t="shared" ca="1" si="167"/>
        <v>CLQ1</v>
      </c>
      <c r="AB978" s="74">
        <f t="shared" si="169"/>
        <v>44407</v>
      </c>
      <c r="AC978" s="80" t="str">
        <f t="shared" si="168"/>
        <v>LCOU1</v>
      </c>
      <c r="AD978" s="80" t="str">
        <f t="shared" si="170"/>
        <v>CLU1</v>
      </c>
      <c r="AE978" s="80" t="str">
        <f t="shared" si="171"/>
        <v>LCOV1</v>
      </c>
      <c r="AF978" s="80" t="str">
        <f t="shared" si="172"/>
        <v>CLV1</v>
      </c>
      <c r="AG978" s="80" t="str">
        <f t="shared" si="173"/>
        <v>LCOX1</v>
      </c>
      <c r="AH978" s="80" t="str">
        <f t="shared" si="174"/>
        <v>LCOZ1</v>
      </c>
    </row>
    <row r="979" spans="25:34" x14ac:dyDescent="0.35">
      <c r="Y979" s="74">
        <f t="shared" si="165"/>
        <v>44382</v>
      </c>
      <c r="Z979" s="74">
        <f t="shared" ca="1" si="166"/>
        <v>44397</v>
      </c>
      <c r="AA979" s="80" t="str">
        <f t="shared" ca="1" si="167"/>
        <v>CLQ1</v>
      </c>
      <c r="AB979" s="74">
        <f t="shared" si="169"/>
        <v>44407</v>
      </c>
      <c r="AC979" s="80" t="str">
        <f t="shared" si="168"/>
        <v>LCOU1</v>
      </c>
      <c r="AD979" s="80" t="str">
        <f t="shared" si="170"/>
        <v>CLU1</v>
      </c>
      <c r="AE979" s="80" t="str">
        <f t="shared" si="171"/>
        <v>LCOV1</v>
      </c>
      <c r="AF979" s="80" t="str">
        <f t="shared" si="172"/>
        <v>CLV1</v>
      </c>
      <c r="AG979" s="80" t="str">
        <f t="shared" si="173"/>
        <v>LCOX1</v>
      </c>
      <c r="AH979" s="80" t="str">
        <f t="shared" si="174"/>
        <v>LCOZ1</v>
      </c>
    </row>
    <row r="980" spans="25:34" x14ac:dyDescent="0.35">
      <c r="Y980" s="74">
        <f t="shared" si="165"/>
        <v>44383</v>
      </c>
      <c r="Z980" s="74">
        <f t="shared" ca="1" si="166"/>
        <v>44397</v>
      </c>
      <c r="AA980" s="80" t="str">
        <f t="shared" ca="1" si="167"/>
        <v>CLQ1</v>
      </c>
      <c r="AB980" s="74">
        <f t="shared" si="169"/>
        <v>44407</v>
      </c>
      <c r="AC980" s="80" t="str">
        <f t="shared" si="168"/>
        <v>LCOU1</v>
      </c>
      <c r="AD980" s="80" t="str">
        <f t="shared" si="170"/>
        <v>CLU1</v>
      </c>
      <c r="AE980" s="80" t="str">
        <f t="shared" si="171"/>
        <v>LCOV1</v>
      </c>
      <c r="AF980" s="80" t="str">
        <f t="shared" si="172"/>
        <v>CLV1</v>
      </c>
      <c r="AG980" s="80" t="str">
        <f t="shared" si="173"/>
        <v>LCOX1</v>
      </c>
      <c r="AH980" s="80" t="str">
        <f t="shared" si="174"/>
        <v>LCOZ1</v>
      </c>
    </row>
    <row r="981" spans="25:34" x14ac:dyDescent="0.35">
      <c r="Y981" s="74">
        <f t="shared" si="165"/>
        <v>44384</v>
      </c>
      <c r="Z981" s="74">
        <f t="shared" ca="1" si="166"/>
        <v>44397</v>
      </c>
      <c r="AA981" s="80" t="str">
        <f t="shared" ca="1" si="167"/>
        <v>CLQ1</v>
      </c>
      <c r="AB981" s="74">
        <f t="shared" si="169"/>
        <v>44407</v>
      </c>
      <c r="AC981" s="80" t="str">
        <f t="shared" si="168"/>
        <v>LCOU1</v>
      </c>
      <c r="AD981" s="80" t="str">
        <f t="shared" si="170"/>
        <v>CLU1</v>
      </c>
      <c r="AE981" s="80" t="str">
        <f t="shared" si="171"/>
        <v>LCOV1</v>
      </c>
      <c r="AF981" s="80" t="str">
        <f t="shared" si="172"/>
        <v>CLV1</v>
      </c>
      <c r="AG981" s="80" t="str">
        <f t="shared" si="173"/>
        <v>LCOX1</v>
      </c>
      <c r="AH981" s="80" t="str">
        <f t="shared" si="174"/>
        <v>LCOZ1</v>
      </c>
    </row>
    <row r="982" spans="25:34" x14ac:dyDescent="0.35">
      <c r="Y982" s="74">
        <f t="shared" si="165"/>
        <v>44385</v>
      </c>
      <c r="Z982" s="74">
        <f t="shared" ca="1" si="166"/>
        <v>44397</v>
      </c>
      <c r="AA982" s="80" t="str">
        <f t="shared" ca="1" si="167"/>
        <v>CLQ1</v>
      </c>
      <c r="AB982" s="74">
        <f t="shared" si="169"/>
        <v>44407</v>
      </c>
      <c r="AC982" s="80" t="str">
        <f t="shared" si="168"/>
        <v>LCOU1</v>
      </c>
      <c r="AD982" s="80" t="str">
        <f t="shared" si="170"/>
        <v>CLU1</v>
      </c>
      <c r="AE982" s="80" t="str">
        <f t="shared" si="171"/>
        <v>LCOV1</v>
      </c>
      <c r="AF982" s="80" t="str">
        <f t="shared" si="172"/>
        <v>CLV1</v>
      </c>
      <c r="AG982" s="80" t="str">
        <f t="shared" si="173"/>
        <v>LCOX1</v>
      </c>
      <c r="AH982" s="80" t="str">
        <f t="shared" si="174"/>
        <v>LCOZ1</v>
      </c>
    </row>
    <row r="983" spans="25:34" x14ac:dyDescent="0.35">
      <c r="Y983" s="74">
        <f t="shared" si="165"/>
        <v>44386</v>
      </c>
      <c r="Z983" s="74">
        <f t="shared" ca="1" si="166"/>
        <v>44397</v>
      </c>
      <c r="AA983" s="80" t="str">
        <f t="shared" ca="1" si="167"/>
        <v>CLQ1</v>
      </c>
      <c r="AB983" s="74">
        <f t="shared" si="169"/>
        <v>44407</v>
      </c>
      <c r="AC983" s="80" t="str">
        <f t="shared" si="168"/>
        <v>LCOU1</v>
      </c>
      <c r="AD983" s="80" t="str">
        <f t="shared" si="170"/>
        <v>CLU1</v>
      </c>
      <c r="AE983" s="80" t="str">
        <f t="shared" si="171"/>
        <v>LCOV1</v>
      </c>
      <c r="AF983" s="80" t="str">
        <f t="shared" si="172"/>
        <v>CLV1</v>
      </c>
      <c r="AG983" s="80" t="str">
        <f t="shared" si="173"/>
        <v>LCOX1</v>
      </c>
      <c r="AH983" s="80" t="str">
        <f t="shared" si="174"/>
        <v>LCOZ1</v>
      </c>
    </row>
    <row r="984" spans="25:34" x14ac:dyDescent="0.35">
      <c r="Y984" s="74">
        <f t="shared" si="165"/>
        <v>44387</v>
      </c>
      <c r="Z984" s="74">
        <f t="shared" ca="1" si="166"/>
        <v>44397</v>
      </c>
      <c r="AA984" s="80" t="str">
        <f t="shared" ca="1" si="167"/>
        <v>CLQ1</v>
      </c>
      <c r="AB984" s="74">
        <f t="shared" si="169"/>
        <v>44407</v>
      </c>
      <c r="AC984" s="80" t="str">
        <f t="shared" si="168"/>
        <v>LCOU1</v>
      </c>
      <c r="AD984" s="80" t="str">
        <f t="shared" si="170"/>
        <v>CLU1</v>
      </c>
      <c r="AE984" s="80" t="str">
        <f t="shared" si="171"/>
        <v>LCOV1</v>
      </c>
      <c r="AF984" s="80" t="str">
        <f t="shared" si="172"/>
        <v>CLV1</v>
      </c>
      <c r="AG984" s="80" t="str">
        <f t="shared" si="173"/>
        <v>LCOX1</v>
      </c>
      <c r="AH984" s="80" t="str">
        <f t="shared" si="174"/>
        <v>LCOZ1</v>
      </c>
    </row>
    <row r="985" spans="25:34" x14ac:dyDescent="0.35">
      <c r="Y985" s="74">
        <f t="shared" si="165"/>
        <v>44388</v>
      </c>
      <c r="Z985" s="74">
        <f t="shared" ca="1" si="166"/>
        <v>44397</v>
      </c>
      <c r="AA985" s="80" t="str">
        <f t="shared" ca="1" si="167"/>
        <v>CLQ1</v>
      </c>
      <c r="AB985" s="74">
        <f t="shared" si="169"/>
        <v>44407</v>
      </c>
      <c r="AC985" s="80" t="str">
        <f t="shared" si="168"/>
        <v>LCOU1</v>
      </c>
      <c r="AD985" s="80" t="str">
        <f t="shared" si="170"/>
        <v>CLU1</v>
      </c>
      <c r="AE985" s="80" t="str">
        <f t="shared" si="171"/>
        <v>LCOV1</v>
      </c>
      <c r="AF985" s="80" t="str">
        <f t="shared" si="172"/>
        <v>CLV1</v>
      </c>
      <c r="AG985" s="80" t="str">
        <f t="shared" si="173"/>
        <v>LCOX1</v>
      </c>
      <c r="AH985" s="80" t="str">
        <f t="shared" si="174"/>
        <v>LCOZ1</v>
      </c>
    </row>
    <row r="986" spans="25:34" x14ac:dyDescent="0.35">
      <c r="Y986" s="74">
        <f t="shared" si="165"/>
        <v>44389</v>
      </c>
      <c r="Z986" s="74">
        <f t="shared" ca="1" si="166"/>
        <v>44397</v>
      </c>
      <c r="AA986" s="80" t="str">
        <f t="shared" ca="1" si="167"/>
        <v>CLQ1</v>
      </c>
      <c r="AB986" s="74">
        <f t="shared" si="169"/>
        <v>44407</v>
      </c>
      <c r="AC986" s="80" t="str">
        <f t="shared" si="168"/>
        <v>LCOU1</v>
      </c>
      <c r="AD986" s="80" t="str">
        <f t="shared" si="170"/>
        <v>CLU1</v>
      </c>
      <c r="AE986" s="80" t="str">
        <f t="shared" si="171"/>
        <v>LCOV1</v>
      </c>
      <c r="AF986" s="80" t="str">
        <f t="shared" si="172"/>
        <v>CLV1</v>
      </c>
      <c r="AG986" s="80" t="str">
        <f t="shared" si="173"/>
        <v>LCOX1</v>
      </c>
      <c r="AH986" s="80" t="str">
        <f t="shared" si="174"/>
        <v>LCOZ1</v>
      </c>
    </row>
    <row r="987" spans="25:34" x14ac:dyDescent="0.35">
      <c r="Y987" s="74">
        <f t="shared" si="165"/>
        <v>44390</v>
      </c>
      <c r="Z987" s="74">
        <f t="shared" ca="1" si="166"/>
        <v>44397</v>
      </c>
      <c r="AA987" s="80" t="str">
        <f t="shared" ca="1" si="167"/>
        <v>CLQ1</v>
      </c>
      <c r="AB987" s="74">
        <f t="shared" si="169"/>
        <v>44407</v>
      </c>
      <c r="AC987" s="80" t="str">
        <f t="shared" si="168"/>
        <v>LCOU1</v>
      </c>
      <c r="AD987" s="80" t="str">
        <f t="shared" si="170"/>
        <v>CLU1</v>
      </c>
      <c r="AE987" s="80" t="str">
        <f t="shared" si="171"/>
        <v>LCOV1</v>
      </c>
      <c r="AF987" s="80" t="str">
        <f t="shared" si="172"/>
        <v>CLV1</v>
      </c>
      <c r="AG987" s="80" t="str">
        <f t="shared" si="173"/>
        <v>LCOX1</v>
      </c>
      <c r="AH987" s="80" t="str">
        <f t="shared" si="174"/>
        <v>LCOZ1</v>
      </c>
    </row>
    <row r="988" spans="25:34" x14ac:dyDescent="0.35">
      <c r="Y988" s="74">
        <f t="shared" si="165"/>
        <v>44391</v>
      </c>
      <c r="Z988" s="74">
        <f t="shared" ca="1" si="166"/>
        <v>44397</v>
      </c>
      <c r="AA988" s="80" t="str">
        <f t="shared" ca="1" si="167"/>
        <v>CLQ1</v>
      </c>
      <c r="AB988" s="74">
        <f t="shared" si="169"/>
        <v>44407</v>
      </c>
      <c r="AC988" s="80" t="str">
        <f t="shared" si="168"/>
        <v>LCOU1</v>
      </c>
      <c r="AD988" s="80" t="str">
        <f t="shared" si="170"/>
        <v>CLU1</v>
      </c>
      <c r="AE988" s="80" t="str">
        <f t="shared" si="171"/>
        <v>LCOV1</v>
      </c>
      <c r="AF988" s="80" t="str">
        <f t="shared" si="172"/>
        <v>CLV1</v>
      </c>
      <c r="AG988" s="80" t="str">
        <f t="shared" si="173"/>
        <v>LCOX1</v>
      </c>
      <c r="AH988" s="80" t="str">
        <f t="shared" si="174"/>
        <v>LCOZ1</v>
      </c>
    </row>
    <row r="989" spans="25:34" x14ac:dyDescent="0.35">
      <c r="Y989" s="74">
        <f t="shared" si="165"/>
        <v>44392</v>
      </c>
      <c r="Z989" s="74">
        <f t="shared" ca="1" si="166"/>
        <v>44397</v>
      </c>
      <c r="AA989" s="80" t="str">
        <f t="shared" ca="1" si="167"/>
        <v>CLQ1</v>
      </c>
      <c r="AB989" s="74">
        <f t="shared" si="169"/>
        <v>44407</v>
      </c>
      <c r="AC989" s="80" t="str">
        <f t="shared" si="168"/>
        <v>LCOU1</v>
      </c>
      <c r="AD989" s="80" t="str">
        <f t="shared" si="170"/>
        <v>CLU1</v>
      </c>
      <c r="AE989" s="80" t="str">
        <f t="shared" si="171"/>
        <v>LCOV1</v>
      </c>
      <c r="AF989" s="80" t="str">
        <f t="shared" si="172"/>
        <v>CLV1</v>
      </c>
      <c r="AG989" s="80" t="str">
        <f t="shared" si="173"/>
        <v>LCOX1</v>
      </c>
      <c r="AH989" s="80" t="str">
        <f t="shared" si="174"/>
        <v>LCOZ1</v>
      </c>
    </row>
    <row r="990" spans="25:34" x14ac:dyDescent="0.35">
      <c r="Y990" s="74">
        <f t="shared" si="165"/>
        <v>44393</v>
      </c>
      <c r="Z990" s="74">
        <f t="shared" ca="1" si="166"/>
        <v>44397</v>
      </c>
      <c r="AA990" s="80" t="str">
        <f t="shared" ca="1" si="167"/>
        <v>CLQ1</v>
      </c>
      <c r="AB990" s="74">
        <f t="shared" si="169"/>
        <v>44407</v>
      </c>
      <c r="AC990" s="80" t="str">
        <f t="shared" si="168"/>
        <v>LCOU1</v>
      </c>
      <c r="AD990" s="80" t="str">
        <f t="shared" si="170"/>
        <v>CLU1</v>
      </c>
      <c r="AE990" s="80" t="str">
        <f t="shared" si="171"/>
        <v>LCOV1</v>
      </c>
      <c r="AF990" s="80" t="str">
        <f t="shared" si="172"/>
        <v>CLV1</v>
      </c>
      <c r="AG990" s="80" t="str">
        <f t="shared" si="173"/>
        <v>LCOX1</v>
      </c>
      <c r="AH990" s="80" t="str">
        <f t="shared" si="174"/>
        <v>LCOZ1</v>
      </c>
    </row>
    <row r="991" spans="25:34" x14ac:dyDescent="0.35">
      <c r="Y991" s="74">
        <f t="shared" si="165"/>
        <v>44394</v>
      </c>
      <c r="Z991" s="74">
        <f t="shared" ca="1" si="166"/>
        <v>44397</v>
      </c>
      <c r="AA991" s="80" t="str">
        <f t="shared" ca="1" si="167"/>
        <v>CLQ1</v>
      </c>
      <c r="AB991" s="74">
        <f t="shared" si="169"/>
        <v>44407</v>
      </c>
      <c r="AC991" s="80" t="str">
        <f t="shared" si="168"/>
        <v>LCOU1</v>
      </c>
      <c r="AD991" s="80" t="str">
        <f t="shared" si="170"/>
        <v>CLU1</v>
      </c>
      <c r="AE991" s="80" t="str">
        <f t="shared" si="171"/>
        <v>LCOV1</v>
      </c>
      <c r="AF991" s="80" t="str">
        <f t="shared" si="172"/>
        <v>CLV1</v>
      </c>
      <c r="AG991" s="80" t="str">
        <f t="shared" si="173"/>
        <v>LCOX1</v>
      </c>
      <c r="AH991" s="80" t="str">
        <f t="shared" si="174"/>
        <v>LCOZ1</v>
      </c>
    </row>
    <row r="992" spans="25:34" x14ac:dyDescent="0.35">
      <c r="Y992" s="74">
        <f t="shared" si="165"/>
        <v>44395</v>
      </c>
      <c r="Z992" s="74">
        <f t="shared" ca="1" si="166"/>
        <v>44397</v>
      </c>
      <c r="AA992" s="80" t="str">
        <f t="shared" ca="1" si="167"/>
        <v>CLQ1</v>
      </c>
      <c r="AB992" s="74">
        <f t="shared" si="169"/>
        <v>44407</v>
      </c>
      <c r="AC992" s="80" t="str">
        <f t="shared" si="168"/>
        <v>LCOU1</v>
      </c>
      <c r="AD992" s="80" t="str">
        <f t="shared" si="170"/>
        <v>CLU1</v>
      </c>
      <c r="AE992" s="80" t="str">
        <f t="shared" si="171"/>
        <v>LCOV1</v>
      </c>
      <c r="AF992" s="80" t="str">
        <f t="shared" si="172"/>
        <v>CLV1</v>
      </c>
      <c r="AG992" s="80" t="str">
        <f t="shared" si="173"/>
        <v>LCOX1</v>
      </c>
      <c r="AH992" s="80" t="str">
        <f t="shared" si="174"/>
        <v>LCOZ1</v>
      </c>
    </row>
    <row r="993" spans="25:34" x14ac:dyDescent="0.35">
      <c r="Y993" s="74">
        <f t="shared" ref="Y993:Y1056" si="175">Y992+1</f>
        <v>44396</v>
      </c>
      <c r="Z993" s="74">
        <f t="shared" ca="1" si="166"/>
        <v>44397</v>
      </c>
      <c r="AA993" s="80" t="str">
        <f t="shared" ca="1" si="167"/>
        <v>CLQ1</v>
      </c>
      <c r="AB993" s="74">
        <f t="shared" si="169"/>
        <v>44407</v>
      </c>
      <c r="AC993" s="80" t="str">
        <f t="shared" si="168"/>
        <v>LCOU1</v>
      </c>
      <c r="AD993" s="80" t="str">
        <f t="shared" si="170"/>
        <v>CLU1</v>
      </c>
      <c r="AE993" s="80" t="str">
        <f t="shared" si="171"/>
        <v>LCOV1</v>
      </c>
      <c r="AF993" s="80" t="str">
        <f t="shared" si="172"/>
        <v>CLV1</v>
      </c>
      <c r="AG993" s="80" t="str">
        <f t="shared" si="173"/>
        <v>LCOX1</v>
      </c>
      <c r="AH993" s="80" t="str">
        <f t="shared" si="174"/>
        <v>LCOZ1</v>
      </c>
    </row>
    <row r="994" spans="25:34" x14ac:dyDescent="0.35">
      <c r="Y994" s="74">
        <f t="shared" si="175"/>
        <v>44397</v>
      </c>
      <c r="Z994" s="74">
        <f t="shared" ca="1" si="166"/>
        <v>44397</v>
      </c>
      <c r="AA994" s="80" t="str">
        <f t="shared" ca="1" si="167"/>
        <v>CLQ1</v>
      </c>
      <c r="AB994" s="74">
        <f t="shared" si="169"/>
        <v>44407</v>
      </c>
      <c r="AC994" s="80" t="str">
        <f t="shared" si="168"/>
        <v>LCOU1</v>
      </c>
      <c r="AD994" s="80" t="str">
        <f t="shared" si="170"/>
        <v>CLU1</v>
      </c>
      <c r="AE994" s="80" t="str">
        <f t="shared" si="171"/>
        <v>LCOV1</v>
      </c>
      <c r="AF994" s="80" t="str">
        <f t="shared" si="172"/>
        <v>CLV1</v>
      </c>
      <c r="AG994" s="80" t="str">
        <f t="shared" si="173"/>
        <v>LCOX1</v>
      </c>
      <c r="AH994" s="80" t="str">
        <f t="shared" si="174"/>
        <v>LCOZ1</v>
      </c>
    </row>
    <row r="995" spans="25:34" x14ac:dyDescent="0.35">
      <c r="Y995" s="74">
        <f t="shared" si="175"/>
        <v>44398</v>
      </c>
      <c r="Z995" s="74">
        <f t="shared" ca="1" si="166"/>
        <v>44428</v>
      </c>
      <c r="AA995" s="80" t="str">
        <f t="shared" ca="1" si="167"/>
        <v>CLU1</v>
      </c>
      <c r="AB995" s="74">
        <f t="shared" si="169"/>
        <v>44407</v>
      </c>
      <c r="AC995" s="80" t="str">
        <f t="shared" si="168"/>
        <v>LCOU1</v>
      </c>
      <c r="AD995" s="80" t="str">
        <f t="shared" si="170"/>
        <v>CLU1</v>
      </c>
      <c r="AE995" s="80" t="str">
        <f t="shared" si="171"/>
        <v>LCOV1</v>
      </c>
      <c r="AF995" s="80" t="str">
        <f t="shared" si="172"/>
        <v>CLV1</v>
      </c>
      <c r="AG995" s="80" t="str">
        <f t="shared" si="173"/>
        <v>LCOX1</v>
      </c>
      <c r="AH995" s="80" t="str">
        <f t="shared" si="174"/>
        <v>LCOZ1</v>
      </c>
    </row>
    <row r="996" spans="25:34" x14ac:dyDescent="0.35">
      <c r="Y996" s="74">
        <f t="shared" si="175"/>
        <v>44399</v>
      </c>
      <c r="Z996" s="74">
        <f t="shared" ca="1" si="166"/>
        <v>44428</v>
      </c>
      <c r="AA996" s="80" t="str">
        <f t="shared" ca="1" si="167"/>
        <v>CLU1</v>
      </c>
      <c r="AB996" s="74">
        <f t="shared" si="169"/>
        <v>44407</v>
      </c>
      <c r="AC996" s="80" t="str">
        <f t="shared" si="168"/>
        <v>LCOU1</v>
      </c>
      <c r="AD996" s="80" t="str">
        <f t="shared" si="170"/>
        <v>CLU1</v>
      </c>
      <c r="AE996" s="80" t="str">
        <f t="shared" si="171"/>
        <v>LCOV1</v>
      </c>
      <c r="AF996" s="80" t="str">
        <f t="shared" si="172"/>
        <v>CLV1</v>
      </c>
      <c r="AG996" s="80" t="str">
        <f t="shared" si="173"/>
        <v>LCOX1</v>
      </c>
      <c r="AH996" s="80" t="str">
        <f t="shared" si="174"/>
        <v>LCOZ1</v>
      </c>
    </row>
    <row r="997" spans="25:34" x14ac:dyDescent="0.35">
      <c r="Y997" s="74">
        <f t="shared" si="175"/>
        <v>44400</v>
      </c>
      <c r="Z997" s="74">
        <f t="shared" ca="1" si="166"/>
        <v>44428</v>
      </c>
      <c r="AA997" s="80" t="str">
        <f t="shared" ca="1" si="167"/>
        <v>CLU1</v>
      </c>
      <c r="AB997" s="74">
        <f t="shared" si="169"/>
        <v>44407</v>
      </c>
      <c r="AC997" s="80" t="str">
        <f t="shared" si="168"/>
        <v>LCOU1</v>
      </c>
      <c r="AD997" s="80" t="str">
        <f t="shared" si="170"/>
        <v>CLU1</v>
      </c>
      <c r="AE997" s="80" t="str">
        <f t="shared" si="171"/>
        <v>LCOV1</v>
      </c>
      <c r="AF997" s="80" t="str">
        <f t="shared" si="172"/>
        <v>CLV1</v>
      </c>
      <c r="AG997" s="80" t="str">
        <f t="shared" si="173"/>
        <v>LCOX1</v>
      </c>
      <c r="AH997" s="80" t="str">
        <f t="shared" si="174"/>
        <v>LCOZ1</v>
      </c>
    </row>
    <row r="998" spans="25:34" x14ac:dyDescent="0.35">
      <c r="Y998" s="74">
        <f t="shared" si="175"/>
        <v>44401</v>
      </c>
      <c r="Z998" s="74">
        <f t="shared" ca="1" si="166"/>
        <v>44428</v>
      </c>
      <c r="AA998" s="80" t="str">
        <f t="shared" ca="1" si="167"/>
        <v>CLU1</v>
      </c>
      <c r="AB998" s="74">
        <f t="shared" si="169"/>
        <v>44407</v>
      </c>
      <c r="AC998" s="80" t="str">
        <f t="shared" si="168"/>
        <v>LCOU1</v>
      </c>
      <c r="AD998" s="80" t="str">
        <f t="shared" si="170"/>
        <v>CLU1</v>
      </c>
      <c r="AE998" s="80" t="str">
        <f t="shared" si="171"/>
        <v>LCOV1</v>
      </c>
      <c r="AF998" s="80" t="str">
        <f t="shared" si="172"/>
        <v>CLV1</v>
      </c>
      <c r="AG998" s="80" t="str">
        <f t="shared" si="173"/>
        <v>LCOX1</v>
      </c>
      <c r="AH998" s="80" t="str">
        <f t="shared" si="174"/>
        <v>LCOZ1</v>
      </c>
    </row>
    <row r="999" spans="25:34" x14ac:dyDescent="0.35">
      <c r="Y999" s="74">
        <f t="shared" si="175"/>
        <v>44402</v>
      </c>
      <c r="Z999" s="74">
        <f t="shared" ca="1" si="166"/>
        <v>44428</v>
      </c>
      <c r="AA999" s="80" t="str">
        <f t="shared" ca="1" si="167"/>
        <v>CLU1</v>
      </c>
      <c r="AB999" s="74">
        <f t="shared" si="169"/>
        <v>44407</v>
      </c>
      <c r="AC999" s="80" t="str">
        <f t="shared" si="168"/>
        <v>LCOU1</v>
      </c>
      <c r="AD999" s="80" t="str">
        <f t="shared" si="170"/>
        <v>CLU1</v>
      </c>
      <c r="AE999" s="80" t="str">
        <f t="shared" si="171"/>
        <v>LCOV1</v>
      </c>
      <c r="AF999" s="80" t="str">
        <f t="shared" si="172"/>
        <v>CLV1</v>
      </c>
      <c r="AG999" s="80" t="str">
        <f t="shared" si="173"/>
        <v>LCOX1</v>
      </c>
      <c r="AH999" s="80" t="str">
        <f t="shared" si="174"/>
        <v>LCOZ1</v>
      </c>
    </row>
    <row r="1000" spans="25:34" x14ac:dyDescent="0.35">
      <c r="Y1000" s="74">
        <f t="shared" si="175"/>
        <v>44403</v>
      </c>
      <c r="Z1000" s="74">
        <f t="shared" ca="1" si="166"/>
        <v>44428</v>
      </c>
      <c r="AA1000" s="80" t="str">
        <f t="shared" ca="1" si="167"/>
        <v>CLU1</v>
      </c>
      <c r="AB1000" s="74">
        <f t="shared" si="169"/>
        <v>44407</v>
      </c>
      <c r="AC1000" s="80" t="str">
        <f t="shared" si="168"/>
        <v>LCOU1</v>
      </c>
      <c r="AD1000" s="80" t="str">
        <f t="shared" si="170"/>
        <v>CLU1</v>
      </c>
      <c r="AE1000" s="80" t="str">
        <f t="shared" si="171"/>
        <v>LCOV1</v>
      </c>
      <c r="AF1000" s="80" t="str">
        <f t="shared" si="172"/>
        <v>CLV1</v>
      </c>
      <c r="AG1000" s="80" t="str">
        <f t="shared" si="173"/>
        <v>LCOX1</v>
      </c>
      <c r="AH1000" s="80" t="str">
        <f t="shared" si="174"/>
        <v>LCOZ1</v>
      </c>
    </row>
    <row r="1001" spans="25:34" x14ac:dyDescent="0.35">
      <c r="Y1001" s="74">
        <f t="shared" si="175"/>
        <v>44404</v>
      </c>
      <c r="Z1001" s="74">
        <f t="shared" ca="1" si="166"/>
        <v>44428</v>
      </c>
      <c r="AA1001" s="80" t="str">
        <f t="shared" ca="1" si="167"/>
        <v>CLU1</v>
      </c>
      <c r="AB1001" s="74">
        <f t="shared" si="169"/>
        <v>44407</v>
      </c>
      <c r="AC1001" s="80" t="str">
        <f t="shared" si="168"/>
        <v>LCOU1</v>
      </c>
      <c r="AD1001" s="80" t="str">
        <f t="shared" si="170"/>
        <v>CLU1</v>
      </c>
      <c r="AE1001" s="80" t="str">
        <f t="shared" si="171"/>
        <v>LCOV1</v>
      </c>
      <c r="AF1001" s="80" t="str">
        <f t="shared" si="172"/>
        <v>CLV1</v>
      </c>
      <c r="AG1001" s="80" t="str">
        <f t="shared" si="173"/>
        <v>LCOX1</v>
      </c>
      <c r="AH1001" s="80" t="str">
        <f t="shared" si="174"/>
        <v>LCOZ1</v>
      </c>
    </row>
    <row r="1002" spans="25:34" x14ac:dyDescent="0.35">
      <c r="Y1002" s="74">
        <f t="shared" si="175"/>
        <v>44405</v>
      </c>
      <c r="Z1002" s="74">
        <f t="shared" ca="1" si="166"/>
        <v>44428</v>
      </c>
      <c r="AA1002" s="80" t="str">
        <f t="shared" ca="1" si="167"/>
        <v>CLU1</v>
      </c>
      <c r="AB1002" s="74">
        <f t="shared" si="169"/>
        <v>44407</v>
      </c>
      <c r="AC1002" s="80" t="str">
        <f t="shared" si="168"/>
        <v>LCOU1</v>
      </c>
      <c r="AD1002" s="80" t="str">
        <f t="shared" si="170"/>
        <v>CLU1</v>
      </c>
      <c r="AE1002" s="80" t="str">
        <f t="shared" si="171"/>
        <v>LCOV1</v>
      </c>
      <c r="AF1002" s="80" t="str">
        <f t="shared" si="172"/>
        <v>CLV1</v>
      </c>
      <c r="AG1002" s="80" t="str">
        <f t="shared" si="173"/>
        <v>LCOX1</v>
      </c>
      <c r="AH1002" s="80" t="str">
        <f t="shared" si="174"/>
        <v>LCOZ1</v>
      </c>
    </row>
    <row r="1003" spans="25:34" x14ac:dyDescent="0.35">
      <c r="Y1003" s="74">
        <f t="shared" si="175"/>
        <v>44406</v>
      </c>
      <c r="Z1003" s="74">
        <f t="shared" ca="1" si="166"/>
        <v>44428</v>
      </c>
      <c r="AA1003" s="80" t="str">
        <f t="shared" ca="1" si="167"/>
        <v>CLU1</v>
      </c>
      <c r="AB1003" s="74">
        <f t="shared" si="169"/>
        <v>44407</v>
      </c>
      <c r="AC1003" s="80" t="str">
        <f t="shared" si="168"/>
        <v>LCOU1</v>
      </c>
      <c r="AD1003" s="80" t="str">
        <f t="shared" si="170"/>
        <v>CLU1</v>
      </c>
      <c r="AE1003" s="80" t="str">
        <f t="shared" si="171"/>
        <v>LCOV1</v>
      </c>
      <c r="AF1003" s="80" t="str">
        <f t="shared" si="172"/>
        <v>CLV1</v>
      </c>
      <c r="AG1003" s="80" t="str">
        <f t="shared" si="173"/>
        <v>LCOX1</v>
      </c>
      <c r="AH1003" s="80" t="str">
        <f t="shared" si="174"/>
        <v>LCOZ1</v>
      </c>
    </row>
    <row r="1004" spans="25:34" x14ac:dyDescent="0.35">
      <c r="Y1004" s="74">
        <f t="shared" si="175"/>
        <v>44407</v>
      </c>
      <c r="Z1004" s="74">
        <f t="shared" ca="1" si="166"/>
        <v>44428</v>
      </c>
      <c r="AA1004" s="80" t="str">
        <f t="shared" ca="1" si="167"/>
        <v>CLU1</v>
      </c>
      <c r="AB1004" s="74">
        <f t="shared" si="169"/>
        <v>44407</v>
      </c>
      <c r="AC1004" s="80" t="str">
        <f t="shared" si="168"/>
        <v>LCOU1</v>
      </c>
      <c r="AD1004" s="80" t="str">
        <f t="shared" si="170"/>
        <v>CLU1</v>
      </c>
      <c r="AE1004" s="80" t="str">
        <f t="shared" si="171"/>
        <v>LCOV1</v>
      </c>
      <c r="AF1004" s="80" t="str">
        <f t="shared" si="172"/>
        <v>CLV1</v>
      </c>
      <c r="AG1004" s="80" t="str">
        <f t="shared" si="173"/>
        <v>LCOX1</v>
      </c>
      <c r="AH1004" s="80" t="str">
        <f t="shared" si="174"/>
        <v>LCOZ1</v>
      </c>
    </row>
    <row r="1005" spans="25:34" x14ac:dyDescent="0.35">
      <c r="Y1005" s="74">
        <f t="shared" si="175"/>
        <v>44408</v>
      </c>
      <c r="Z1005" s="74">
        <f t="shared" ca="1" si="166"/>
        <v>44428</v>
      </c>
      <c r="AA1005" s="80" t="str">
        <f t="shared" ca="1" si="167"/>
        <v>CLU1</v>
      </c>
      <c r="AB1005" s="74">
        <f t="shared" si="169"/>
        <v>44439</v>
      </c>
      <c r="AC1005" s="80" t="str">
        <f t="shared" si="168"/>
        <v>LCOV1</v>
      </c>
      <c r="AD1005" s="80" t="str">
        <f t="shared" si="170"/>
        <v>CLV1</v>
      </c>
      <c r="AE1005" s="80" t="str">
        <f t="shared" si="171"/>
        <v>LCOX1</v>
      </c>
      <c r="AF1005" s="80" t="str">
        <f t="shared" si="172"/>
        <v>CLX1</v>
      </c>
      <c r="AG1005" s="80" t="str">
        <f t="shared" si="173"/>
        <v>LCOZ1</v>
      </c>
      <c r="AH1005" s="80" t="str">
        <f t="shared" si="174"/>
        <v>LCOF2</v>
      </c>
    </row>
    <row r="1006" spans="25:34" x14ac:dyDescent="0.35">
      <c r="Y1006" s="74">
        <f t="shared" si="175"/>
        <v>44409</v>
      </c>
      <c r="Z1006" s="74">
        <f t="shared" ca="1" si="166"/>
        <v>44428</v>
      </c>
      <c r="AA1006" s="80" t="str">
        <f t="shared" ca="1" si="167"/>
        <v>CLU1</v>
      </c>
      <c r="AB1006" s="74">
        <f t="shared" si="169"/>
        <v>44439</v>
      </c>
      <c r="AC1006" s="80" t="str">
        <f t="shared" si="168"/>
        <v>LCOV1</v>
      </c>
      <c r="AD1006" s="80" t="str">
        <f t="shared" si="170"/>
        <v>CLV1</v>
      </c>
      <c r="AE1006" s="80" t="str">
        <f t="shared" si="171"/>
        <v>LCOX1</v>
      </c>
      <c r="AF1006" s="80" t="str">
        <f t="shared" si="172"/>
        <v>CLX1</v>
      </c>
      <c r="AG1006" s="80" t="str">
        <f t="shared" si="173"/>
        <v>LCOZ1</v>
      </c>
      <c r="AH1006" s="80" t="str">
        <f t="shared" si="174"/>
        <v>LCOF2</v>
      </c>
    </row>
    <row r="1007" spans="25:34" x14ac:dyDescent="0.35">
      <c r="Y1007" s="74">
        <f t="shared" si="175"/>
        <v>44410</v>
      </c>
      <c r="Z1007" s="74">
        <f t="shared" ca="1" si="166"/>
        <v>44428</v>
      </c>
      <c r="AA1007" s="80" t="str">
        <f t="shared" ca="1" si="167"/>
        <v>CLU1</v>
      </c>
      <c r="AB1007" s="74">
        <f t="shared" si="169"/>
        <v>44439</v>
      </c>
      <c r="AC1007" s="80" t="str">
        <f t="shared" si="168"/>
        <v>LCOV1</v>
      </c>
      <c r="AD1007" s="80" t="str">
        <f t="shared" si="170"/>
        <v>CLV1</v>
      </c>
      <c r="AE1007" s="80" t="str">
        <f t="shared" si="171"/>
        <v>LCOX1</v>
      </c>
      <c r="AF1007" s="80" t="str">
        <f t="shared" si="172"/>
        <v>CLX1</v>
      </c>
      <c r="AG1007" s="80" t="str">
        <f t="shared" si="173"/>
        <v>LCOZ1</v>
      </c>
      <c r="AH1007" s="80" t="str">
        <f t="shared" si="174"/>
        <v>LCOF2</v>
      </c>
    </row>
    <row r="1008" spans="25:34" x14ac:dyDescent="0.35">
      <c r="Y1008" s="74">
        <f t="shared" si="175"/>
        <v>44411</v>
      </c>
      <c r="Z1008" s="74">
        <f t="shared" ca="1" si="166"/>
        <v>44428</v>
      </c>
      <c r="AA1008" s="80" t="str">
        <f t="shared" ca="1" si="167"/>
        <v>CLU1</v>
      </c>
      <c r="AB1008" s="74">
        <f t="shared" si="169"/>
        <v>44439</v>
      </c>
      <c r="AC1008" s="80" t="str">
        <f t="shared" si="168"/>
        <v>LCOV1</v>
      </c>
      <c r="AD1008" s="80" t="str">
        <f t="shared" si="170"/>
        <v>CLV1</v>
      </c>
      <c r="AE1008" s="80" t="str">
        <f t="shared" si="171"/>
        <v>LCOX1</v>
      </c>
      <c r="AF1008" s="80" t="str">
        <f t="shared" si="172"/>
        <v>CLX1</v>
      </c>
      <c r="AG1008" s="80" t="str">
        <f t="shared" si="173"/>
        <v>LCOZ1</v>
      </c>
      <c r="AH1008" s="80" t="str">
        <f t="shared" si="174"/>
        <v>LCOF2</v>
      </c>
    </row>
    <row r="1009" spans="25:34" x14ac:dyDescent="0.35">
      <c r="Y1009" s="74">
        <f t="shared" si="175"/>
        <v>44412</v>
      </c>
      <c r="Z1009" s="74">
        <f t="shared" ca="1" si="166"/>
        <v>44428</v>
      </c>
      <c r="AA1009" s="80" t="str">
        <f t="shared" ca="1" si="167"/>
        <v>CLU1</v>
      </c>
      <c r="AB1009" s="74">
        <f t="shared" si="169"/>
        <v>44439</v>
      </c>
      <c r="AC1009" s="80" t="str">
        <f t="shared" si="168"/>
        <v>LCOV1</v>
      </c>
      <c r="AD1009" s="80" t="str">
        <f t="shared" si="170"/>
        <v>CLV1</v>
      </c>
      <c r="AE1009" s="80" t="str">
        <f t="shared" si="171"/>
        <v>LCOX1</v>
      </c>
      <c r="AF1009" s="80" t="str">
        <f t="shared" si="172"/>
        <v>CLX1</v>
      </c>
      <c r="AG1009" s="80" t="str">
        <f t="shared" si="173"/>
        <v>LCOZ1</v>
      </c>
      <c r="AH1009" s="80" t="str">
        <f t="shared" si="174"/>
        <v>LCOF2</v>
      </c>
    </row>
    <row r="1010" spans="25:34" x14ac:dyDescent="0.35">
      <c r="Y1010" s="74">
        <f t="shared" si="175"/>
        <v>44413</v>
      </c>
      <c r="Z1010" s="74">
        <f t="shared" ca="1" si="166"/>
        <v>44428</v>
      </c>
      <c r="AA1010" s="80" t="str">
        <f t="shared" ca="1" si="167"/>
        <v>CLU1</v>
      </c>
      <c r="AB1010" s="74">
        <f t="shared" si="169"/>
        <v>44439</v>
      </c>
      <c r="AC1010" s="80" t="str">
        <f t="shared" si="168"/>
        <v>LCOV1</v>
      </c>
      <c r="AD1010" s="80" t="str">
        <f t="shared" si="170"/>
        <v>CLV1</v>
      </c>
      <c r="AE1010" s="80" t="str">
        <f t="shared" si="171"/>
        <v>LCOX1</v>
      </c>
      <c r="AF1010" s="80" t="str">
        <f t="shared" si="172"/>
        <v>CLX1</v>
      </c>
      <c r="AG1010" s="80" t="str">
        <f t="shared" si="173"/>
        <v>LCOZ1</v>
      </c>
      <c r="AH1010" s="80" t="str">
        <f t="shared" si="174"/>
        <v>LCOF2</v>
      </c>
    </row>
    <row r="1011" spans="25:34" x14ac:dyDescent="0.35">
      <c r="Y1011" s="74">
        <f t="shared" si="175"/>
        <v>44414</v>
      </c>
      <c r="Z1011" s="74">
        <f t="shared" ca="1" si="166"/>
        <v>44428</v>
      </c>
      <c r="AA1011" s="80" t="str">
        <f t="shared" ca="1" si="167"/>
        <v>CLU1</v>
      </c>
      <c r="AB1011" s="74">
        <f t="shared" si="169"/>
        <v>44439</v>
      </c>
      <c r="AC1011" s="80" t="str">
        <f t="shared" si="168"/>
        <v>LCOV1</v>
      </c>
      <c r="AD1011" s="80" t="str">
        <f t="shared" si="170"/>
        <v>CLV1</v>
      </c>
      <c r="AE1011" s="80" t="str">
        <f t="shared" si="171"/>
        <v>LCOX1</v>
      </c>
      <c r="AF1011" s="80" t="str">
        <f t="shared" si="172"/>
        <v>CLX1</v>
      </c>
      <c r="AG1011" s="80" t="str">
        <f t="shared" si="173"/>
        <v>LCOZ1</v>
      </c>
      <c r="AH1011" s="80" t="str">
        <f t="shared" si="174"/>
        <v>LCOF2</v>
      </c>
    </row>
    <row r="1012" spans="25:34" x14ac:dyDescent="0.35">
      <c r="Y1012" s="74">
        <f t="shared" si="175"/>
        <v>44415</v>
      </c>
      <c r="Z1012" s="74">
        <f t="shared" ca="1" si="166"/>
        <v>44428</v>
      </c>
      <c r="AA1012" s="80" t="str">
        <f t="shared" ca="1" si="167"/>
        <v>CLU1</v>
      </c>
      <c r="AB1012" s="74">
        <f t="shared" si="169"/>
        <v>44439</v>
      </c>
      <c r="AC1012" s="80" t="str">
        <f t="shared" si="168"/>
        <v>LCOV1</v>
      </c>
      <c r="AD1012" s="80" t="str">
        <f t="shared" si="170"/>
        <v>CLV1</v>
      </c>
      <c r="AE1012" s="80" t="str">
        <f t="shared" si="171"/>
        <v>LCOX1</v>
      </c>
      <c r="AF1012" s="80" t="str">
        <f t="shared" si="172"/>
        <v>CLX1</v>
      </c>
      <c r="AG1012" s="80" t="str">
        <f t="shared" si="173"/>
        <v>LCOZ1</v>
      </c>
      <c r="AH1012" s="80" t="str">
        <f t="shared" si="174"/>
        <v>LCOF2</v>
      </c>
    </row>
    <row r="1013" spans="25:34" x14ac:dyDescent="0.35">
      <c r="Y1013" s="74">
        <f t="shared" si="175"/>
        <v>44416</v>
      </c>
      <c r="Z1013" s="74">
        <f t="shared" ca="1" si="166"/>
        <v>44428</v>
      </c>
      <c r="AA1013" s="80" t="str">
        <f t="shared" ca="1" si="167"/>
        <v>CLU1</v>
      </c>
      <c r="AB1013" s="74">
        <f t="shared" si="169"/>
        <v>44439</v>
      </c>
      <c r="AC1013" s="80" t="str">
        <f t="shared" si="168"/>
        <v>LCOV1</v>
      </c>
      <c r="AD1013" s="80" t="str">
        <f t="shared" si="170"/>
        <v>CLV1</v>
      </c>
      <c r="AE1013" s="80" t="str">
        <f t="shared" si="171"/>
        <v>LCOX1</v>
      </c>
      <c r="AF1013" s="80" t="str">
        <f t="shared" si="172"/>
        <v>CLX1</v>
      </c>
      <c r="AG1013" s="80" t="str">
        <f t="shared" si="173"/>
        <v>LCOZ1</v>
      </c>
      <c r="AH1013" s="80" t="str">
        <f t="shared" si="174"/>
        <v>LCOF2</v>
      </c>
    </row>
    <row r="1014" spans="25:34" x14ac:dyDescent="0.35">
      <c r="Y1014" s="74">
        <f t="shared" si="175"/>
        <v>44417</v>
      </c>
      <c r="Z1014" s="74">
        <f t="shared" ca="1" si="166"/>
        <v>44428</v>
      </c>
      <c r="AA1014" s="80" t="str">
        <f t="shared" ca="1" si="167"/>
        <v>CLU1</v>
      </c>
      <c r="AB1014" s="74">
        <f t="shared" si="169"/>
        <v>44439</v>
      </c>
      <c r="AC1014" s="80" t="str">
        <f t="shared" si="168"/>
        <v>LCOV1</v>
      </c>
      <c r="AD1014" s="80" t="str">
        <f t="shared" si="170"/>
        <v>CLV1</v>
      </c>
      <c r="AE1014" s="80" t="str">
        <f t="shared" si="171"/>
        <v>LCOX1</v>
      </c>
      <c r="AF1014" s="80" t="str">
        <f t="shared" si="172"/>
        <v>CLX1</v>
      </c>
      <c r="AG1014" s="80" t="str">
        <f t="shared" si="173"/>
        <v>LCOZ1</v>
      </c>
      <c r="AH1014" s="80" t="str">
        <f t="shared" si="174"/>
        <v>LCOF2</v>
      </c>
    </row>
    <row r="1015" spans="25:34" x14ac:dyDescent="0.35">
      <c r="Y1015" s="74">
        <f t="shared" si="175"/>
        <v>44418</v>
      </c>
      <c r="Z1015" s="74">
        <f t="shared" ca="1" si="166"/>
        <v>44428</v>
      </c>
      <c r="AA1015" s="80" t="str">
        <f t="shared" ca="1" si="167"/>
        <v>CLU1</v>
      </c>
      <c r="AB1015" s="74">
        <f t="shared" si="169"/>
        <v>44439</v>
      </c>
      <c r="AC1015" s="80" t="str">
        <f t="shared" si="168"/>
        <v>LCOV1</v>
      </c>
      <c r="AD1015" s="80" t="str">
        <f t="shared" si="170"/>
        <v>CLV1</v>
      </c>
      <c r="AE1015" s="80" t="str">
        <f t="shared" si="171"/>
        <v>LCOX1</v>
      </c>
      <c r="AF1015" s="80" t="str">
        <f t="shared" si="172"/>
        <v>CLX1</v>
      </c>
      <c r="AG1015" s="80" t="str">
        <f t="shared" si="173"/>
        <v>LCOZ1</v>
      </c>
      <c r="AH1015" s="80" t="str">
        <f t="shared" si="174"/>
        <v>LCOF2</v>
      </c>
    </row>
    <row r="1016" spans="25:34" x14ac:dyDescent="0.35">
      <c r="Y1016" s="74">
        <f t="shared" si="175"/>
        <v>44419</v>
      </c>
      <c r="Z1016" s="74">
        <f t="shared" ca="1" si="166"/>
        <v>44428</v>
      </c>
      <c r="AA1016" s="80" t="str">
        <f t="shared" ca="1" si="167"/>
        <v>CLU1</v>
      </c>
      <c r="AB1016" s="74">
        <f t="shared" si="169"/>
        <v>44439</v>
      </c>
      <c r="AC1016" s="80" t="str">
        <f t="shared" si="168"/>
        <v>LCOV1</v>
      </c>
      <c r="AD1016" s="80" t="str">
        <f t="shared" si="170"/>
        <v>CLV1</v>
      </c>
      <c r="AE1016" s="80" t="str">
        <f t="shared" si="171"/>
        <v>LCOX1</v>
      </c>
      <c r="AF1016" s="80" t="str">
        <f t="shared" si="172"/>
        <v>CLX1</v>
      </c>
      <c r="AG1016" s="80" t="str">
        <f t="shared" si="173"/>
        <v>LCOZ1</v>
      </c>
      <c r="AH1016" s="80" t="str">
        <f t="shared" si="174"/>
        <v>LCOF2</v>
      </c>
    </row>
    <row r="1017" spans="25:34" x14ac:dyDescent="0.35">
      <c r="Y1017" s="74">
        <f t="shared" si="175"/>
        <v>44420</v>
      </c>
      <c r="Z1017" s="74">
        <f t="shared" ca="1" si="166"/>
        <v>44428</v>
      </c>
      <c r="AA1017" s="80" t="str">
        <f t="shared" ca="1" si="167"/>
        <v>CLU1</v>
      </c>
      <c r="AB1017" s="74">
        <f t="shared" si="169"/>
        <v>44439</v>
      </c>
      <c r="AC1017" s="80" t="str">
        <f t="shared" si="168"/>
        <v>LCOV1</v>
      </c>
      <c r="AD1017" s="80" t="str">
        <f t="shared" si="170"/>
        <v>CLV1</v>
      </c>
      <c r="AE1017" s="80" t="str">
        <f t="shared" si="171"/>
        <v>LCOX1</v>
      </c>
      <c r="AF1017" s="80" t="str">
        <f t="shared" si="172"/>
        <v>CLX1</v>
      </c>
      <c r="AG1017" s="80" t="str">
        <f t="shared" si="173"/>
        <v>LCOZ1</v>
      </c>
      <c r="AH1017" s="80" t="str">
        <f t="shared" si="174"/>
        <v>LCOF2</v>
      </c>
    </row>
    <row r="1018" spans="25:34" x14ac:dyDescent="0.35">
      <c r="Y1018" s="74">
        <f t="shared" si="175"/>
        <v>44421</v>
      </c>
      <c r="Z1018" s="74">
        <f t="shared" ca="1" si="166"/>
        <v>44428</v>
      </c>
      <c r="AA1018" s="80" t="str">
        <f t="shared" ca="1" si="167"/>
        <v>CLU1</v>
      </c>
      <c r="AB1018" s="74">
        <f t="shared" si="169"/>
        <v>44439</v>
      </c>
      <c r="AC1018" s="80" t="str">
        <f t="shared" si="168"/>
        <v>LCOV1</v>
      </c>
      <c r="AD1018" s="80" t="str">
        <f t="shared" si="170"/>
        <v>CLV1</v>
      </c>
      <c r="AE1018" s="80" t="str">
        <f t="shared" si="171"/>
        <v>LCOX1</v>
      </c>
      <c r="AF1018" s="80" t="str">
        <f t="shared" si="172"/>
        <v>CLX1</v>
      </c>
      <c r="AG1018" s="80" t="str">
        <f t="shared" si="173"/>
        <v>LCOZ1</v>
      </c>
      <c r="AH1018" s="80" t="str">
        <f t="shared" si="174"/>
        <v>LCOF2</v>
      </c>
    </row>
    <row r="1019" spans="25:34" x14ac:dyDescent="0.35">
      <c r="Y1019" s="74">
        <f t="shared" si="175"/>
        <v>44422</v>
      </c>
      <c r="Z1019" s="74">
        <f t="shared" ca="1" si="166"/>
        <v>44428</v>
      </c>
      <c r="AA1019" s="80" t="str">
        <f t="shared" ca="1" si="167"/>
        <v>CLU1</v>
      </c>
      <c r="AB1019" s="74">
        <f t="shared" si="169"/>
        <v>44439</v>
      </c>
      <c r="AC1019" s="80" t="str">
        <f t="shared" si="168"/>
        <v>LCOV1</v>
      </c>
      <c r="AD1019" s="80" t="str">
        <f t="shared" si="170"/>
        <v>CLV1</v>
      </c>
      <c r="AE1019" s="80" t="str">
        <f t="shared" si="171"/>
        <v>LCOX1</v>
      </c>
      <c r="AF1019" s="80" t="str">
        <f t="shared" si="172"/>
        <v>CLX1</v>
      </c>
      <c r="AG1019" s="80" t="str">
        <f t="shared" si="173"/>
        <v>LCOZ1</v>
      </c>
      <c r="AH1019" s="80" t="str">
        <f t="shared" si="174"/>
        <v>LCOF2</v>
      </c>
    </row>
    <row r="1020" spans="25:34" x14ac:dyDescent="0.35">
      <c r="Y1020" s="74">
        <f t="shared" si="175"/>
        <v>44423</v>
      </c>
      <c r="Z1020" s="74">
        <f t="shared" ca="1" si="166"/>
        <v>44428</v>
      </c>
      <c r="AA1020" s="80" t="str">
        <f t="shared" ca="1" si="167"/>
        <v>CLU1</v>
      </c>
      <c r="AB1020" s="74">
        <f t="shared" si="169"/>
        <v>44439</v>
      </c>
      <c r="AC1020" s="80" t="str">
        <f t="shared" si="168"/>
        <v>LCOV1</v>
      </c>
      <c r="AD1020" s="80" t="str">
        <f t="shared" si="170"/>
        <v>CLV1</v>
      </c>
      <c r="AE1020" s="80" t="str">
        <f t="shared" si="171"/>
        <v>LCOX1</v>
      </c>
      <c r="AF1020" s="80" t="str">
        <f t="shared" si="172"/>
        <v>CLX1</v>
      </c>
      <c r="AG1020" s="80" t="str">
        <f t="shared" si="173"/>
        <v>LCOZ1</v>
      </c>
      <c r="AH1020" s="80" t="str">
        <f t="shared" si="174"/>
        <v>LCOF2</v>
      </c>
    </row>
    <row r="1021" spans="25:34" x14ac:dyDescent="0.35">
      <c r="Y1021" s="74">
        <f t="shared" si="175"/>
        <v>44424</v>
      </c>
      <c r="Z1021" s="74">
        <f t="shared" ca="1" si="166"/>
        <v>44428</v>
      </c>
      <c r="AA1021" s="80" t="str">
        <f t="shared" ca="1" si="167"/>
        <v>CLU1</v>
      </c>
      <c r="AB1021" s="74">
        <f t="shared" si="169"/>
        <v>44439</v>
      </c>
      <c r="AC1021" s="80" t="str">
        <f t="shared" si="168"/>
        <v>LCOV1</v>
      </c>
      <c r="AD1021" s="80" t="str">
        <f t="shared" si="170"/>
        <v>CLV1</v>
      </c>
      <c r="AE1021" s="80" t="str">
        <f t="shared" si="171"/>
        <v>LCOX1</v>
      </c>
      <c r="AF1021" s="80" t="str">
        <f t="shared" si="172"/>
        <v>CLX1</v>
      </c>
      <c r="AG1021" s="80" t="str">
        <f t="shared" si="173"/>
        <v>LCOZ1</v>
      </c>
      <c r="AH1021" s="80" t="str">
        <f t="shared" si="174"/>
        <v>LCOF2</v>
      </c>
    </row>
    <row r="1022" spans="25:34" x14ac:dyDescent="0.35">
      <c r="Y1022" s="74">
        <f t="shared" si="175"/>
        <v>44425</v>
      </c>
      <c r="Z1022" s="74">
        <f t="shared" ca="1" si="166"/>
        <v>44428</v>
      </c>
      <c r="AA1022" s="80" t="str">
        <f t="shared" ca="1" si="167"/>
        <v>CLU1</v>
      </c>
      <c r="AB1022" s="74">
        <f t="shared" si="169"/>
        <v>44439</v>
      </c>
      <c r="AC1022" s="80" t="str">
        <f t="shared" si="168"/>
        <v>LCOV1</v>
      </c>
      <c r="AD1022" s="80" t="str">
        <f t="shared" si="170"/>
        <v>CLV1</v>
      </c>
      <c r="AE1022" s="80" t="str">
        <f t="shared" si="171"/>
        <v>LCOX1</v>
      </c>
      <c r="AF1022" s="80" t="str">
        <f t="shared" si="172"/>
        <v>CLX1</v>
      </c>
      <c r="AG1022" s="80" t="str">
        <f t="shared" si="173"/>
        <v>LCOZ1</v>
      </c>
      <c r="AH1022" s="80" t="str">
        <f t="shared" si="174"/>
        <v>LCOF2</v>
      </c>
    </row>
    <row r="1023" spans="25:34" x14ac:dyDescent="0.35">
      <c r="Y1023" s="74">
        <f t="shared" si="175"/>
        <v>44426</v>
      </c>
      <c r="Z1023" s="74">
        <f t="shared" ca="1" si="166"/>
        <v>44428</v>
      </c>
      <c r="AA1023" s="80" t="str">
        <f t="shared" ca="1" si="167"/>
        <v>CLU1</v>
      </c>
      <c r="AB1023" s="74">
        <f t="shared" si="169"/>
        <v>44439</v>
      </c>
      <c r="AC1023" s="80" t="str">
        <f t="shared" si="168"/>
        <v>LCOV1</v>
      </c>
      <c r="AD1023" s="80" t="str">
        <f t="shared" si="170"/>
        <v>CLV1</v>
      </c>
      <c r="AE1023" s="80" t="str">
        <f t="shared" si="171"/>
        <v>LCOX1</v>
      </c>
      <c r="AF1023" s="80" t="str">
        <f t="shared" si="172"/>
        <v>CLX1</v>
      </c>
      <c r="AG1023" s="80" t="str">
        <f t="shared" si="173"/>
        <v>LCOZ1</v>
      </c>
      <c r="AH1023" s="80" t="str">
        <f t="shared" si="174"/>
        <v>LCOF2</v>
      </c>
    </row>
    <row r="1024" spans="25:34" x14ac:dyDescent="0.35">
      <c r="Y1024" s="74">
        <f t="shared" si="175"/>
        <v>44427</v>
      </c>
      <c r="Z1024" s="74">
        <f t="shared" ca="1" si="166"/>
        <v>44428</v>
      </c>
      <c r="AA1024" s="80" t="str">
        <f t="shared" ca="1" si="167"/>
        <v>CLU1</v>
      </c>
      <c r="AB1024" s="74">
        <f t="shared" si="169"/>
        <v>44439</v>
      </c>
      <c r="AC1024" s="80" t="str">
        <f t="shared" si="168"/>
        <v>LCOV1</v>
      </c>
      <c r="AD1024" s="80" t="str">
        <f t="shared" si="170"/>
        <v>CLV1</v>
      </c>
      <c r="AE1024" s="80" t="str">
        <f t="shared" si="171"/>
        <v>LCOX1</v>
      </c>
      <c r="AF1024" s="80" t="str">
        <f t="shared" si="172"/>
        <v>CLX1</v>
      </c>
      <c r="AG1024" s="80" t="str">
        <f t="shared" si="173"/>
        <v>LCOZ1</v>
      </c>
      <c r="AH1024" s="80" t="str">
        <f t="shared" si="174"/>
        <v>LCOF2</v>
      </c>
    </row>
    <row r="1025" spans="25:34" x14ac:dyDescent="0.35">
      <c r="Y1025" s="74">
        <f t="shared" si="175"/>
        <v>44428</v>
      </c>
      <c r="Z1025" s="74">
        <f t="shared" ca="1" si="166"/>
        <v>44428</v>
      </c>
      <c r="AA1025" s="80" t="str">
        <f t="shared" ca="1" si="167"/>
        <v>CLU1</v>
      </c>
      <c r="AB1025" s="74">
        <f t="shared" si="169"/>
        <v>44439</v>
      </c>
      <c r="AC1025" s="80" t="str">
        <f t="shared" si="168"/>
        <v>LCOV1</v>
      </c>
      <c r="AD1025" s="80" t="str">
        <f t="shared" si="170"/>
        <v>CLV1</v>
      </c>
      <c r="AE1025" s="80" t="str">
        <f t="shared" si="171"/>
        <v>LCOX1</v>
      </c>
      <c r="AF1025" s="80" t="str">
        <f t="shared" si="172"/>
        <v>CLX1</v>
      </c>
      <c r="AG1025" s="80" t="str">
        <f t="shared" si="173"/>
        <v>LCOZ1</v>
      </c>
      <c r="AH1025" s="80" t="str">
        <f t="shared" si="174"/>
        <v>LCOF2</v>
      </c>
    </row>
    <row r="1026" spans="25:34" x14ac:dyDescent="0.35">
      <c r="Y1026" s="74">
        <f t="shared" si="175"/>
        <v>44429</v>
      </c>
      <c r="Z1026" s="74">
        <f t="shared" ref="Z1026:Z1089" ca="1" si="176">VLOOKUP(AA1026,$I$2:$K$39,3,FALSE)</f>
        <v>44460</v>
      </c>
      <c r="AA1026" s="80" t="str">
        <f t="shared" ref="AA1026:AA1089" ca="1" si="177">LOOKUP(2,1/($J$2:$J$700&lt;=$Y1026)/($K$2:$K$700&gt;=$Y1026),$L$2:$L$700)</f>
        <v>CLV1</v>
      </c>
      <c r="AB1026" s="74">
        <f t="shared" si="169"/>
        <v>44439</v>
      </c>
      <c r="AC1026" s="80" t="str">
        <f t="shared" ref="AC1026:AC1089" si="178">LOOKUP(2,1/($R$2:$R$700&lt;=$Y1026)/($S$2:$S$700&gt;=$Y1026),$T$2:$T$700)</f>
        <v>LCOV1</v>
      </c>
      <c r="AD1026" s="80" t="str">
        <f t="shared" si="170"/>
        <v>CLV1</v>
      </c>
      <c r="AE1026" s="80" t="str">
        <f t="shared" si="171"/>
        <v>LCOX1</v>
      </c>
      <c r="AF1026" s="80" t="str">
        <f t="shared" si="172"/>
        <v>CLX1</v>
      </c>
      <c r="AG1026" s="80" t="str">
        <f t="shared" si="173"/>
        <v>LCOZ1</v>
      </c>
      <c r="AH1026" s="80" t="str">
        <f t="shared" si="174"/>
        <v>LCOF2</v>
      </c>
    </row>
    <row r="1027" spans="25:34" x14ac:dyDescent="0.35">
      <c r="Y1027" s="74">
        <f t="shared" si="175"/>
        <v>44430</v>
      </c>
      <c r="Z1027" s="74">
        <f t="shared" ca="1" si="176"/>
        <v>44460</v>
      </c>
      <c r="AA1027" s="80" t="str">
        <f t="shared" ca="1" si="177"/>
        <v>CLV1</v>
      </c>
      <c r="AB1027" s="74">
        <f t="shared" ref="AB1027:AB1090" si="179">VLOOKUP(AC1027,$Q$2:$S$39,3,FALSE)</f>
        <v>44439</v>
      </c>
      <c r="AC1027" s="80" t="str">
        <f t="shared" si="178"/>
        <v>LCOV1</v>
      </c>
      <c r="AD1027" s="80" t="str">
        <f t="shared" ref="AD1027:AD1090" si="180">CONCATENATE("CL",RIGHT(AC1027,2))</f>
        <v>CLV1</v>
      </c>
      <c r="AE1027" s="80" t="str">
        <f t="shared" ref="AE1027:AE1090" si="181">LOOKUP(2,1/($R$2:$R$700&lt;=$Y1027)/($S$2:$S$700&gt;=$Y1027),$U$2:$U$700)</f>
        <v>LCOX1</v>
      </c>
      <c r="AF1027" s="80" t="str">
        <f t="shared" ref="AF1027:AF1090" si="182">CONCATENATE("CL",RIGHT(AE1027,2))</f>
        <v>CLX1</v>
      </c>
      <c r="AG1027" s="80" t="str">
        <f t="shared" ref="AG1027:AG1090" si="183">LOOKUP(2,1/($R$2:$R$700&lt;=$Y1027)/($S$2:$S$700&gt;=$Y1027),$V$2:$V$700)</f>
        <v>LCOZ1</v>
      </c>
      <c r="AH1027" s="80" t="str">
        <f t="shared" ref="AH1027:AH1090" si="184">LOOKUP(2,1/($R$2:$R$700&lt;=$Y1027)/($S$2:$S$700&gt;=$Y1027),$W$2:$W$700)</f>
        <v>LCOF2</v>
      </c>
    </row>
    <row r="1028" spans="25:34" x14ac:dyDescent="0.35">
      <c r="Y1028" s="74">
        <f t="shared" si="175"/>
        <v>44431</v>
      </c>
      <c r="Z1028" s="74">
        <f t="shared" ca="1" si="176"/>
        <v>44460</v>
      </c>
      <c r="AA1028" s="80" t="str">
        <f t="shared" ca="1" si="177"/>
        <v>CLV1</v>
      </c>
      <c r="AB1028" s="74">
        <f t="shared" si="179"/>
        <v>44439</v>
      </c>
      <c r="AC1028" s="80" t="str">
        <f t="shared" si="178"/>
        <v>LCOV1</v>
      </c>
      <c r="AD1028" s="80" t="str">
        <f t="shared" si="180"/>
        <v>CLV1</v>
      </c>
      <c r="AE1028" s="80" t="str">
        <f t="shared" si="181"/>
        <v>LCOX1</v>
      </c>
      <c r="AF1028" s="80" t="str">
        <f t="shared" si="182"/>
        <v>CLX1</v>
      </c>
      <c r="AG1028" s="80" t="str">
        <f t="shared" si="183"/>
        <v>LCOZ1</v>
      </c>
      <c r="AH1028" s="80" t="str">
        <f t="shared" si="184"/>
        <v>LCOF2</v>
      </c>
    </row>
    <row r="1029" spans="25:34" x14ac:dyDescent="0.35">
      <c r="Y1029" s="74">
        <f t="shared" si="175"/>
        <v>44432</v>
      </c>
      <c r="Z1029" s="74">
        <f t="shared" ca="1" si="176"/>
        <v>44460</v>
      </c>
      <c r="AA1029" s="80" t="str">
        <f t="shared" ca="1" si="177"/>
        <v>CLV1</v>
      </c>
      <c r="AB1029" s="74">
        <f t="shared" si="179"/>
        <v>44439</v>
      </c>
      <c r="AC1029" s="80" t="str">
        <f t="shared" si="178"/>
        <v>LCOV1</v>
      </c>
      <c r="AD1029" s="80" t="str">
        <f t="shared" si="180"/>
        <v>CLV1</v>
      </c>
      <c r="AE1029" s="80" t="str">
        <f t="shared" si="181"/>
        <v>LCOX1</v>
      </c>
      <c r="AF1029" s="80" t="str">
        <f t="shared" si="182"/>
        <v>CLX1</v>
      </c>
      <c r="AG1029" s="80" t="str">
        <f t="shared" si="183"/>
        <v>LCOZ1</v>
      </c>
      <c r="AH1029" s="80" t="str">
        <f t="shared" si="184"/>
        <v>LCOF2</v>
      </c>
    </row>
    <row r="1030" spans="25:34" x14ac:dyDescent="0.35">
      <c r="Y1030" s="74">
        <f t="shared" si="175"/>
        <v>44433</v>
      </c>
      <c r="Z1030" s="74">
        <f t="shared" ca="1" si="176"/>
        <v>44460</v>
      </c>
      <c r="AA1030" s="80" t="str">
        <f t="shared" ca="1" si="177"/>
        <v>CLV1</v>
      </c>
      <c r="AB1030" s="74">
        <f t="shared" si="179"/>
        <v>44439</v>
      </c>
      <c r="AC1030" s="80" t="str">
        <f t="shared" si="178"/>
        <v>LCOV1</v>
      </c>
      <c r="AD1030" s="80" t="str">
        <f t="shared" si="180"/>
        <v>CLV1</v>
      </c>
      <c r="AE1030" s="80" t="str">
        <f t="shared" si="181"/>
        <v>LCOX1</v>
      </c>
      <c r="AF1030" s="80" t="str">
        <f t="shared" si="182"/>
        <v>CLX1</v>
      </c>
      <c r="AG1030" s="80" t="str">
        <f t="shared" si="183"/>
        <v>LCOZ1</v>
      </c>
      <c r="AH1030" s="80" t="str">
        <f t="shared" si="184"/>
        <v>LCOF2</v>
      </c>
    </row>
    <row r="1031" spans="25:34" x14ac:dyDescent="0.35">
      <c r="Y1031" s="74">
        <f t="shared" si="175"/>
        <v>44434</v>
      </c>
      <c r="Z1031" s="74">
        <f t="shared" ca="1" si="176"/>
        <v>44460</v>
      </c>
      <c r="AA1031" s="80" t="str">
        <f t="shared" ca="1" si="177"/>
        <v>CLV1</v>
      </c>
      <c r="AB1031" s="74">
        <f t="shared" si="179"/>
        <v>44439</v>
      </c>
      <c r="AC1031" s="80" t="str">
        <f t="shared" si="178"/>
        <v>LCOV1</v>
      </c>
      <c r="AD1031" s="80" t="str">
        <f t="shared" si="180"/>
        <v>CLV1</v>
      </c>
      <c r="AE1031" s="80" t="str">
        <f t="shared" si="181"/>
        <v>LCOX1</v>
      </c>
      <c r="AF1031" s="80" t="str">
        <f t="shared" si="182"/>
        <v>CLX1</v>
      </c>
      <c r="AG1031" s="80" t="str">
        <f t="shared" si="183"/>
        <v>LCOZ1</v>
      </c>
      <c r="AH1031" s="80" t="str">
        <f t="shared" si="184"/>
        <v>LCOF2</v>
      </c>
    </row>
    <row r="1032" spans="25:34" x14ac:dyDescent="0.35">
      <c r="Y1032" s="74">
        <f t="shared" si="175"/>
        <v>44435</v>
      </c>
      <c r="Z1032" s="74">
        <f t="shared" ca="1" si="176"/>
        <v>44460</v>
      </c>
      <c r="AA1032" s="80" t="str">
        <f t="shared" ca="1" si="177"/>
        <v>CLV1</v>
      </c>
      <c r="AB1032" s="74">
        <f t="shared" si="179"/>
        <v>44439</v>
      </c>
      <c r="AC1032" s="80" t="str">
        <f t="shared" si="178"/>
        <v>LCOV1</v>
      </c>
      <c r="AD1032" s="80" t="str">
        <f t="shared" si="180"/>
        <v>CLV1</v>
      </c>
      <c r="AE1032" s="80" t="str">
        <f t="shared" si="181"/>
        <v>LCOX1</v>
      </c>
      <c r="AF1032" s="80" t="str">
        <f t="shared" si="182"/>
        <v>CLX1</v>
      </c>
      <c r="AG1032" s="80" t="str">
        <f t="shared" si="183"/>
        <v>LCOZ1</v>
      </c>
      <c r="AH1032" s="80" t="str">
        <f t="shared" si="184"/>
        <v>LCOF2</v>
      </c>
    </row>
    <row r="1033" spans="25:34" x14ac:dyDescent="0.35">
      <c r="Y1033" s="74">
        <f t="shared" si="175"/>
        <v>44436</v>
      </c>
      <c r="Z1033" s="74">
        <f t="shared" ca="1" si="176"/>
        <v>44460</v>
      </c>
      <c r="AA1033" s="80" t="str">
        <f t="shared" ca="1" si="177"/>
        <v>CLV1</v>
      </c>
      <c r="AB1033" s="74">
        <f t="shared" si="179"/>
        <v>44439</v>
      </c>
      <c r="AC1033" s="80" t="str">
        <f t="shared" si="178"/>
        <v>LCOV1</v>
      </c>
      <c r="AD1033" s="80" t="str">
        <f t="shared" si="180"/>
        <v>CLV1</v>
      </c>
      <c r="AE1033" s="80" t="str">
        <f t="shared" si="181"/>
        <v>LCOX1</v>
      </c>
      <c r="AF1033" s="80" t="str">
        <f t="shared" si="182"/>
        <v>CLX1</v>
      </c>
      <c r="AG1033" s="80" t="str">
        <f t="shared" si="183"/>
        <v>LCOZ1</v>
      </c>
      <c r="AH1033" s="80" t="str">
        <f t="shared" si="184"/>
        <v>LCOF2</v>
      </c>
    </row>
    <row r="1034" spans="25:34" x14ac:dyDescent="0.35">
      <c r="Y1034" s="74">
        <f t="shared" si="175"/>
        <v>44437</v>
      </c>
      <c r="Z1034" s="74">
        <f t="shared" ca="1" si="176"/>
        <v>44460</v>
      </c>
      <c r="AA1034" s="80" t="str">
        <f t="shared" ca="1" si="177"/>
        <v>CLV1</v>
      </c>
      <c r="AB1034" s="74">
        <f t="shared" si="179"/>
        <v>44439</v>
      </c>
      <c r="AC1034" s="80" t="str">
        <f t="shared" si="178"/>
        <v>LCOV1</v>
      </c>
      <c r="AD1034" s="80" t="str">
        <f t="shared" si="180"/>
        <v>CLV1</v>
      </c>
      <c r="AE1034" s="80" t="str">
        <f t="shared" si="181"/>
        <v>LCOX1</v>
      </c>
      <c r="AF1034" s="80" t="str">
        <f t="shared" si="182"/>
        <v>CLX1</v>
      </c>
      <c r="AG1034" s="80" t="str">
        <f t="shared" si="183"/>
        <v>LCOZ1</v>
      </c>
      <c r="AH1034" s="80" t="str">
        <f t="shared" si="184"/>
        <v>LCOF2</v>
      </c>
    </row>
    <row r="1035" spans="25:34" x14ac:dyDescent="0.35">
      <c r="Y1035" s="74">
        <f t="shared" si="175"/>
        <v>44438</v>
      </c>
      <c r="Z1035" s="74">
        <f t="shared" ca="1" si="176"/>
        <v>44460</v>
      </c>
      <c r="AA1035" s="80" t="str">
        <f t="shared" ca="1" si="177"/>
        <v>CLV1</v>
      </c>
      <c r="AB1035" s="74">
        <f t="shared" si="179"/>
        <v>44439</v>
      </c>
      <c r="AC1035" s="80" t="str">
        <f t="shared" si="178"/>
        <v>LCOV1</v>
      </c>
      <c r="AD1035" s="80" t="str">
        <f t="shared" si="180"/>
        <v>CLV1</v>
      </c>
      <c r="AE1035" s="80" t="str">
        <f t="shared" si="181"/>
        <v>LCOX1</v>
      </c>
      <c r="AF1035" s="80" t="str">
        <f t="shared" si="182"/>
        <v>CLX1</v>
      </c>
      <c r="AG1035" s="80" t="str">
        <f t="shared" si="183"/>
        <v>LCOZ1</v>
      </c>
      <c r="AH1035" s="80" t="str">
        <f t="shared" si="184"/>
        <v>LCOF2</v>
      </c>
    </row>
    <row r="1036" spans="25:34" x14ac:dyDescent="0.35">
      <c r="Y1036" s="74">
        <f t="shared" si="175"/>
        <v>44439</v>
      </c>
      <c r="Z1036" s="74">
        <f t="shared" ca="1" si="176"/>
        <v>44460</v>
      </c>
      <c r="AA1036" s="80" t="str">
        <f t="shared" ca="1" si="177"/>
        <v>CLV1</v>
      </c>
      <c r="AB1036" s="74">
        <f t="shared" si="179"/>
        <v>44439</v>
      </c>
      <c r="AC1036" s="80" t="str">
        <f t="shared" si="178"/>
        <v>LCOV1</v>
      </c>
      <c r="AD1036" s="80" t="str">
        <f t="shared" si="180"/>
        <v>CLV1</v>
      </c>
      <c r="AE1036" s="80" t="str">
        <f t="shared" si="181"/>
        <v>LCOX1</v>
      </c>
      <c r="AF1036" s="80" t="str">
        <f t="shared" si="182"/>
        <v>CLX1</v>
      </c>
      <c r="AG1036" s="80" t="str">
        <f t="shared" si="183"/>
        <v>LCOZ1</v>
      </c>
      <c r="AH1036" s="80" t="str">
        <f t="shared" si="184"/>
        <v>LCOF2</v>
      </c>
    </row>
    <row r="1037" spans="25:34" x14ac:dyDescent="0.35">
      <c r="Y1037" s="74">
        <f t="shared" si="175"/>
        <v>44440</v>
      </c>
      <c r="Z1037" s="74">
        <f t="shared" ca="1" si="176"/>
        <v>44460</v>
      </c>
      <c r="AA1037" s="80" t="str">
        <f t="shared" ca="1" si="177"/>
        <v>CLV1</v>
      </c>
      <c r="AB1037" s="74">
        <f t="shared" si="179"/>
        <v>44469</v>
      </c>
      <c r="AC1037" s="80" t="str">
        <f t="shared" si="178"/>
        <v>LCOX1</v>
      </c>
      <c r="AD1037" s="80" t="str">
        <f t="shared" si="180"/>
        <v>CLX1</v>
      </c>
      <c r="AE1037" s="80" t="str">
        <f t="shared" si="181"/>
        <v>LCOZ1</v>
      </c>
      <c r="AF1037" s="80" t="str">
        <f t="shared" si="182"/>
        <v>CLZ1</v>
      </c>
      <c r="AG1037" s="80" t="str">
        <f t="shared" si="183"/>
        <v>LCOF2</v>
      </c>
      <c r="AH1037" s="80" t="str">
        <f t="shared" si="184"/>
        <v>LCOG2</v>
      </c>
    </row>
    <row r="1038" spans="25:34" x14ac:dyDescent="0.35">
      <c r="Y1038" s="74">
        <f t="shared" si="175"/>
        <v>44441</v>
      </c>
      <c r="Z1038" s="74">
        <f t="shared" ca="1" si="176"/>
        <v>44460</v>
      </c>
      <c r="AA1038" s="80" t="str">
        <f t="shared" ca="1" si="177"/>
        <v>CLV1</v>
      </c>
      <c r="AB1038" s="74">
        <f t="shared" si="179"/>
        <v>44469</v>
      </c>
      <c r="AC1038" s="80" t="str">
        <f t="shared" si="178"/>
        <v>LCOX1</v>
      </c>
      <c r="AD1038" s="80" t="str">
        <f t="shared" si="180"/>
        <v>CLX1</v>
      </c>
      <c r="AE1038" s="80" t="str">
        <f t="shared" si="181"/>
        <v>LCOZ1</v>
      </c>
      <c r="AF1038" s="80" t="str">
        <f t="shared" si="182"/>
        <v>CLZ1</v>
      </c>
      <c r="AG1038" s="80" t="str">
        <f t="shared" si="183"/>
        <v>LCOF2</v>
      </c>
      <c r="AH1038" s="80" t="str">
        <f t="shared" si="184"/>
        <v>LCOG2</v>
      </c>
    </row>
    <row r="1039" spans="25:34" x14ac:dyDescent="0.35">
      <c r="Y1039" s="74">
        <f t="shared" si="175"/>
        <v>44442</v>
      </c>
      <c r="Z1039" s="74">
        <f t="shared" ca="1" si="176"/>
        <v>44460</v>
      </c>
      <c r="AA1039" s="80" t="str">
        <f t="shared" ca="1" si="177"/>
        <v>CLV1</v>
      </c>
      <c r="AB1039" s="74">
        <f t="shared" si="179"/>
        <v>44469</v>
      </c>
      <c r="AC1039" s="80" t="str">
        <f t="shared" si="178"/>
        <v>LCOX1</v>
      </c>
      <c r="AD1039" s="80" t="str">
        <f t="shared" si="180"/>
        <v>CLX1</v>
      </c>
      <c r="AE1039" s="80" t="str">
        <f t="shared" si="181"/>
        <v>LCOZ1</v>
      </c>
      <c r="AF1039" s="80" t="str">
        <f t="shared" si="182"/>
        <v>CLZ1</v>
      </c>
      <c r="AG1039" s="80" t="str">
        <f t="shared" si="183"/>
        <v>LCOF2</v>
      </c>
      <c r="AH1039" s="80" t="str">
        <f t="shared" si="184"/>
        <v>LCOG2</v>
      </c>
    </row>
    <row r="1040" spans="25:34" x14ac:dyDescent="0.35">
      <c r="Y1040" s="74">
        <f t="shared" si="175"/>
        <v>44443</v>
      </c>
      <c r="Z1040" s="74">
        <f t="shared" ca="1" si="176"/>
        <v>44460</v>
      </c>
      <c r="AA1040" s="80" t="str">
        <f t="shared" ca="1" si="177"/>
        <v>CLV1</v>
      </c>
      <c r="AB1040" s="74">
        <f t="shared" si="179"/>
        <v>44469</v>
      </c>
      <c r="AC1040" s="80" t="str">
        <f t="shared" si="178"/>
        <v>LCOX1</v>
      </c>
      <c r="AD1040" s="80" t="str">
        <f t="shared" si="180"/>
        <v>CLX1</v>
      </c>
      <c r="AE1040" s="80" t="str">
        <f t="shared" si="181"/>
        <v>LCOZ1</v>
      </c>
      <c r="AF1040" s="80" t="str">
        <f t="shared" si="182"/>
        <v>CLZ1</v>
      </c>
      <c r="AG1040" s="80" t="str">
        <f t="shared" si="183"/>
        <v>LCOF2</v>
      </c>
      <c r="AH1040" s="80" t="str">
        <f t="shared" si="184"/>
        <v>LCOG2</v>
      </c>
    </row>
    <row r="1041" spans="25:34" x14ac:dyDescent="0.35">
      <c r="Y1041" s="74">
        <f t="shared" si="175"/>
        <v>44444</v>
      </c>
      <c r="Z1041" s="74">
        <f t="shared" ca="1" si="176"/>
        <v>44460</v>
      </c>
      <c r="AA1041" s="80" t="str">
        <f t="shared" ca="1" si="177"/>
        <v>CLV1</v>
      </c>
      <c r="AB1041" s="74">
        <f t="shared" si="179"/>
        <v>44469</v>
      </c>
      <c r="AC1041" s="80" t="str">
        <f t="shared" si="178"/>
        <v>LCOX1</v>
      </c>
      <c r="AD1041" s="80" t="str">
        <f t="shared" si="180"/>
        <v>CLX1</v>
      </c>
      <c r="AE1041" s="80" t="str">
        <f t="shared" si="181"/>
        <v>LCOZ1</v>
      </c>
      <c r="AF1041" s="80" t="str">
        <f t="shared" si="182"/>
        <v>CLZ1</v>
      </c>
      <c r="AG1041" s="80" t="str">
        <f t="shared" si="183"/>
        <v>LCOF2</v>
      </c>
      <c r="AH1041" s="80" t="str">
        <f t="shared" si="184"/>
        <v>LCOG2</v>
      </c>
    </row>
    <row r="1042" spans="25:34" x14ac:dyDescent="0.35">
      <c r="Y1042" s="74">
        <f t="shared" si="175"/>
        <v>44445</v>
      </c>
      <c r="Z1042" s="74">
        <f t="shared" ca="1" si="176"/>
        <v>44460</v>
      </c>
      <c r="AA1042" s="80" t="str">
        <f t="shared" ca="1" si="177"/>
        <v>CLV1</v>
      </c>
      <c r="AB1042" s="74">
        <f t="shared" si="179"/>
        <v>44469</v>
      </c>
      <c r="AC1042" s="80" t="str">
        <f t="shared" si="178"/>
        <v>LCOX1</v>
      </c>
      <c r="AD1042" s="80" t="str">
        <f t="shared" si="180"/>
        <v>CLX1</v>
      </c>
      <c r="AE1042" s="80" t="str">
        <f t="shared" si="181"/>
        <v>LCOZ1</v>
      </c>
      <c r="AF1042" s="80" t="str">
        <f t="shared" si="182"/>
        <v>CLZ1</v>
      </c>
      <c r="AG1042" s="80" t="str">
        <f t="shared" si="183"/>
        <v>LCOF2</v>
      </c>
      <c r="AH1042" s="80" t="str">
        <f t="shared" si="184"/>
        <v>LCOG2</v>
      </c>
    </row>
    <row r="1043" spans="25:34" x14ac:dyDescent="0.35">
      <c r="Y1043" s="74">
        <f t="shared" si="175"/>
        <v>44446</v>
      </c>
      <c r="Z1043" s="74">
        <f t="shared" ca="1" si="176"/>
        <v>44460</v>
      </c>
      <c r="AA1043" s="80" t="str">
        <f t="shared" ca="1" si="177"/>
        <v>CLV1</v>
      </c>
      <c r="AB1043" s="74">
        <f t="shared" si="179"/>
        <v>44469</v>
      </c>
      <c r="AC1043" s="80" t="str">
        <f t="shared" si="178"/>
        <v>LCOX1</v>
      </c>
      <c r="AD1043" s="80" t="str">
        <f t="shared" si="180"/>
        <v>CLX1</v>
      </c>
      <c r="AE1043" s="80" t="str">
        <f t="shared" si="181"/>
        <v>LCOZ1</v>
      </c>
      <c r="AF1043" s="80" t="str">
        <f t="shared" si="182"/>
        <v>CLZ1</v>
      </c>
      <c r="AG1043" s="80" t="str">
        <f t="shared" si="183"/>
        <v>LCOF2</v>
      </c>
      <c r="AH1043" s="80" t="str">
        <f t="shared" si="184"/>
        <v>LCOG2</v>
      </c>
    </row>
    <row r="1044" spans="25:34" x14ac:dyDescent="0.35">
      <c r="Y1044" s="74">
        <f t="shared" si="175"/>
        <v>44447</v>
      </c>
      <c r="Z1044" s="74">
        <f t="shared" ca="1" si="176"/>
        <v>44460</v>
      </c>
      <c r="AA1044" s="80" t="str">
        <f t="shared" ca="1" si="177"/>
        <v>CLV1</v>
      </c>
      <c r="AB1044" s="74">
        <f t="shared" si="179"/>
        <v>44469</v>
      </c>
      <c r="AC1044" s="80" t="str">
        <f t="shared" si="178"/>
        <v>LCOX1</v>
      </c>
      <c r="AD1044" s="80" t="str">
        <f t="shared" si="180"/>
        <v>CLX1</v>
      </c>
      <c r="AE1044" s="80" t="str">
        <f t="shared" si="181"/>
        <v>LCOZ1</v>
      </c>
      <c r="AF1044" s="80" t="str">
        <f t="shared" si="182"/>
        <v>CLZ1</v>
      </c>
      <c r="AG1044" s="80" t="str">
        <f t="shared" si="183"/>
        <v>LCOF2</v>
      </c>
      <c r="AH1044" s="80" t="str">
        <f t="shared" si="184"/>
        <v>LCOG2</v>
      </c>
    </row>
    <row r="1045" spans="25:34" x14ac:dyDescent="0.35">
      <c r="Y1045" s="74">
        <f t="shared" si="175"/>
        <v>44448</v>
      </c>
      <c r="Z1045" s="74">
        <f t="shared" ca="1" si="176"/>
        <v>44460</v>
      </c>
      <c r="AA1045" s="80" t="str">
        <f t="shared" ca="1" si="177"/>
        <v>CLV1</v>
      </c>
      <c r="AB1045" s="74">
        <f t="shared" si="179"/>
        <v>44469</v>
      </c>
      <c r="AC1045" s="80" t="str">
        <f t="shared" si="178"/>
        <v>LCOX1</v>
      </c>
      <c r="AD1045" s="80" t="str">
        <f t="shared" si="180"/>
        <v>CLX1</v>
      </c>
      <c r="AE1045" s="80" t="str">
        <f t="shared" si="181"/>
        <v>LCOZ1</v>
      </c>
      <c r="AF1045" s="80" t="str">
        <f t="shared" si="182"/>
        <v>CLZ1</v>
      </c>
      <c r="AG1045" s="80" t="str">
        <f t="shared" si="183"/>
        <v>LCOF2</v>
      </c>
      <c r="AH1045" s="80" t="str">
        <f t="shared" si="184"/>
        <v>LCOG2</v>
      </c>
    </row>
    <row r="1046" spans="25:34" x14ac:dyDescent="0.35">
      <c r="Y1046" s="74">
        <f t="shared" si="175"/>
        <v>44449</v>
      </c>
      <c r="Z1046" s="74">
        <f t="shared" ca="1" si="176"/>
        <v>44460</v>
      </c>
      <c r="AA1046" s="80" t="str">
        <f t="shared" ca="1" si="177"/>
        <v>CLV1</v>
      </c>
      <c r="AB1046" s="74">
        <f t="shared" si="179"/>
        <v>44469</v>
      </c>
      <c r="AC1046" s="80" t="str">
        <f t="shared" si="178"/>
        <v>LCOX1</v>
      </c>
      <c r="AD1046" s="80" t="str">
        <f t="shared" si="180"/>
        <v>CLX1</v>
      </c>
      <c r="AE1046" s="80" t="str">
        <f t="shared" si="181"/>
        <v>LCOZ1</v>
      </c>
      <c r="AF1046" s="80" t="str">
        <f t="shared" si="182"/>
        <v>CLZ1</v>
      </c>
      <c r="AG1046" s="80" t="str">
        <f t="shared" si="183"/>
        <v>LCOF2</v>
      </c>
      <c r="AH1046" s="80" t="str">
        <f t="shared" si="184"/>
        <v>LCOG2</v>
      </c>
    </row>
    <row r="1047" spans="25:34" x14ac:dyDescent="0.35">
      <c r="Y1047" s="74">
        <f t="shared" si="175"/>
        <v>44450</v>
      </c>
      <c r="Z1047" s="74">
        <f t="shared" ca="1" si="176"/>
        <v>44460</v>
      </c>
      <c r="AA1047" s="80" t="str">
        <f t="shared" ca="1" si="177"/>
        <v>CLV1</v>
      </c>
      <c r="AB1047" s="74">
        <f t="shared" si="179"/>
        <v>44469</v>
      </c>
      <c r="AC1047" s="80" t="str">
        <f t="shared" si="178"/>
        <v>LCOX1</v>
      </c>
      <c r="AD1047" s="80" t="str">
        <f t="shared" si="180"/>
        <v>CLX1</v>
      </c>
      <c r="AE1047" s="80" t="str">
        <f t="shared" si="181"/>
        <v>LCOZ1</v>
      </c>
      <c r="AF1047" s="80" t="str">
        <f t="shared" si="182"/>
        <v>CLZ1</v>
      </c>
      <c r="AG1047" s="80" t="str">
        <f t="shared" si="183"/>
        <v>LCOF2</v>
      </c>
      <c r="AH1047" s="80" t="str">
        <f t="shared" si="184"/>
        <v>LCOG2</v>
      </c>
    </row>
    <row r="1048" spans="25:34" x14ac:dyDescent="0.35">
      <c r="Y1048" s="74">
        <f t="shared" si="175"/>
        <v>44451</v>
      </c>
      <c r="Z1048" s="74">
        <f t="shared" ca="1" si="176"/>
        <v>44460</v>
      </c>
      <c r="AA1048" s="80" t="str">
        <f t="shared" ca="1" si="177"/>
        <v>CLV1</v>
      </c>
      <c r="AB1048" s="74">
        <f t="shared" si="179"/>
        <v>44469</v>
      </c>
      <c r="AC1048" s="80" t="str">
        <f t="shared" si="178"/>
        <v>LCOX1</v>
      </c>
      <c r="AD1048" s="80" t="str">
        <f t="shared" si="180"/>
        <v>CLX1</v>
      </c>
      <c r="AE1048" s="80" t="str">
        <f t="shared" si="181"/>
        <v>LCOZ1</v>
      </c>
      <c r="AF1048" s="80" t="str">
        <f t="shared" si="182"/>
        <v>CLZ1</v>
      </c>
      <c r="AG1048" s="80" t="str">
        <f t="shared" si="183"/>
        <v>LCOF2</v>
      </c>
      <c r="AH1048" s="80" t="str">
        <f t="shared" si="184"/>
        <v>LCOG2</v>
      </c>
    </row>
    <row r="1049" spans="25:34" x14ac:dyDescent="0.35">
      <c r="Y1049" s="74">
        <f t="shared" si="175"/>
        <v>44452</v>
      </c>
      <c r="Z1049" s="74">
        <f t="shared" ca="1" si="176"/>
        <v>44460</v>
      </c>
      <c r="AA1049" s="80" t="str">
        <f t="shared" ca="1" si="177"/>
        <v>CLV1</v>
      </c>
      <c r="AB1049" s="74">
        <f t="shared" si="179"/>
        <v>44469</v>
      </c>
      <c r="AC1049" s="80" t="str">
        <f t="shared" si="178"/>
        <v>LCOX1</v>
      </c>
      <c r="AD1049" s="80" t="str">
        <f t="shared" si="180"/>
        <v>CLX1</v>
      </c>
      <c r="AE1049" s="80" t="str">
        <f t="shared" si="181"/>
        <v>LCOZ1</v>
      </c>
      <c r="AF1049" s="80" t="str">
        <f t="shared" si="182"/>
        <v>CLZ1</v>
      </c>
      <c r="AG1049" s="80" t="str">
        <f t="shared" si="183"/>
        <v>LCOF2</v>
      </c>
      <c r="AH1049" s="80" t="str">
        <f t="shared" si="184"/>
        <v>LCOG2</v>
      </c>
    </row>
    <row r="1050" spans="25:34" x14ac:dyDescent="0.35">
      <c r="Y1050" s="74">
        <f t="shared" si="175"/>
        <v>44453</v>
      </c>
      <c r="Z1050" s="74">
        <f t="shared" ca="1" si="176"/>
        <v>44460</v>
      </c>
      <c r="AA1050" s="80" t="str">
        <f t="shared" ca="1" si="177"/>
        <v>CLV1</v>
      </c>
      <c r="AB1050" s="74">
        <f t="shared" si="179"/>
        <v>44469</v>
      </c>
      <c r="AC1050" s="80" t="str">
        <f t="shared" si="178"/>
        <v>LCOX1</v>
      </c>
      <c r="AD1050" s="80" t="str">
        <f t="shared" si="180"/>
        <v>CLX1</v>
      </c>
      <c r="AE1050" s="80" t="str">
        <f t="shared" si="181"/>
        <v>LCOZ1</v>
      </c>
      <c r="AF1050" s="80" t="str">
        <f t="shared" si="182"/>
        <v>CLZ1</v>
      </c>
      <c r="AG1050" s="80" t="str">
        <f t="shared" si="183"/>
        <v>LCOF2</v>
      </c>
      <c r="AH1050" s="80" t="str">
        <f t="shared" si="184"/>
        <v>LCOG2</v>
      </c>
    </row>
    <row r="1051" spans="25:34" x14ac:dyDescent="0.35">
      <c r="Y1051" s="74">
        <f t="shared" si="175"/>
        <v>44454</v>
      </c>
      <c r="Z1051" s="74">
        <f t="shared" ca="1" si="176"/>
        <v>44460</v>
      </c>
      <c r="AA1051" s="80" t="str">
        <f t="shared" ca="1" si="177"/>
        <v>CLV1</v>
      </c>
      <c r="AB1051" s="74">
        <f t="shared" si="179"/>
        <v>44469</v>
      </c>
      <c r="AC1051" s="80" t="str">
        <f t="shared" si="178"/>
        <v>LCOX1</v>
      </c>
      <c r="AD1051" s="80" t="str">
        <f t="shared" si="180"/>
        <v>CLX1</v>
      </c>
      <c r="AE1051" s="80" t="str">
        <f t="shared" si="181"/>
        <v>LCOZ1</v>
      </c>
      <c r="AF1051" s="80" t="str">
        <f t="shared" si="182"/>
        <v>CLZ1</v>
      </c>
      <c r="AG1051" s="80" t="str">
        <f t="shared" si="183"/>
        <v>LCOF2</v>
      </c>
      <c r="AH1051" s="80" t="str">
        <f t="shared" si="184"/>
        <v>LCOG2</v>
      </c>
    </row>
    <row r="1052" spans="25:34" x14ac:dyDescent="0.35">
      <c r="Y1052" s="74">
        <f t="shared" si="175"/>
        <v>44455</v>
      </c>
      <c r="Z1052" s="74">
        <f t="shared" ca="1" si="176"/>
        <v>44460</v>
      </c>
      <c r="AA1052" s="80" t="str">
        <f t="shared" ca="1" si="177"/>
        <v>CLV1</v>
      </c>
      <c r="AB1052" s="74">
        <f t="shared" si="179"/>
        <v>44469</v>
      </c>
      <c r="AC1052" s="80" t="str">
        <f t="shared" si="178"/>
        <v>LCOX1</v>
      </c>
      <c r="AD1052" s="80" t="str">
        <f t="shared" si="180"/>
        <v>CLX1</v>
      </c>
      <c r="AE1052" s="80" t="str">
        <f t="shared" si="181"/>
        <v>LCOZ1</v>
      </c>
      <c r="AF1052" s="80" t="str">
        <f t="shared" si="182"/>
        <v>CLZ1</v>
      </c>
      <c r="AG1052" s="80" t="str">
        <f t="shared" si="183"/>
        <v>LCOF2</v>
      </c>
      <c r="AH1052" s="80" t="str">
        <f t="shared" si="184"/>
        <v>LCOG2</v>
      </c>
    </row>
    <row r="1053" spans="25:34" x14ac:dyDescent="0.35">
      <c r="Y1053" s="74">
        <f t="shared" si="175"/>
        <v>44456</v>
      </c>
      <c r="Z1053" s="74">
        <f t="shared" ca="1" si="176"/>
        <v>44460</v>
      </c>
      <c r="AA1053" s="80" t="str">
        <f t="shared" ca="1" si="177"/>
        <v>CLV1</v>
      </c>
      <c r="AB1053" s="74">
        <f t="shared" si="179"/>
        <v>44469</v>
      </c>
      <c r="AC1053" s="80" t="str">
        <f t="shared" si="178"/>
        <v>LCOX1</v>
      </c>
      <c r="AD1053" s="80" t="str">
        <f t="shared" si="180"/>
        <v>CLX1</v>
      </c>
      <c r="AE1053" s="80" t="str">
        <f t="shared" si="181"/>
        <v>LCOZ1</v>
      </c>
      <c r="AF1053" s="80" t="str">
        <f t="shared" si="182"/>
        <v>CLZ1</v>
      </c>
      <c r="AG1053" s="80" t="str">
        <f t="shared" si="183"/>
        <v>LCOF2</v>
      </c>
      <c r="AH1053" s="80" t="str">
        <f t="shared" si="184"/>
        <v>LCOG2</v>
      </c>
    </row>
    <row r="1054" spans="25:34" x14ac:dyDescent="0.35">
      <c r="Y1054" s="74">
        <f t="shared" si="175"/>
        <v>44457</v>
      </c>
      <c r="Z1054" s="74">
        <f t="shared" ca="1" si="176"/>
        <v>44460</v>
      </c>
      <c r="AA1054" s="80" t="str">
        <f t="shared" ca="1" si="177"/>
        <v>CLV1</v>
      </c>
      <c r="AB1054" s="74">
        <f t="shared" si="179"/>
        <v>44469</v>
      </c>
      <c r="AC1054" s="80" t="str">
        <f t="shared" si="178"/>
        <v>LCOX1</v>
      </c>
      <c r="AD1054" s="80" t="str">
        <f t="shared" si="180"/>
        <v>CLX1</v>
      </c>
      <c r="AE1054" s="80" t="str">
        <f t="shared" si="181"/>
        <v>LCOZ1</v>
      </c>
      <c r="AF1054" s="80" t="str">
        <f t="shared" si="182"/>
        <v>CLZ1</v>
      </c>
      <c r="AG1054" s="80" t="str">
        <f t="shared" si="183"/>
        <v>LCOF2</v>
      </c>
      <c r="AH1054" s="80" t="str">
        <f t="shared" si="184"/>
        <v>LCOG2</v>
      </c>
    </row>
    <row r="1055" spans="25:34" x14ac:dyDescent="0.35">
      <c r="Y1055" s="74">
        <f t="shared" si="175"/>
        <v>44458</v>
      </c>
      <c r="Z1055" s="74">
        <f t="shared" ca="1" si="176"/>
        <v>44460</v>
      </c>
      <c r="AA1055" s="80" t="str">
        <f t="shared" ca="1" si="177"/>
        <v>CLV1</v>
      </c>
      <c r="AB1055" s="74">
        <f t="shared" si="179"/>
        <v>44469</v>
      </c>
      <c r="AC1055" s="80" t="str">
        <f t="shared" si="178"/>
        <v>LCOX1</v>
      </c>
      <c r="AD1055" s="80" t="str">
        <f t="shared" si="180"/>
        <v>CLX1</v>
      </c>
      <c r="AE1055" s="80" t="str">
        <f t="shared" si="181"/>
        <v>LCOZ1</v>
      </c>
      <c r="AF1055" s="80" t="str">
        <f t="shared" si="182"/>
        <v>CLZ1</v>
      </c>
      <c r="AG1055" s="80" t="str">
        <f t="shared" si="183"/>
        <v>LCOF2</v>
      </c>
      <c r="AH1055" s="80" t="str">
        <f t="shared" si="184"/>
        <v>LCOG2</v>
      </c>
    </row>
    <row r="1056" spans="25:34" x14ac:dyDescent="0.35">
      <c r="Y1056" s="74">
        <f t="shared" si="175"/>
        <v>44459</v>
      </c>
      <c r="Z1056" s="74">
        <f t="shared" ca="1" si="176"/>
        <v>44460</v>
      </c>
      <c r="AA1056" s="80" t="str">
        <f t="shared" ca="1" si="177"/>
        <v>CLV1</v>
      </c>
      <c r="AB1056" s="74">
        <f t="shared" si="179"/>
        <v>44469</v>
      </c>
      <c r="AC1056" s="80" t="str">
        <f t="shared" si="178"/>
        <v>LCOX1</v>
      </c>
      <c r="AD1056" s="80" t="str">
        <f t="shared" si="180"/>
        <v>CLX1</v>
      </c>
      <c r="AE1056" s="80" t="str">
        <f t="shared" si="181"/>
        <v>LCOZ1</v>
      </c>
      <c r="AF1056" s="80" t="str">
        <f t="shared" si="182"/>
        <v>CLZ1</v>
      </c>
      <c r="AG1056" s="80" t="str">
        <f t="shared" si="183"/>
        <v>LCOF2</v>
      </c>
      <c r="AH1056" s="80" t="str">
        <f t="shared" si="184"/>
        <v>LCOG2</v>
      </c>
    </row>
    <row r="1057" spans="25:34" x14ac:dyDescent="0.35">
      <c r="Y1057" s="74">
        <f t="shared" ref="Y1057:Y1120" si="185">Y1056+1</f>
        <v>44460</v>
      </c>
      <c r="Z1057" s="74">
        <f t="shared" ca="1" si="176"/>
        <v>44460</v>
      </c>
      <c r="AA1057" s="80" t="str">
        <f t="shared" ca="1" si="177"/>
        <v>CLV1</v>
      </c>
      <c r="AB1057" s="74">
        <f t="shared" si="179"/>
        <v>44469</v>
      </c>
      <c r="AC1057" s="80" t="str">
        <f t="shared" si="178"/>
        <v>LCOX1</v>
      </c>
      <c r="AD1057" s="80" t="str">
        <f t="shared" si="180"/>
        <v>CLX1</v>
      </c>
      <c r="AE1057" s="80" t="str">
        <f t="shared" si="181"/>
        <v>LCOZ1</v>
      </c>
      <c r="AF1057" s="80" t="str">
        <f t="shared" si="182"/>
        <v>CLZ1</v>
      </c>
      <c r="AG1057" s="80" t="str">
        <f t="shared" si="183"/>
        <v>LCOF2</v>
      </c>
      <c r="AH1057" s="80" t="str">
        <f t="shared" si="184"/>
        <v>LCOG2</v>
      </c>
    </row>
    <row r="1058" spans="25:34" x14ac:dyDescent="0.35">
      <c r="Y1058" s="74">
        <f t="shared" si="185"/>
        <v>44461</v>
      </c>
      <c r="Z1058" s="74">
        <f t="shared" ca="1" si="176"/>
        <v>44489</v>
      </c>
      <c r="AA1058" s="80" t="str">
        <f t="shared" ca="1" si="177"/>
        <v>CLX1</v>
      </c>
      <c r="AB1058" s="74">
        <f t="shared" si="179"/>
        <v>44469</v>
      </c>
      <c r="AC1058" s="80" t="str">
        <f t="shared" si="178"/>
        <v>LCOX1</v>
      </c>
      <c r="AD1058" s="80" t="str">
        <f t="shared" si="180"/>
        <v>CLX1</v>
      </c>
      <c r="AE1058" s="80" t="str">
        <f t="shared" si="181"/>
        <v>LCOZ1</v>
      </c>
      <c r="AF1058" s="80" t="str">
        <f t="shared" si="182"/>
        <v>CLZ1</v>
      </c>
      <c r="AG1058" s="80" t="str">
        <f t="shared" si="183"/>
        <v>LCOF2</v>
      </c>
      <c r="AH1058" s="80" t="str">
        <f t="shared" si="184"/>
        <v>LCOG2</v>
      </c>
    </row>
    <row r="1059" spans="25:34" x14ac:dyDescent="0.35">
      <c r="Y1059" s="74">
        <f t="shared" si="185"/>
        <v>44462</v>
      </c>
      <c r="Z1059" s="74">
        <f t="shared" ca="1" si="176"/>
        <v>44489</v>
      </c>
      <c r="AA1059" s="80" t="str">
        <f t="shared" ca="1" si="177"/>
        <v>CLX1</v>
      </c>
      <c r="AB1059" s="74">
        <f t="shared" si="179"/>
        <v>44469</v>
      </c>
      <c r="AC1059" s="80" t="str">
        <f t="shared" si="178"/>
        <v>LCOX1</v>
      </c>
      <c r="AD1059" s="80" t="str">
        <f t="shared" si="180"/>
        <v>CLX1</v>
      </c>
      <c r="AE1059" s="80" t="str">
        <f t="shared" si="181"/>
        <v>LCOZ1</v>
      </c>
      <c r="AF1059" s="80" t="str">
        <f t="shared" si="182"/>
        <v>CLZ1</v>
      </c>
      <c r="AG1059" s="80" t="str">
        <f t="shared" si="183"/>
        <v>LCOF2</v>
      </c>
      <c r="AH1059" s="80" t="str">
        <f t="shared" si="184"/>
        <v>LCOG2</v>
      </c>
    </row>
    <row r="1060" spans="25:34" x14ac:dyDescent="0.35">
      <c r="Y1060" s="74">
        <f t="shared" si="185"/>
        <v>44463</v>
      </c>
      <c r="Z1060" s="74">
        <f t="shared" ca="1" si="176"/>
        <v>44489</v>
      </c>
      <c r="AA1060" s="80" t="str">
        <f t="shared" ca="1" si="177"/>
        <v>CLX1</v>
      </c>
      <c r="AB1060" s="74">
        <f t="shared" si="179"/>
        <v>44469</v>
      </c>
      <c r="AC1060" s="80" t="str">
        <f t="shared" si="178"/>
        <v>LCOX1</v>
      </c>
      <c r="AD1060" s="80" t="str">
        <f t="shared" si="180"/>
        <v>CLX1</v>
      </c>
      <c r="AE1060" s="80" t="str">
        <f t="shared" si="181"/>
        <v>LCOZ1</v>
      </c>
      <c r="AF1060" s="80" t="str">
        <f t="shared" si="182"/>
        <v>CLZ1</v>
      </c>
      <c r="AG1060" s="80" t="str">
        <f t="shared" si="183"/>
        <v>LCOF2</v>
      </c>
      <c r="AH1060" s="80" t="str">
        <f t="shared" si="184"/>
        <v>LCOG2</v>
      </c>
    </row>
    <row r="1061" spans="25:34" x14ac:dyDescent="0.35">
      <c r="Y1061" s="74">
        <f t="shared" si="185"/>
        <v>44464</v>
      </c>
      <c r="Z1061" s="74">
        <f t="shared" ca="1" si="176"/>
        <v>44489</v>
      </c>
      <c r="AA1061" s="80" t="str">
        <f t="shared" ca="1" si="177"/>
        <v>CLX1</v>
      </c>
      <c r="AB1061" s="74">
        <f t="shared" si="179"/>
        <v>44469</v>
      </c>
      <c r="AC1061" s="80" t="str">
        <f t="shared" si="178"/>
        <v>LCOX1</v>
      </c>
      <c r="AD1061" s="80" t="str">
        <f t="shared" si="180"/>
        <v>CLX1</v>
      </c>
      <c r="AE1061" s="80" t="str">
        <f t="shared" si="181"/>
        <v>LCOZ1</v>
      </c>
      <c r="AF1061" s="80" t="str">
        <f t="shared" si="182"/>
        <v>CLZ1</v>
      </c>
      <c r="AG1061" s="80" t="str">
        <f t="shared" si="183"/>
        <v>LCOF2</v>
      </c>
      <c r="AH1061" s="80" t="str">
        <f t="shared" si="184"/>
        <v>LCOG2</v>
      </c>
    </row>
    <row r="1062" spans="25:34" x14ac:dyDescent="0.35">
      <c r="Y1062" s="74">
        <f t="shared" si="185"/>
        <v>44465</v>
      </c>
      <c r="Z1062" s="74">
        <f t="shared" ca="1" si="176"/>
        <v>44489</v>
      </c>
      <c r="AA1062" s="80" t="str">
        <f t="shared" ca="1" si="177"/>
        <v>CLX1</v>
      </c>
      <c r="AB1062" s="74">
        <f t="shared" si="179"/>
        <v>44469</v>
      </c>
      <c r="AC1062" s="80" t="str">
        <f t="shared" si="178"/>
        <v>LCOX1</v>
      </c>
      <c r="AD1062" s="80" t="str">
        <f t="shared" si="180"/>
        <v>CLX1</v>
      </c>
      <c r="AE1062" s="80" t="str">
        <f t="shared" si="181"/>
        <v>LCOZ1</v>
      </c>
      <c r="AF1062" s="80" t="str">
        <f t="shared" si="182"/>
        <v>CLZ1</v>
      </c>
      <c r="AG1062" s="80" t="str">
        <f t="shared" si="183"/>
        <v>LCOF2</v>
      </c>
      <c r="AH1062" s="80" t="str">
        <f t="shared" si="184"/>
        <v>LCOG2</v>
      </c>
    </row>
    <row r="1063" spans="25:34" x14ac:dyDescent="0.35">
      <c r="Y1063" s="74">
        <f t="shared" si="185"/>
        <v>44466</v>
      </c>
      <c r="Z1063" s="74">
        <f t="shared" ca="1" si="176"/>
        <v>44489</v>
      </c>
      <c r="AA1063" s="80" t="str">
        <f t="shared" ca="1" si="177"/>
        <v>CLX1</v>
      </c>
      <c r="AB1063" s="74">
        <f t="shared" si="179"/>
        <v>44469</v>
      </c>
      <c r="AC1063" s="80" t="str">
        <f t="shared" si="178"/>
        <v>LCOX1</v>
      </c>
      <c r="AD1063" s="80" t="str">
        <f t="shared" si="180"/>
        <v>CLX1</v>
      </c>
      <c r="AE1063" s="80" t="str">
        <f t="shared" si="181"/>
        <v>LCOZ1</v>
      </c>
      <c r="AF1063" s="80" t="str">
        <f t="shared" si="182"/>
        <v>CLZ1</v>
      </c>
      <c r="AG1063" s="80" t="str">
        <f t="shared" si="183"/>
        <v>LCOF2</v>
      </c>
      <c r="AH1063" s="80" t="str">
        <f t="shared" si="184"/>
        <v>LCOG2</v>
      </c>
    </row>
    <row r="1064" spans="25:34" x14ac:dyDescent="0.35">
      <c r="Y1064" s="74">
        <f t="shared" si="185"/>
        <v>44467</v>
      </c>
      <c r="Z1064" s="74">
        <f t="shared" ca="1" si="176"/>
        <v>44489</v>
      </c>
      <c r="AA1064" s="80" t="str">
        <f t="shared" ca="1" si="177"/>
        <v>CLX1</v>
      </c>
      <c r="AB1064" s="74">
        <f t="shared" si="179"/>
        <v>44469</v>
      </c>
      <c r="AC1064" s="80" t="str">
        <f t="shared" si="178"/>
        <v>LCOX1</v>
      </c>
      <c r="AD1064" s="80" t="str">
        <f t="shared" si="180"/>
        <v>CLX1</v>
      </c>
      <c r="AE1064" s="80" t="str">
        <f t="shared" si="181"/>
        <v>LCOZ1</v>
      </c>
      <c r="AF1064" s="80" t="str">
        <f t="shared" si="182"/>
        <v>CLZ1</v>
      </c>
      <c r="AG1064" s="80" t="str">
        <f t="shared" si="183"/>
        <v>LCOF2</v>
      </c>
      <c r="AH1064" s="80" t="str">
        <f t="shared" si="184"/>
        <v>LCOG2</v>
      </c>
    </row>
    <row r="1065" spans="25:34" x14ac:dyDescent="0.35">
      <c r="Y1065" s="74">
        <f t="shared" si="185"/>
        <v>44468</v>
      </c>
      <c r="Z1065" s="74">
        <f t="shared" ca="1" si="176"/>
        <v>44489</v>
      </c>
      <c r="AA1065" s="80" t="str">
        <f t="shared" ca="1" si="177"/>
        <v>CLX1</v>
      </c>
      <c r="AB1065" s="74">
        <f t="shared" si="179"/>
        <v>44469</v>
      </c>
      <c r="AC1065" s="80" t="str">
        <f t="shared" si="178"/>
        <v>LCOX1</v>
      </c>
      <c r="AD1065" s="80" t="str">
        <f t="shared" si="180"/>
        <v>CLX1</v>
      </c>
      <c r="AE1065" s="80" t="str">
        <f t="shared" si="181"/>
        <v>LCOZ1</v>
      </c>
      <c r="AF1065" s="80" t="str">
        <f t="shared" si="182"/>
        <v>CLZ1</v>
      </c>
      <c r="AG1065" s="80" t="str">
        <f t="shared" si="183"/>
        <v>LCOF2</v>
      </c>
      <c r="AH1065" s="80" t="str">
        <f t="shared" si="184"/>
        <v>LCOG2</v>
      </c>
    </row>
    <row r="1066" spans="25:34" x14ac:dyDescent="0.35">
      <c r="Y1066" s="74">
        <f t="shared" si="185"/>
        <v>44469</v>
      </c>
      <c r="Z1066" s="74">
        <f t="shared" ca="1" si="176"/>
        <v>44489</v>
      </c>
      <c r="AA1066" s="80" t="str">
        <f t="shared" ca="1" si="177"/>
        <v>CLX1</v>
      </c>
      <c r="AB1066" s="74">
        <f t="shared" si="179"/>
        <v>44469</v>
      </c>
      <c r="AC1066" s="80" t="str">
        <f t="shared" si="178"/>
        <v>LCOX1</v>
      </c>
      <c r="AD1066" s="80" t="str">
        <f t="shared" si="180"/>
        <v>CLX1</v>
      </c>
      <c r="AE1066" s="80" t="str">
        <f t="shared" si="181"/>
        <v>LCOZ1</v>
      </c>
      <c r="AF1066" s="80" t="str">
        <f t="shared" si="182"/>
        <v>CLZ1</v>
      </c>
      <c r="AG1066" s="80" t="str">
        <f t="shared" si="183"/>
        <v>LCOF2</v>
      </c>
      <c r="AH1066" s="80" t="str">
        <f t="shared" si="184"/>
        <v>LCOG2</v>
      </c>
    </row>
    <row r="1067" spans="25:34" x14ac:dyDescent="0.35">
      <c r="Y1067" s="74">
        <f t="shared" si="185"/>
        <v>44470</v>
      </c>
      <c r="Z1067" s="74">
        <f t="shared" ca="1" si="176"/>
        <v>44489</v>
      </c>
      <c r="AA1067" s="80" t="str">
        <f t="shared" ca="1" si="177"/>
        <v>CLX1</v>
      </c>
      <c r="AB1067" s="74">
        <f t="shared" si="179"/>
        <v>44498</v>
      </c>
      <c r="AC1067" s="80" t="str">
        <f t="shared" si="178"/>
        <v>LCOZ1</v>
      </c>
      <c r="AD1067" s="80" t="str">
        <f t="shared" si="180"/>
        <v>CLZ1</v>
      </c>
      <c r="AE1067" s="80" t="str">
        <f t="shared" si="181"/>
        <v>LCOF2</v>
      </c>
      <c r="AF1067" s="80" t="str">
        <f t="shared" si="182"/>
        <v>CLF2</v>
      </c>
      <c r="AG1067" s="80" t="str">
        <f t="shared" si="183"/>
        <v>LCOG2</v>
      </c>
      <c r="AH1067" s="80" t="str">
        <f t="shared" si="184"/>
        <v>LCOH2</v>
      </c>
    </row>
    <row r="1068" spans="25:34" x14ac:dyDescent="0.35">
      <c r="Y1068" s="74">
        <f t="shared" si="185"/>
        <v>44471</v>
      </c>
      <c r="Z1068" s="74">
        <f t="shared" ca="1" si="176"/>
        <v>44489</v>
      </c>
      <c r="AA1068" s="80" t="str">
        <f t="shared" ca="1" si="177"/>
        <v>CLX1</v>
      </c>
      <c r="AB1068" s="74">
        <f t="shared" si="179"/>
        <v>44498</v>
      </c>
      <c r="AC1068" s="80" t="str">
        <f t="shared" si="178"/>
        <v>LCOZ1</v>
      </c>
      <c r="AD1068" s="80" t="str">
        <f t="shared" si="180"/>
        <v>CLZ1</v>
      </c>
      <c r="AE1068" s="80" t="str">
        <f t="shared" si="181"/>
        <v>LCOF2</v>
      </c>
      <c r="AF1068" s="80" t="str">
        <f t="shared" si="182"/>
        <v>CLF2</v>
      </c>
      <c r="AG1068" s="80" t="str">
        <f t="shared" si="183"/>
        <v>LCOG2</v>
      </c>
      <c r="AH1068" s="80" t="str">
        <f t="shared" si="184"/>
        <v>LCOH2</v>
      </c>
    </row>
    <row r="1069" spans="25:34" x14ac:dyDescent="0.35">
      <c r="Y1069" s="74">
        <f t="shared" si="185"/>
        <v>44472</v>
      </c>
      <c r="Z1069" s="74">
        <f t="shared" ca="1" si="176"/>
        <v>44489</v>
      </c>
      <c r="AA1069" s="80" t="str">
        <f t="shared" ca="1" si="177"/>
        <v>CLX1</v>
      </c>
      <c r="AB1069" s="74">
        <f t="shared" si="179"/>
        <v>44498</v>
      </c>
      <c r="AC1069" s="80" t="str">
        <f t="shared" si="178"/>
        <v>LCOZ1</v>
      </c>
      <c r="AD1069" s="80" t="str">
        <f t="shared" si="180"/>
        <v>CLZ1</v>
      </c>
      <c r="AE1069" s="80" t="str">
        <f t="shared" si="181"/>
        <v>LCOF2</v>
      </c>
      <c r="AF1069" s="80" t="str">
        <f t="shared" si="182"/>
        <v>CLF2</v>
      </c>
      <c r="AG1069" s="80" t="str">
        <f t="shared" si="183"/>
        <v>LCOG2</v>
      </c>
      <c r="AH1069" s="80" t="str">
        <f t="shared" si="184"/>
        <v>LCOH2</v>
      </c>
    </row>
    <row r="1070" spans="25:34" x14ac:dyDescent="0.35">
      <c r="Y1070" s="74">
        <f t="shared" si="185"/>
        <v>44473</v>
      </c>
      <c r="Z1070" s="74">
        <f t="shared" ca="1" si="176"/>
        <v>44489</v>
      </c>
      <c r="AA1070" s="80" t="str">
        <f t="shared" ca="1" si="177"/>
        <v>CLX1</v>
      </c>
      <c r="AB1070" s="74">
        <f t="shared" si="179"/>
        <v>44498</v>
      </c>
      <c r="AC1070" s="80" t="str">
        <f t="shared" si="178"/>
        <v>LCOZ1</v>
      </c>
      <c r="AD1070" s="80" t="str">
        <f t="shared" si="180"/>
        <v>CLZ1</v>
      </c>
      <c r="AE1070" s="80" t="str">
        <f t="shared" si="181"/>
        <v>LCOF2</v>
      </c>
      <c r="AF1070" s="80" t="str">
        <f t="shared" si="182"/>
        <v>CLF2</v>
      </c>
      <c r="AG1070" s="80" t="str">
        <f t="shared" si="183"/>
        <v>LCOG2</v>
      </c>
      <c r="AH1070" s="80" t="str">
        <f t="shared" si="184"/>
        <v>LCOH2</v>
      </c>
    </row>
    <row r="1071" spans="25:34" x14ac:dyDescent="0.35">
      <c r="Y1071" s="74">
        <f t="shared" si="185"/>
        <v>44474</v>
      </c>
      <c r="Z1071" s="74">
        <f t="shared" ca="1" si="176"/>
        <v>44489</v>
      </c>
      <c r="AA1071" s="80" t="str">
        <f t="shared" ca="1" si="177"/>
        <v>CLX1</v>
      </c>
      <c r="AB1071" s="74">
        <f t="shared" si="179"/>
        <v>44498</v>
      </c>
      <c r="AC1071" s="80" t="str">
        <f t="shared" si="178"/>
        <v>LCOZ1</v>
      </c>
      <c r="AD1071" s="80" t="str">
        <f t="shared" si="180"/>
        <v>CLZ1</v>
      </c>
      <c r="AE1071" s="80" t="str">
        <f t="shared" si="181"/>
        <v>LCOF2</v>
      </c>
      <c r="AF1071" s="80" t="str">
        <f t="shared" si="182"/>
        <v>CLF2</v>
      </c>
      <c r="AG1071" s="80" t="str">
        <f t="shared" si="183"/>
        <v>LCOG2</v>
      </c>
      <c r="AH1071" s="80" t="str">
        <f t="shared" si="184"/>
        <v>LCOH2</v>
      </c>
    </row>
    <row r="1072" spans="25:34" x14ac:dyDescent="0.35">
      <c r="Y1072" s="74">
        <f t="shared" si="185"/>
        <v>44475</v>
      </c>
      <c r="Z1072" s="74">
        <f t="shared" ca="1" si="176"/>
        <v>44489</v>
      </c>
      <c r="AA1072" s="80" t="str">
        <f t="shared" ca="1" si="177"/>
        <v>CLX1</v>
      </c>
      <c r="AB1072" s="74">
        <f t="shared" si="179"/>
        <v>44498</v>
      </c>
      <c r="AC1072" s="80" t="str">
        <f t="shared" si="178"/>
        <v>LCOZ1</v>
      </c>
      <c r="AD1072" s="80" t="str">
        <f t="shared" si="180"/>
        <v>CLZ1</v>
      </c>
      <c r="AE1072" s="80" t="str">
        <f t="shared" si="181"/>
        <v>LCOF2</v>
      </c>
      <c r="AF1072" s="80" t="str">
        <f t="shared" si="182"/>
        <v>CLF2</v>
      </c>
      <c r="AG1072" s="80" t="str">
        <f t="shared" si="183"/>
        <v>LCOG2</v>
      </c>
      <c r="AH1072" s="80" t="str">
        <f t="shared" si="184"/>
        <v>LCOH2</v>
      </c>
    </row>
    <row r="1073" spans="25:34" x14ac:dyDescent="0.35">
      <c r="Y1073" s="74">
        <f t="shared" si="185"/>
        <v>44476</v>
      </c>
      <c r="Z1073" s="74">
        <f t="shared" ca="1" si="176"/>
        <v>44489</v>
      </c>
      <c r="AA1073" s="80" t="str">
        <f t="shared" ca="1" si="177"/>
        <v>CLX1</v>
      </c>
      <c r="AB1073" s="74">
        <f t="shared" si="179"/>
        <v>44498</v>
      </c>
      <c r="AC1073" s="80" t="str">
        <f t="shared" si="178"/>
        <v>LCOZ1</v>
      </c>
      <c r="AD1073" s="80" t="str">
        <f t="shared" si="180"/>
        <v>CLZ1</v>
      </c>
      <c r="AE1073" s="80" t="str">
        <f t="shared" si="181"/>
        <v>LCOF2</v>
      </c>
      <c r="AF1073" s="80" t="str">
        <f t="shared" si="182"/>
        <v>CLF2</v>
      </c>
      <c r="AG1073" s="80" t="str">
        <f t="shared" si="183"/>
        <v>LCOG2</v>
      </c>
      <c r="AH1073" s="80" t="str">
        <f t="shared" si="184"/>
        <v>LCOH2</v>
      </c>
    </row>
    <row r="1074" spans="25:34" x14ac:dyDescent="0.35">
      <c r="Y1074" s="74">
        <f t="shared" si="185"/>
        <v>44477</v>
      </c>
      <c r="Z1074" s="74">
        <f t="shared" ca="1" si="176"/>
        <v>44489</v>
      </c>
      <c r="AA1074" s="80" t="str">
        <f t="shared" ca="1" si="177"/>
        <v>CLX1</v>
      </c>
      <c r="AB1074" s="74">
        <f t="shared" si="179"/>
        <v>44498</v>
      </c>
      <c r="AC1074" s="80" t="str">
        <f t="shared" si="178"/>
        <v>LCOZ1</v>
      </c>
      <c r="AD1074" s="80" t="str">
        <f t="shared" si="180"/>
        <v>CLZ1</v>
      </c>
      <c r="AE1074" s="80" t="str">
        <f t="shared" si="181"/>
        <v>LCOF2</v>
      </c>
      <c r="AF1074" s="80" t="str">
        <f t="shared" si="182"/>
        <v>CLF2</v>
      </c>
      <c r="AG1074" s="80" t="str">
        <f t="shared" si="183"/>
        <v>LCOG2</v>
      </c>
      <c r="AH1074" s="80" t="str">
        <f t="shared" si="184"/>
        <v>LCOH2</v>
      </c>
    </row>
    <row r="1075" spans="25:34" x14ac:dyDescent="0.35">
      <c r="Y1075" s="74">
        <f t="shared" si="185"/>
        <v>44478</v>
      </c>
      <c r="Z1075" s="74">
        <f t="shared" ca="1" si="176"/>
        <v>44489</v>
      </c>
      <c r="AA1075" s="80" t="str">
        <f t="shared" ca="1" si="177"/>
        <v>CLX1</v>
      </c>
      <c r="AB1075" s="74">
        <f t="shared" si="179"/>
        <v>44498</v>
      </c>
      <c r="AC1075" s="80" t="str">
        <f t="shared" si="178"/>
        <v>LCOZ1</v>
      </c>
      <c r="AD1075" s="80" t="str">
        <f t="shared" si="180"/>
        <v>CLZ1</v>
      </c>
      <c r="AE1075" s="80" t="str">
        <f t="shared" si="181"/>
        <v>LCOF2</v>
      </c>
      <c r="AF1075" s="80" t="str">
        <f t="shared" si="182"/>
        <v>CLF2</v>
      </c>
      <c r="AG1075" s="80" t="str">
        <f t="shared" si="183"/>
        <v>LCOG2</v>
      </c>
      <c r="AH1075" s="80" t="str">
        <f t="shared" si="184"/>
        <v>LCOH2</v>
      </c>
    </row>
    <row r="1076" spans="25:34" x14ac:dyDescent="0.35">
      <c r="Y1076" s="74">
        <f t="shared" si="185"/>
        <v>44479</v>
      </c>
      <c r="Z1076" s="74">
        <f t="shared" ca="1" si="176"/>
        <v>44489</v>
      </c>
      <c r="AA1076" s="80" t="str">
        <f t="shared" ca="1" si="177"/>
        <v>CLX1</v>
      </c>
      <c r="AB1076" s="74">
        <f t="shared" si="179"/>
        <v>44498</v>
      </c>
      <c r="AC1076" s="80" t="str">
        <f t="shared" si="178"/>
        <v>LCOZ1</v>
      </c>
      <c r="AD1076" s="80" t="str">
        <f t="shared" si="180"/>
        <v>CLZ1</v>
      </c>
      <c r="AE1076" s="80" t="str">
        <f t="shared" si="181"/>
        <v>LCOF2</v>
      </c>
      <c r="AF1076" s="80" t="str">
        <f t="shared" si="182"/>
        <v>CLF2</v>
      </c>
      <c r="AG1076" s="80" t="str">
        <f t="shared" si="183"/>
        <v>LCOG2</v>
      </c>
      <c r="AH1076" s="80" t="str">
        <f t="shared" si="184"/>
        <v>LCOH2</v>
      </c>
    </row>
    <row r="1077" spans="25:34" x14ac:dyDescent="0.35">
      <c r="Y1077" s="74">
        <f t="shared" si="185"/>
        <v>44480</v>
      </c>
      <c r="Z1077" s="74">
        <f t="shared" ca="1" si="176"/>
        <v>44489</v>
      </c>
      <c r="AA1077" s="80" t="str">
        <f t="shared" ca="1" si="177"/>
        <v>CLX1</v>
      </c>
      <c r="AB1077" s="74">
        <f t="shared" si="179"/>
        <v>44498</v>
      </c>
      <c r="AC1077" s="80" t="str">
        <f t="shared" si="178"/>
        <v>LCOZ1</v>
      </c>
      <c r="AD1077" s="80" t="str">
        <f t="shared" si="180"/>
        <v>CLZ1</v>
      </c>
      <c r="AE1077" s="80" t="str">
        <f t="shared" si="181"/>
        <v>LCOF2</v>
      </c>
      <c r="AF1077" s="80" t="str">
        <f t="shared" si="182"/>
        <v>CLF2</v>
      </c>
      <c r="AG1077" s="80" t="str">
        <f t="shared" si="183"/>
        <v>LCOG2</v>
      </c>
      <c r="AH1077" s="80" t="str">
        <f t="shared" si="184"/>
        <v>LCOH2</v>
      </c>
    </row>
    <row r="1078" spans="25:34" x14ac:dyDescent="0.35">
      <c r="Y1078" s="74">
        <f t="shared" si="185"/>
        <v>44481</v>
      </c>
      <c r="Z1078" s="74">
        <f t="shared" ca="1" si="176"/>
        <v>44489</v>
      </c>
      <c r="AA1078" s="80" t="str">
        <f t="shared" ca="1" si="177"/>
        <v>CLX1</v>
      </c>
      <c r="AB1078" s="74">
        <f t="shared" si="179"/>
        <v>44498</v>
      </c>
      <c r="AC1078" s="80" t="str">
        <f t="shared" si="178"/>
        <v>LCOZ1</v>
      </c>
      <c r="AD1078" s="80" t="str">
        <f t="shared" si="180"/>
        <v>CLZ1</v>
      </c>
      <c r="AE1078" s="80" t="str">
        <f t="shared" si="181"/>
        <v>LCOF2</v>
      </c>
      <c r="AF1078" s="80" t="str">
        <f t="shared" si="182"/>
        <v>CLF2</v>
      </c>
      <c r="AG1078" s="80" t="str">
        <f t="shared" si="183"/>
        <v>LCOG2</v>
      </c>
      <c r="AH1078" s="80" t="str">
        <f t="shared" si="184"/>
        <v>LCOH2</v>
      </c>
    </row>
    <row r="1079" spans="25:34" x14ac:dyDescent="0.35">
      <c r="Y1079" s="74">
        <f t="shared" si="185"/>
        <v>44482</v>
      </c>
      <c r="Z1079" s="74">
        <f t="shared" ca="1" si="176"/>
        <v>44489</v>
      </c>
      <c r="AA1079" s="80" t="str">
        <f t="shared" ca="1" si="177"/>
        <v>CLX1</v>
      </c>
      <c r="AB1079" s="74">
        <f t="shared" si="179"/>
        <v>44498</v>
      </c>
      <c r="AC1079" s="80" t="str">
        <f t="shared" si="178"/>
        <v>LCOZ1</v>
      </c>
      <c r="AD1079" s="80" t="str">
        <f t="shared" si="180"/>
        <v>CLZ1</v>
      </c>
      <c r="AE1079" s="80" t="str">
        <f t="shared" si="181"/>
        <v>LCOF2</v>
      </c>
      <c r="AF1079" s="80" t="str">
        <f t="shared" si="182"/>
        <v>CLF2</v>
      </c>
      <c r="AG1079" s="80" t="str">
        <f t="shared" si="183"/>
        <v>LCOG2</v>
      </c>
      <c r="AH1079" s="80" t="str">
        <f t="shared" si="184"/>
        <v>LCOH2</v>
      </c>
    </row>
    <row r="1080" spans="25:34" x14ac:dyDescent="0.35">
      <c r="Y1080" s="74">
        <f t="shared" si="185"/>
        <v>44483</v>
      </c>
      <c r="Z1080" s="74">
        <f t="shared" ca="1" si="176"/>
        <v>44489</v>
      </c>
      <c r="AA1080" s="80" t="str">
        <f t="shared" ca="1" si="177"/>
        <v>CLX1</v>
      </c>
      <c r="AB1080" s="74">
        <f t="shared" si="179"/>
        <v>44498</v>
      </c>
      <c r="AC1080" s="80" t="str">
        <f t="shared" si="178"/>
        <v>LCOZ1</v>
      </c>
      <c r="AD1080" s="80" t="str">
        <f t="shared" si="180"/>
        <v>CLZ1</v>
      </c>
      <c r="AE1080" s="80" t="str">
        <f t="shared" si="181"/>
        <v>LCOF2</v>
      </c>
      <c r="AF1080" s="80" t="str">
        <f t="shared" si="182"/>
        <v>CLF2</v>
      </c>
      <c r="AG1080" s="80" t="str">
        <f t="shared" si="183"/>
        <v>LCOG2</v>
      </c>
      <c r="AH1080" s="80" t="str">
        <f t="shared" si="184"/>
        <v>LCOH2</v>
      </c>
    </row>
    <row r="1081" spans="25:34" x14ac:dyDescent="0.35">
      <c r="Y1081" s="74">
        <f t="shared" si="185"/>
        <v>44484</v>
      </c>
      <c r="Z1081" s="74">
        <f t="shared" ca="1" si="176"/>
        <v>44489</v>
      </c>
      <c r="AA1081" s="80" t="str">
        <f t="shared" ca="1" si="177"/>
        <v>CLX1</v>
      </c>
      <c r="AB1081" s="74">
        <f t="shared" si="179"/>
        <v>44498</v>
      </c>
      <c r="AC1081" s="80" t="str">
        <f t="shared" si="178"/>
        <v>LCOZ1</v>
      </c>
      <c r="AD1081" s="80" t="str">
        <f t="shared" si="180"/>
        <v>CLZ1</v>
      </c>
      <c r="AE1081" s="80" t="str">
        <f t="shared" si="181"/>
        <v>LCOF2</v>
      </c>
      <c r="AF1081" s="80" t="str">
        <f t="shared" si="182"/>
        <v>CLF2</v>
      </c>
      <c r="AG1081" s="80" t="str">
        <f t="shared" si="183"/>
        <v>LCOG2</v>
      </c>
      <c r="AH1081" s="80" t="str">
        <f t="shared" si="184"/>
        <v>LCOH2</v>
      </c>
    </row>
    <row r="1082" spans="25:34" x14ac:dyDescent="0.35">
      <c r="Y1082" s="74">
        <f t="shared" si="185"/>
        <v>44485</v>
      </c>
      <c r="Z1082" s="74">
        <f t="shared" ca="1" si="176"/>
        <v>44489</v>
      </c>
      <c r="AA1082" s="80" t="str">
        <f t="shared" ca="1" si="177"/>
        <v>CLX1</v>
      </c>
      <c r="AB1082" s="74">
        <f t="shared" si="179"/>
        <v>44498</v>
      </c>
      <c r="AC1082" s="80" t="str">
        <f t="shared" si="178"/>
        <v>LCOZ1</v>
      </c>
      <c r="AD1082" s="80" t="str">
        <f t="shared" si="180"/>
        <v>CLZ1</v>
      </c>
      <c r="AE1082" s="80" t="str">
        <f t="shared" si="181"/>
        <v>LCOF2</v>
      </c>
      <c r="AF1082" s="80" t="str">
        <f t="shared" si="182"/>
        <v>CLF2</v>
      </c>
      <c r="AG1082" s="80" t="str">
        <f t="shared" si="183"/>
        <v>LCOG2</v>
      </c>
      <c r="AH1082" s="80" t="str">
        <f t="shared" si="184"/>
        <v>LCOH2</v>
      </c>
    </row>
    <row r="1083" spans="25:34" x14ac:dyDescent="0.35">
      <c r="Y1083" s="74">
        <f t="shared" si="185"/>
        <v>44486</v>
      </c>
      <c r="Z1083" s="74">
        <f t="shared" ca="1" si="176"/>
        <v>44489</v>
      </c>
      <c r="AA1083" s="80" t="str">
        <f t="shared" ca="1" si="177"/>
        <v>CLX1</v>
      </c>
      <c r="AB1083" s="74">
        <f t="shared" si="179"/>
        <v>44498</v>
      </c>
      <c r="AC1083" s="80" t="str">
        <f t="shared" si="178"/>
        <v>LCOZ1</v>
      </c>
      <c r="AD1083" s="80" t="str">
        <f t="shared" si="180"/>
        <v>CLZ1</v>
      </c>
      <c r="AE1083" s="80" t="str">
        <f t="shared" si="181"/>
        <v>LCOF2</v>
      </c>
      <c r="AF1083" s="80" t="str">
        <f t="shared" si="182"/>
        <v>CLF2</v>
      </c>
      <c r="AG1083" s="80" t="str">
        <f t="shared" si="183"/>
        <v>LCOG2</v>
      </c>
      <c r="AH1083" s="80" t="str">
        <f t="shared" si="184"/>
        <v>LCOH2</v>
      </c>
    </row>
    <row r="1084" spans="25:34" x14ac:dyDescent="0.35">
      <c r="Y1084" s="74">
        <f t="shared" si="185"/>
        <v>44487</v>
      </c>
      <c r="Z1084" s="74">
        <f t="shared" ca="1" si="176"/>
        <v>44489</v>
      </c>
      <c r="AA1084" s="80" t="str">
        <f t="shared" ca="1" si="177"/>
        <v>CLX1</v>
      </c>
      <c r="AB1084" s="74">
        <f t="shared" si="179"/>
        <v>44498</v>
      </c>
      <c r="AC1084" s="80" t="str">
        <f t="shared" si="178"/>
        <v>LCOZ1</v>
      </c>
      <c r="AD1084" s="80" t="str">
        <f t="shared" si="180"/>
        <v>CLZ1</v>
      </c>
      <c r="AE1084" s="80" t="str">
        <f t="shared" si="181"/>
        <v>LCOF2</v>
      </c>
      <c r="AF1084" s="80" t="str">
        <f t="shared" si="182"/>
        <v>CLF2</v>
      </c>
      <c r="AG1084" s="80" t="str">
        <f t="shared" si="183"/>
        <v>LCOG2</v>
      </c>
      <c r="AH1084" s="80" t="str">
        <f t="shared" si="184"/>
        <v>LCOH2</v>
      </c>
    </row>
    <row r="1085" spans="25:34" x14ac:dyDescent="0.35">
      <c r="Y1085" s="74">
        <f t="shared" si="185"/>
        <v>44488</v>
      </c>
      <c r="Z1085" s="74">
        <f t="shared" ca="1" si="176"/>
        <v>44489</v>
      </c>
      <c r="AA1085" s="80" t="str">
        <f t="shared" ca="1" si="177"/>
        <v>CLX1</v>
      </c>
      <c r="AB1085" s="74">
        <f t="shared" si="179"/>
        <v>44498</v>
      </c>
      <c r="AC1085" s="80" t="str">
        <f t="shared" si="178"/>
        <v>LCOZ1</v>
      </c>
      <c r="AD1085" s="80" t="str">
        <f t="shared" si="180"/>
        <v>CLZ1</v>
      </c>
      <c r="AE1085" s="80" t="str">
        <f t="shared" si="181"/>
        <v>LCOF2</v>
      </c>
      <c r="AF1085" s="80" t="str">
        <f t="shared" si="182"/>
        <v>CLF2</v>
      </c>
      <c r="AG1085" s="80" t="str">
        <f t="shared" si="183"/>
        <v>LCOG2</v>
      </c>
      <c r="AH1085" s="80" t="str">
        <f t="shared" si="184"/>
        <v>LCOH2</v>
      </c>
    </row>
    <row r="1086" spans="25:34" x14ac:dyDescent="0.35">
      <c r="Y1086" s="74">
        <f t="shared" si="185"/>
        <v>44489</v>
      </c>
      <c r="Z1086" s="74">
        <f t="shared" ca="1" si="176"/>
        <v>44489</v>
      </c>
      <c r="AA1086" s="80" t="str">
        <f t="shared" ca="1" si="177"/>
        <v>CLX1</v>
      </c>
      <c r="AB1086" s="74">
        <f t="shared" si="179"/>
        <v>44498</v>
      </c>
      <c r="AC1086" s="80" t="str">
        <f t="shared" si="178"/>
        <v>LCOZ1</v>
      </c>
      <c r="AD1086" s="80" t="str">
        <f t="shared" si="180"/>
        <v>CLZ1</v>
      </c>
      <c r="AE1086" s="80" t="str">
        <f t="shared" si="181"/>
        <v>LCOF2</v>
      </c>
      <c r="AF1086" s="80" t="str">
        <f t="shared" si="182"/>
        <v>CLF2</v>
      </c>
      <c r="AG1086" s="80" t="str">
        <f t="shared" si="183"/>
        <v>LCOG2</v>
      </c>
      <c r="AH1086" s="80" t="str">
        <f t="shared" si="184"/>
        <v>LCOH2</v>
      </c>
    </row>
    <row r="1087" spans="25:34" x14ac:dyDescent="0.35">
      <c r="Y1087" s="74">
        <f t="shared" si="185"/>
        <v>44490</v>
      </c>
      <c r="Z1087" s="74">
        <f t="shared" ca="1" si="176"/>
        <v>44519</v>
      </c>
      <c r="AA1087" s="80" t="str">
        <f t="shared" ca="1" si="177"/>
        <v>CLZ1</v>
      </c>
      <c r="AB1087" s="74">
        <f t="shared" si="179"/>
        <v>44498</v>
      </c>
      <c r="AC1087" s="80" t="str">
        <f t="shared" si="178"/>
        <v>LCOZ1</v>
      </c>
      <c r="AD1087" s="80" t="str">
        <f t="shared" si="180"/>
        <v>CLZ1</v>
      </c>
      <c r="AE1087" s="80" t="str">
        <f t="shared" si="181"/>
        <v>LCOF2</v>
      </c>
      <c r="AF1087" s="80" t="str">
        <f t="shared" si="182"/>
        <v>CLF2</v>
      </c>
      <c r="AG1087" s="80" t="str">
        <f t="shared" si="183"/>
        <v>LCOG2</v>
      </c>
      <c r="AH1087" s="80" t="str">
        <f t="shared" si="184"/>
        <v>LCOH2</v>
      </c>
    </row>
    <row r="1088" spans="25:34" x14ac:dyDescent="0.35">
      <c r="Y1088" s="74">
        <f t="shared" si="185"/>
        <v>44491</v>
      </c>
      <c r="Z1088" s="74">
        <f t="shared" ca="1" si="176"/>
        <v>44519</v>
      </c>
      <c r="AA1088" s="80" t="str">
        <f t="shared" ca="1" si="177"/>
        <v>CLZ1</v>
      </c>
      <c r="AB1088" s="74">
        <f t="shared" si="179"/>
        <v>44498</v>
      </c>
      <c r="AC1088" s="80" t="str">
        <f t="shared" si="178"/>
        <v>LCOZ1</v>
      </c>
      <c r="AD1088" s="80" t="str">
        <f t="shared" si="180"/>
        <v>CLZ1</v>
      </c>
      <c r="AE1088" s="80" t="str">
        <f t="shared" si="181"/>
        <v>LCOF2</v>
      </c>
      <c r="AF1088" s="80" t="str">
        <f t="shared" si="182"/>
        <v>CLF2</v>
      </c>
      <c r="AG1088" s="80" t="str">
        <f t="shared" si="183"/>
        <v>LCOG2</v>
      </c>
      <c r="AH1088" s="80" t="str">
        <f t="shared" si="184"/>
        <v>LCOH2</v>
      </c>
    </row>
    <row r="1089" spans="25:34" x14ac:dyDescent="0.35">
      <c r="Y1089" s="74">
        <f t="shared" si="185"/>
        <v>44492</v>
      </c>
      <c r="Z1089" s="74">
        <f t="shared" ca="1" si="176"/>
        <v>44519</v>
      </c>
      <c r="AA1089" s="80" t="str">
        <f t="shared" ca="1" si="177"/>
        <v>CLZ1</v>
      </c>
      <c r="AB1089" s="74">
        <f t="shared" si="179"/>
        <v>44498</v>
      </c>
      <c r="AC1089" s="80" t="str">
        <f t="shared" si="178"/>
        <v>LCOZ1</v>
      </c>
      <c r="AD1089" s="80" t="str">
        <f t="shared" si="180"/>
        <v>CLZ1</v>
      </c>
      <c r="AE1089" s="80" t="str">
        <f t="shared" si="181"/>
        <v>LCOF2</v>
      </c>
      <c r="AF1089" s="80" t="str">
        <f t="shared" si="182"/>
        <v>CLF2</v>
      </c>
      <c r="AG1089" s="80" t="str">
        <f t="shared" si="183"/>
        <v>LCOG2</v>
      </c>
      <c r="AH1089" s="80" t="str">
        <f t="shared" si="184"/>
        <v>LCOH2</v>
      </c>
    </row>
    <row r="1090" spans="25:34" x14ac:dyDescent="0.35">
      <c r="Y1090" s="74">
        <f t="shared" si="185"/>
        <v>44493</v>
      </c>
      <c r="Z1090" s="74">
        <f t="shared" ref="Z1090:Z1153" ca="1" si="186">VLOOKUP(AA1090,$I$2:$K$39,3,FALSE)</f>
        <v>44519</v>
      </c>
      <c r="AA1090" s="80" t="str">
        <f t="shared" ref="AA1090:AA1153" ca="1" si="187">LOOKUP(2,1/($J$2:$J$700&lt;=$Y1090)/($K$2:$K$700&gt;=$Y1090),$L$2:$L$700)</f>
        <v>CLZ1</v>
      </c>
      <c r="AB1090" s="74">
        <f t="shared" si="179"/>
        <v>44498</v>
      </c>
      <c r="AC1090" s="80" t="str">
        <f t="shared" ref="AC1090:AC1153" si="188">LOOKUP(2,1/($R$2:$R$700&lt;=$Y1090)/($S$2:$S$700&gt;=$Y1090),$T$2:$T$700)</f>
        <v>LCOZ1</v>
      </c>
      <c r="AD1090" s="80" t="str">
        <f t="shared" si="180"/>
        <v>CLZ1</v>
      </c>
      <c r="AE1090" s="80" t="str">
        <f t="shared" si="181"/>
        <v>LCOF2</v>
      </c>
      <c r="AF1090" s="80" t="str">
        <f t="shared" si="182"/>
        <v>CLF2</v>
      </c>
      <c r="AG1090" s="80" t="str">
        <f t="shared" si="183"/>
        <v>LCOG2</v>
      </c>
      <c r="AH1090" s="80" t="str">
        <f t="shared" si="184"/>
        <v>LCOH2</v>
      </c>
    </row>
    <row r="1091" spans="25:34" x14ac:dyDescent="0.35">
      <c r="Y1091" s="74">
        <f t="shared" si="185"/>
        <v>44494</v>
      </c>
      <c r="Z1091" s="74">
        <f t="shared" ca="1" si="186"/>
        <v>44519</v>
      </c>
      <c r="AA1091" s="80" t="str">
        <f t="shared" ca="1" si="187"/>
        <v>CLZ1</v>
      </c>
      <c r="AB1091" s="74">
        <f t="shared" ref="AB1091:AB1154" si="189">VLOOKUP(AC1091,$Q$2:$S$39,3,FALSE)</f>
        <v>44498</v>
      </c>
      <c r="AC1091" s="80" t="str">
        <f t="shared" si="188"/>
        <v>LCOZ1</v>
      </c>
      <c r="AD1091" s="80" t="str">
        <f t="shared" ref="AD1091:AD1154" si="190">CONCATENATE("CL",RIGHT(AC1091,2))</f>
        <v>CLZ1</v>
      </c>
      <c r="AE1091" s="80" t="str">
        <f t="shared" ref="AE1091:AE1154" si="191">LOOKUP(2,1/($R$2:$R$700&lt;=$Y1091)/($S$2:$S$700&gt;=$Y1091),$U$2:$U$700)</f>
        <v>LCOF2</v>
      </c>
      <c r="AF1091" s="80" t="str">
        <f t="shared" ref="AF1091:AF1154" si="192">CONCATENATE("CL",RIGHT(AE1091,2))</f>
        <v>CLF2</v>
      </c>
      <c r="AG1091" s="80" t="str">
        <f t="shared" ref="AG1091:AG1154" si="193">LOOKUP(2,1/($R$2:$R$700&lt;=$Y1091)/($S$2:$S$700&gt;=$Y1091),$V$2:$V$700)</f>
        <v>LCOG2</v>
      </c>
      <c r="AH1091" s="80" t="str">
        <f t="shared" ref="AH1091:AH1154" si="194">LOOKUP(2,1/($R$2:$R$700&lt;=$Y1091)/($S$2:$S$700&gt;=$Y1091),$W$2:$W$700)</f>
        <v>LCOH2</v>
      </c>
    </row>
    <row r="1092" spans="25:34" x14ac:dyDescent="0.35">
      <c r="Y1092" s="74">
        <f t="shared" si="185"/>
        <v>44495</v>
      </c>
      <c r="Z1092" s="74">
        <f t="shared" ca="1" si="186"/>
        <v>44519</v>
      </c>
      <c r="AA1092" s="80" t="str">
        <f t="shared" ca="1" si="187"/>
        <v>CLZ1</v>
      </c>
      <c r="AB1092" s="74">
        <f t="shared" si="189"/>
        <v>44498</v>
      </c>
      <c r="AC1092" s="80" t="str">
        <f t="shared" si="188"/>
        <v>LCOZ1</v>
      </c>
      <c r="AD1092" s="80" t="str">
        <f t="shared" si="190"/>
        <v>CLZ1</v>
      </c>
      <c r="AE1092" s="80" t="str">
        <f t="shared" si="191"/>
        <v>LCOF2</v>
      </c>
      <c r="AF1092" s="80" t="str">
        <f t="shared" si="192"/>
        <v>CLF2</v>
      </c>
      <c r="AG1092" s="80" t="str">
        <f t="shared" si="193"/>
        <v>LCOG2</v>
      </c>
      <c r="AH1092" s="80" t="str">
        <f t="shared" si="194"/>
        <v>LCOH2</v>
      </c>
    </row>
    <row r="1093" spans="25:34" x14ac:dyDescent="0.35">
      <c r="Y1093" s="74">
        <f t="shared" si="185"/>
        <v>44496</v>
      </c>
      <c r="Z1093" s="74">
        <f t="shared" ca="1" si="186"/>
        <v>44519</v>
      </c>
      <c r="AA1093" s="80" t="str">
        <f t="shared" ca="1" si="187"/>
        <v>CLZ1</v>
      </c>
      <c r="AB1093" s="74">
        <f t="shared" si="189"/>
        <v>44498</v>
      </c>
      <c r="AC1093" s="80" t="str">
        <f t="shared" si="188"/>
        <v>LCOZ1</v>
      </c>
      <c r="AD1093" s="80" t="str">
        <f t="shared" si="190"/>
        <v>CLZ1</v>
      </c>
      <c r="AE1093" s="80" t="str">
        <f t="shared" si="191"/>
        <v>LCOF2</v>
      </c>
      <c r="AF1093" s="80" t="str">
        <f t="shared" si="192"/>
        <v>CLF2</v>
      </c>
      <c r="AG1093" s="80" t="str">
        <f t="shared" si="193"/>
        <v>LCOG2</v>
      </c>
      <c r="AH1093" s="80" t="str">
        <f t="shared" si="194"/>
        <v>LCOH2</v>
      </c>
    </row>
    <row r="1094" spans="25:34" x14ac:dyDescent="0.35">
      <c r="Y1094" s="74">
        <f t="shared" si="185"/>
        <v>44497</v>
      </c>
      <c r="Z1094" s="74">
        <f t="shared" ca="1" si="186"/>
        <v>44519</v>
      </c>
      <c r="AA1094" s="80" t="str">
        <f t="shared" ca="1" si="187"/>
        <v>CLZ1</v>
      </c>
      <c r="AB1094" s="74">
        <f t="shared" si="189"/>
        <v>44498</v>
      </c>
      <c r="AC1094" s="80" t="str">
        <f t="shared" si="188"/>
        <v>LCOZ1</v>
      </c>
      <c r="AD1094" s="80" t="str">
        <f t="shared" si="190"/>
        <v>CLZ1</v>
      </c>
      <c r="AE1094" s="80" t="str">
        <f t="shared" si="191"/>
        <v>LCOF2</v>
      </c>
      <c r="AF1094" s="80" t="str">
        <f t="shared" si="192"/>
        <v>CLF2</v>
      </c>
      <c r="AG1094" s="80" t="str">
        <f t="shared" si="193"/>
        <v>LCOG2</v>
      </c>
      <c r="AH1094" s="80" t="str">
        <f t="shared" si="194"/>
        <v>LCOH2</v>
      </c>
    </row>
    <row r="1095" spans="25:34" x14ac:dyDescent="0.35">
      <c r="Y1095" s="74">
        <f t="shared" si="185"/>
        <v>44498</v>
      </c>
      <c r="Z1095" s="74">
        <f t="shared" ca="1" si="186"/>
        <v>44519</v>
      </c>
      <c r="AA1095" s="80" t="str">
        <f t="shared" ca="1" si="187"/>
        <v>CLZ1</v>
      </c>
      <c r="AB1095" s="74">
        <f t="shared" si="189"/>
        <v>44498</v>
      </c>
      <c r="AC1095" s="80" t="str">
        <f t="shared" si="188"/>
        <v>LCOZ1</v>
      </c>
      <c r="AD1095" s="80" t="str">
        <f t="shared" si="190"/>
        <v>CLZ1</v>
      </c>
      <c r="AE1095" s="80" t="str">
        <f t="shared" si="191"/>
        <v>LCOF2</v>
      </c>
      <c r="AF1095" s="80" t="str">
        <f t="shared" si="192"/>
        <v>CLF2</v>
      </c>
      <c r="AG1095" s="80" t="str">
        <f t="shared" si="193"/>
        <v>LCOG2</v>
      </c>
      <c r="AH1095" s="80" t="str">
        <f t="shared" si="194"/>
        <v>LCOH2</v>
      </c>
    </row>
    <row r="1096" spans="25:34" x14ac:dyDescent="0.35">
      <c r="Y1096" s="74">
        <f t="shared" si="185"/>
        <v>44499</v>
      </c>
      <c r="Z1096" s="74">
        <f t="shared" ca="1" si="186"/>
        <v>44519</v>
      </c>
      <c r="AA1096" s="80" t="str">
        <f t="shared" ca="1" si="187"/>
        <v>CLZ1</v>
      </c>
      <c r="AB1096" s="74">
        <f t="shared" si="189"/>
        <v>44530</v>
      </c>
      <c r="AC1096" s="80" t="str">
        <f t="shared" si="188"/>
        <v>LCOF2</v>
      </c>
      <c r="AD1096" s="80" t="str">
        <f t="shared" si="190"/>
        <v>CLF2</v>
      </c>
      <c r="AE1096" s="80" t="str">
        <f t="shared" si="191"/>
        <v>LCOG2</v>
      </c>
      <c r="AF1096" s="80" t="str">
        <f t="shared" si="192"/>
        <v>CLG2</v>
      </c>
      <c r="AG1096" s="80" t="str">
        <f t="shared" si="193"/>
        <v>LCOH2</v>
      </c>
      <c r="AH1096" s="80" t="str">
        <f t="shared" si="194"/>
        <v>LCOJ2</v>
      </c>
    </row>
    <row r="1097" spans="25:34" x14ac:dyDescent="0.35">
      <c r="Y1097" s="74">
        <f t="shared" si="185"/>
        <v>44500</v>
      </c>
      <c r="Z1097" s="74">
        <f t="shared" ca="1" si="186"/>
        <v>44519</v>
      </c>
      <c r="AA1097" s="80" t="str">
        <f t="shared" ca="1" si="187"/>
        <v>CLZ1</v>
      </c>
      <c r="AB1097" s="74">
        <f t="shared" si="189"/>
        <v>44530</v>
      </c>
      <c r="AC1097" s="80" t="str">
        <f t="shared" si="188"/>
        <v>LCOF2</v>
      </c>
      <c r="AD1097" s="80" t="str">
        <f t="shared" si="190"/>
        <v>CLF2</v>
      </c>
      <c r="AE1097" s="80" t="str">
        <f t="shared" si="191"/>
        <v>LCOG2</v>
      </c>
      <c r="AF1097" s="80" t="str">
        <f t="shared" si="192"/>
        <v>CLG2</v>
      </c>
      <c r="AG1097" s="80" t="str">
        <f t="shared" si="193"/>
        <v>LCOH2</v>
      </c>
      <c r="AH1097" s="80" t="str">
        <f t="shared" si="194"/>
        <v>LCOJ2</v>
      </c>
    </row>
    <row r="1098" spans="25:34" x14ac:dyDescent="0.35">
      <c r="Y1098" s="74">
        <f t="shared" si="185"/>
        <v>44501</v>
      </c>
      <c r="Z1098" s="74">
        <f t="shared" ca="1" si="186"/>
        <v>44519</v>
      </c>
      <c r="AA1098" s="80" t="str">
        <f t="shared" ca="1" si="187"/>
        <v>CLZ1</v>
      </c>
      <c r="AB1098" s="74">
        <f t="shared" si="189"/>
        <v>44530</v>
      </c>
      <c r="AC1098" s="80" t="str">
        <f t="shared" si="188"/>
        <v>LCOF2</v>
      </c>
      <c r="AD1098" s="80" t="str">
        <f t="shared" si="190"/>
        <v>CLF2</v>
      </c>
      <c r="AE1098" s="80" t="str">
        <f t="shared" si="191"/>
        <v>LCOG2</v>
      </c>
      <c r="AF1098" s="80" t="str">
        <f t="shared" si="192"/>
        <v>CLG2</v>
      </c>
      <c r="AG1098" s="80" t="str">
        <f t="shared" si="193"/>
        <v>LCOH2</v>
      </c>
      <c r="AH1098" s="80" t="str">
        <f t="shared" si="194"/>
        <v>LCOJ2</v>
      </c>
    </row>
    <row r="1099" spans="25:34" x14ac:dyDescent="0.35">
      <c r="Y1099" s="74">
        <f t="shared" si="185"/>
        <v>44502</v>
      </c>
      <c r="Z1099" s="74">
        <f t="shared" ca="1" si="186"/>
        <v>44519</v>
      </c>
      <c r="AA1099" s="80" t="str">
        <f t="shared" ca="1" si="187"/>
        <v>CLZ1</v>
      </c>
      <c r="AB1099" s="74">
        <f t="shared" si="189"/>
        <v>44530</v>
      </c>
      <c r="AC1099" s="80" t="str">
        <f t="shared" si="188"/>
        <v>LCOF2</v>
      </c>
      <c r="AD1099" s="80" t="str">
        <f t="shared" si="190"/>
        <v>CLF2</v>
      </c>
      <c r="AE1099" s="80" t="str">
        <f t="shared" si="191"/>
        <v>LCOG2</v>
      </c>
      <c r="AF1099" s="80" t="str">
        <f t="shared" si="192"/>
        <v>CLG2</v>
      </c>
      <c r="AG1099" s="80" t="str">
        <f t="shared" si="193"/>
        <v>LCOH2</v>
      </c>
      <c r="AH1099" s="80" t="str">
        <f t="shared" si="194"/>
        <v>LCOJ2</v>
      </c>
    </row>
    <row r="1100" spans="25:34" x14ac:dyDescent="0.35">
      <c r="Y1100" s="74">
        <f t="shared" si="185"/>
        <v>44503</v>
      </c>
      <c r="Z1100" s="74">
        <f t="shared" ca="1" si="186"/>
        <v>44519</v>
      </c>
      <c r="AA1100" s="80" t="str">
        <f t="shared" ca="1" si="187"/>
        <v>CLZ1</v>
      </c>
      <c r="AB1100" s="74">
        <f t="shared" si="189"/>
        <v>44530</v>
      </c>
      <c r="AC1100" s="80" t="str">
        <f t="shared" si="188"/>
        <v>LCOF2</v>
      </c>
      <c r="AD1100" s="80" t="str">
        <f t="shared" si="190"/>
        <v>CLF2</v>
      </c>
      <c r="AE1100" s="80" t="str">
        <f t="shared" si="191"/>
        <v>LCOG2</v>
      </c>
      <c r="AF1100" s="80" t="str">
        <f t="shared" si="192"/>
        <v>CLG2</v>
      </c>
      <c r="AG1100" s="80" t="str">
        <f t="shared" si="193"/>
        <v>LCOH2</v>
      </c>
      <c r="AH1100" s="80" t="str">
        <f t="shared" si="194"/>
        <v>LCOJ2</v>
      </c>
    </row>
    <row r="1101" spans="25:34" x14ac:dyDescent="0.35">
      <c r="Y1101" s="74">
        <f t="shared" si="185"/>
        <v>44504</v>
      </c>
      <c r="Z1101" s="74">
        <f t="shared" ca="1" si="186"/>
        <v>44519</v>
      </c>
      <c r="AA1101" s="80" t="str">
        <f t="shared" ca="1" si="187"/>
        <v>CLZ1</v>
      </c>
      <c r="AB1101" s="74">
        <f t="shared" si="189"/>
        <v>44530</v>
      </c>
      <c r="AC1101" s="80" t="str">
        <f t="shared" si="188"/>
        <v>LCOF2</v>
      </c>
      <c r="AD1101" s="80" t="str">
        <f t="shared" si="190"/>
        <v>CLF2</v>
      </c>
      <c r="AE1101" s="80" t="str">
        <f t="shared" si="191"/>
        <v>LCOG2</v>
      </c>
      <c r="AF1101" s="80" t="str">
        <f t="shared" si="192"/>
        <v>CLG2</v>
      </c>
      <c r="AG1101" s="80" t="str">
        <f t="shared" si="193"/>
        <v>LCOH2</v>
      </c>
      <c r="AH1101" s="80" t="str">
        <f t="shared" si="194"/>
        <v>LCOJ2</v>
      </c>
    </row>
    <row r="1102" spans="25:34" x14ac:dyDescent="0.35">
      <c r="Y1102" s="74">
        <f t="shared" si="185"/>
        <v>44505</v>
      </c>
      <c r="Z1102" s="74">
        <f t="shared" ca="1" si="186"/>
        <v>44519</v>
      </c>
      <c r="AA1102" s="80" t="str">
        <f t="shared" ca="1" si="187"/>
        <v>CLZ1</v>
      </c>
      <c r="AB1102" s="74">
        <f t="shared" si="189"/>
        <v>44530</v>
      </c>
      <c r="AC1102" s="80" t="str">
        <f t="shared" si="188"/>
        <v>LCOF2</v>
      </c>
      <c r="AD1102" s="80" t="str">
        <f t="shared" si="190"/>
        <v>CLF2</v>
      </c>
      <c r="AE1102" s="80" t="str">
        <f t="shared" si="191"/>
        <v>LCOG2</v>
      </c>
      <c r="AF1102" s="80" t="str">
        <f t="shared" si="192"/>
        <v>CLG2</v>
      </c>
      <c r="AG1102" s="80" t="str">
        <f t="shared" si="193"/>
        <v>LCOH2</v>
      </c>
      <c r="AH1102" s="80" t="str">
        <f t="shared" si="194"/>
        <v>LCOJ2</v>
      </c>
    </row>
    <row r="1103" spans="25:34" x14ac:dyDescent="0.35">
      <c r="Y1103" s="74">
        <f t="shared" si="185"/>
        <v>44506</v>
      </c>
      <c r="Z1103" s="74">
        <f t="shared" ca="1" si="186"/>
        <v>44519</v>
      </c>
      <c r="AA1103" s="80" t="str">
        <f t="shared" ca="1" si="187"/>
        <v>CLZ1</v>
      </c>
      <c r="AB1103" s="74">
        <f t="shared" si="189"/>
        <v>44530</v>
      </c>
      <c r="AC1103" s="80" t="str">
        <f t="shared" si="188"/>
        <v>LCOF2</v>
      </c>
      <c r="AD1103" s="80" t="str">
        <f t="shared" si="190"/>
        <v>CLF2</v>
      </c>
      <c r="AE1103" s="80" t="str">
        <f t="shared" si="191"/>
        <v>LCOG2</v>
      </c>
      <c r="AF1103" s="80" t="str">
        <f t="shared" si="192"/>
        <v>CLG2</v>
      </c>
      <c r="AG1103" s="80" t="str">
        <f t="shared" si="193"/>
        <v>LCOH2</v>
      </c>
      <c r="AH1103" s="80" t="str">
        <f t="shared" si="194"/>
        <v>LCOJ2</v>
      </c>
    </row>
    <row r="1104" spans="25:34" x14ac:dyDescent="0.35">
      <c r="Y1104" s="74">
        <f t="shared" si="185"/>
        <v>44507</v>
      </c>
      <c r="Z1104" s="74">
        <f t="shared" ca="1" si="186"/>
        <v>44519</v>
      </c>
      <c r="AA1104" s="80" t="str">
        <f t="shared" ca="1" si="187"/>
        <v>CLZ1</v>
      </c>
      <c r="AB1104" s="74">
        <f t="shared" si="189"/>
        <v>44530</v>
      </c>
      <c r="AC1104" s="80" t="str">
        <f t="shared" si="188"/>
        <v>LCOF2</v>
      </c>
      <c r="AD1104" s="80" t="str">
        <f t="shared" si="190"/>
        <v>CLF2</v>
      </c>
      <c r="AE1104" s="80" t="str">
        <f t="shared" si="191"/>
        <v>LCOG2</v>
      </c>
      <c r="AF1104" s="80" t="str">
        <f t="shared" si="192"/>
        <v>CLG2</v>
      </c>
      <c r="AG1104" s="80" t="str">
        <f t="shared" si="193"/>
        <v>LCOH2</v>
      </c>
      <c r="AH1104" s="80" t="str">
        <f t="shared" si="194"/>
        <v>LCOJ2</v>
      </c>
    </row>
    <row r="1105" spans="25:34" x14ac:dyDescent="0.35">
      <c r="Y1105" s="74">
        <f t="shared" si="185"/>
        <v>44508</v>
      </c>
      <c r="Z1105" s="74">
        <f t="shared" ca="1" si="186"/>
        <v>44519</v>
      </c>
      <c r="AA1105" s="80" t="str">
        <f t="shared" ca="1" si="187"/>
        <v>CLZ1</v>
      </c>
      <c r="AB1105" s="74">
        <f t="shared" si="189"/>
        <v>44530</v>
      </c>
      <c r="AC1105" s="80" t="str">
        <f t="shared" si="188"/>
        <v>LCOF2</v>
      </c>
      <c r="AD1105" s="80" t="str">
        <f t="shared" si="190"/>
        <v>CLF2</v>
      </c>
      <c r="AE1105" s="80" t="str">
        <f t="shared" si="191"/>
        <v>LCOG2</v>
      </c>
      <c r="AF1105" s="80" t="str">
        <f t="shared" si="192"/>
        <v>CLG2</v>
      </c>
      <c r="AG1105" s="80" t="str">
        <f t="shared" si="193"/>
        <v>LCOH2</v>
      </c>
      <c r="AH1105" s="80" t="str">
        <f t="shared" si="194"/>
        <v>LCOJ2</v>
      </c>
    </row>
    <row r="1106" spans="25:34" x14ac:dyDescent="0.35">
      <c r="Y1106" s="74">
        <f t="shared" si="185"/>
        <v>44509</v>
      </c>
      <c r="Z1106" s="74">
        <f t="shared" ca="1" si="186"/>
        <v>44519</v>
      </c>
      <c r="AA1106" s="80" t="str">
        <f t="shared" ca="1" si="187"/>
        <v>CLZ1</v>
      </c>
      <c r="AB1106" s="74">
        <f t="shared" si="189"/>
        <v>44530</v>
      </c>
      <c r="AC1106" s="80" t="str">
        <f t="shared" si="188"/>
        <v>LCOF2</v>
      </c>
      <c r="AD1106" s="80" t="str">
        <f t="shared" si="190"/>
        <v>CLF2</v>
      </c>
      <c r="AE1106" s="80" t="str">
        <f t="shared" si="191"/>
        <v>LCOG2</v>
      </c>
      <c r="AF1106" s="80" t="str">
        <f t="shared" si="192"/>
        <v>CLG2</v>
      </c>
      <c r="AG1106" s="80" t="str">
        <f t="shared" si="193"/>
        <v>LCOH2</v>
      </c>
      <c r="AH1106" s="80" t="str">
        <f t="shared" si="194"/>
        <v>LCOJ2</v>
      </c>
    </row>
    <row r="1107" spans="25:34" x14ac:dyDescent="0.35">
      <c r="Y1107" s="74">
        <f t="shared" si="185"/>
        <v>44510</v>
      </c>
      <c r="Z1107" s="74">
        <f t="shared" ca="1" si="186"/>
        <v>44519</v>
      </c>
      <c r="AA1107" s="80" t="str">
        <f t="shared" ca="1" si="187"/>
        <v>CLZ1</v>
      </c>
      <c r="AB1107" s="74">
        <f t="shared" si="189"/>
        <v>44530</v>
      </c>
      <c r="AC1107" s="80" t="str">
        <f t="shared" si="188"/>
        <v>LCOF2</v>
      </c>
      <c r="AD1107" s="80" t="str">
        <f t="shared" si="190"/>
        <v>CLF2</v>
      </c>
      <c r="AE1107" s="80" t="str">
        <f t="shared" si="191"/>
        <v>LCOG2</v>
      </c>
      <c r="AF1107" s="80" t="str">
        <f t="shared" si="192"/>
        <v>CLG2</v>
      </c>
      <c r="AG1107" s="80" t="str">
        <f t="shared" si="193"/>
        <v>LCOH2</v>
      </c>
      <c r="AH1107" s="80" t="str">
        <f t="shared" si="194"/>
        <v>LCOJ2</v>
      </c>
    </row>
    <row r="1108" spans="25:34" x14ac:dyDescent="0.35">
      <c r="Y1108" s="74">
        <f t="shared" si="185"/>
        <v>44511</v>
      </c>
      <c r="Z1108" s="74">
        <f t="shared" ca="1" si="186"/>
        <v>44519</v>
      </c>
      <c r="AA1108" s="80" t="str">
        <f t="shared" ca="1" si="187"/>
        <v>CLZ1</v>
      </c>
      <c r="AB1108" s="74">
        <f t="shared" si="189"/>
        <v>44530</v>
      </c>
      <c r="AC1108" s="80" t="str">
        <f t="shared" si="188"/>
        <v>LCOF2</v>
      </c>
      <c r="AD1108" s="80" t="str">
        <f t="shared" si="190"/>
        <v>CLF2</v>
      </c>
      <c r="AE1108" s="80" t="str">
        <f t="shared" si="191"/>
        <v>LCOG2</v>
      </c>
      <c r="AF1108" s="80" t="str">
        <f t="shared" si="192"/>
        <v>CLG2</v>
      </c>
      <c r="AG1108" s="80" t="str">
        <f t="shared" si="193"/>
        <v>LCOH2</v>
      </c>
      <c r="AH1108" s="80" t="str">
        <f t="shared" si="194"/>
        <v>LCOJ2</v>
      </c>
    </row>
    <row r="1109" spans="25:34" x14ac:dyDescent="0.35">
      <c r="Y1109" s="74">
        <f t="shared" si="185"/>
        <v>44512</v>
      </c>
      <c r="Z1109" s="74">
        <f t="shared" ca="1" si="186"/>
        <v>44519</v>
      </c>
      <c r="AA1109" s="80" t="str">
        <f t="shared" ca="1" si="187"/>
        <v>CLZ1</v>
      </c>
      <c r="AB1109" s="74">
        <f t="shared" si="189"/>
        <v>44530</v>
      </c>
      <c r="AC1109" s="80" t="str">
        <f t="shared" si="188"/>
        <v>LCOF2</v>
      </c>
      <c r="AD1109" s="80" t="str">
        <f t="shared" si="190"/>
        <v>CLF2</v>
      </c>
      <c r="AE1109" s="80" t="str">
        <f t="shared" si="191"/>
        <v>LCOG2</v>
      </c>
      <c r="AF1109" s="80" t="str">
        <f t="shared" si="192"/>
        <v>CLG2</v>
      </c>
      <c r="AG1109" s="80" t="str">
        <f t="shared" si="193"/>
        <v>LCOH2</v>
      </c>
      <c r="AH1109" s="80" t="str">
        <f t="shared" si="194"/>
        <v>LCOJ2</v>
      </c>
    </row>
    <row r="1110" spans="25:34" x14ac:dyDescent="0.35">
      <c r="Y1110" s="74">
        <f t="shared" si="185"/>
        <v>44513</v>
      </c>
      <c r="Z1110" s="74">
        <f t="shared" ca="1" si="186"/>
        <v>44519</v>
      </c>
      <c r="AA1110" s="80" t="str">
        <f t="shared" ca="1" si="187"/>
        <v>CLZ1</v>
      </c>
      <c r="AB1110" s="74">
        <f t="shared" si="189"/>
        <v>44530</v>
      </c>
      <c r="AC1110" s="80" t="str">
        <f t="shared" si="188"/>
        <v>LCOF2</v>
      </c>
      <c r="AD1110" s="80" t="str">
        <f t="shared" si="190"/>
        <v>CLF2</v>
      </c>
      <c r="AE1110" s="80" t="str">
        <f t="shared" si="191"/>
        <v>LCOG2</v>
      </c>
      <c r="AF1110" s="80" t="str">
        <f t="shared" si="192"/>
        <v>CLG2</v>
      </c>
      <c r="AG1110" s="80" t="str">
        <f t="shared" si="193"/>
        <v>LCOH2</v>
      </c>
      <c r="AH1110" s="80" t="str">
        <f t="shared" si="194"/>
        <v>LCOJ2</v>
      </c>
    </row>
    <row r="1111" spans="25:34" x14ac:dyDescent="0.35">
      <c r="Y1111" s="74">
        <f t="shared" si="185"/>
        <v>44514</v>
      </c>
      <c r="Z1111" s="74">
        <f t="shared" ca="1" si="186"/>
        <v>44519</v>
      </c>
      <c r="AA1111" s="80" t="str">
        <f t="shared" ca="1" si="187"/>
        <v>CLZ1</v>
      </c>
      <c r="AB1111" s="74">
        <f t="shared" si="189"/>
        <v>44530</v>
      </c>
      <c r="AC1111" s="80" t="str">
        <f t="shared" si="188"/>
        <v>LCOF2</v>
      </c>
      <c r="AD1111" s="80" t="str">
        <f t="shared" si="190"/>
        <v>CLF2</v>
      </c>
      <c r="AE1111" s="80" t="str">
        <f t="shared" si="191"/>
        <v>LCOG2</v>
      </c>
      <c r="AF1111" s="80" t="str">
        <f t="shared" si="192"/>
        <v>CLG2</v>
      </c>
      <c r="AG1111" s="80" t="str">
        <f t="shared" si="193"/>
        <v>LCOH2</v>
      </c>
      <c r="AH1111" s="80" t="str">
        <f t="shared" si="194"/>
        <v>LCOJ2</v>
      </c>
    </row>
    <row r="1112" spans="25:34" x14ac:dyDescent="0.35">
      <c r="Y1112" s="74">
        <f t="shared" si="185"/>
        <v>44515</v>
      </c>
      <c r="Z1112" s="74">
        <f t="shared" ca="1" si="186"/>
        <v>44519</v>
      </c>
      <c r="AA1112" s="80" t="str">
        <f t="shared" ca="1" si="187"/>
        <v>CLZ1</v>
      </c>
      <c r="AB1112" s="74">
        <f t="shared" si="189"/>
        <v>44530</v>
      </c>
      <c r="AC1112" s="80" t="str">
        <f t="shared" si="188"/>
        <v>LCOF2</v>
      </c>
      <c r="AD1112" s="80" t="str">
        <f t="shared" si="190"/>
        <v>CLF2</v>
      </c>
      <c r="AE1112" s="80" t="str">
        <f t="shared" si="191"/>
        <v>LCOG2</v>
      </c>
      <c r="AF1112" s="80" t="str">
        <f t="shared" si="192"/>
        <v>CLG2</v>
      </c>
      <c r="AG1112" s="80" t="str">
        <f t="shared" si="193"/>
        <v>LCOH2</v>
      </c>
      <c r="AH1112" s="80" t="str">
        <f t="shared" si="194"/>
        <v>LCOJ2</v>
      </c>
    </row>
    <row r="1113" spans="25:34" x14ac:dyDescent="0.35">
      <c r="Y1113" s="74">
        <f t="shared" si="185"/>
        <v>44516</v>
      </c>
      <c r="Z1113" s="74">
        <f t="shared" ca="1" si="186"/>
        <v>44519</v>
      </c>
      <c r="AA1113" s="80" t="str">
        <f t="shared" ca="1" si="187"/>
        <v>CLZ1</v>
      </c>
      <c r="AB1113" s="74">
        <f t="shared" si="189"/>
        <v>44530</v>
      </c>
      <c r="AC1113" s="80" t="str">
        <f t="shared" si="188"/>
        <v>LCOF2</v>
      </c>
      <c r="AD1113" s="80" t="str">
        <f t="shared" si="190"/>
        <v>CLF2</v>
      </c>
      <c r="AE1113" s="80" t="str">
        <f t="shared" si="191"/>
        <v>LCOG2</v>
      </c>
      <c r="AF1113" s="80" t="str">
        <f t="shared" si="192"/>
        <v>CLG2</v>
      </c>
      <c r="AG1113" s="80" t="str">
        <f t="shared" si="193"/>
        <v>LCOH2</v>
      </c>
      <c r="AH1113" s="80" t="str">
        <f t="shared" si="194"/>
        <v>LCOJ2</v>
      </c>
    </row>
    <row r="1114" spans="25:34" x14ac:dyDescent="0.35">
      <c r="Y1114" s="74">
        <f t="shared" si="185"/>
        <v>44517</v>
      </c>
      <c r="Z1114" s="74">
        <f t="shared" ca="1" si="186"/>
        <v>44519</v>
      </c>
      <c r="AA1114" s="80" t="str">
        <f t="shared" ca="1" si="187"/>
        <v>CLZ1</v>
      </c>
      <c r="AB1114" s="74">
        <f t="shared" si="189"/>
        <v>44530</v>
      </c>
      <c r="AC1114" s="80" t="str">
        <f t="shared" si="188"/>
        <v>LCOF2</v>
      </c>
      <c r="AD1114" s="80" t="str">
        <f t="shared" si="190"/>
        <v>CLF2</v>
      </c>
      <c r="AE1114" s="80" t="str">
        <f t="shared" si="191"/>
        <v>LCOG2</v>
      </c>
      <c r="AF1114" s="80" t="str">
        <f t="shared" si="192"/>
        <v>CLG2</v>
      </c>
      <c r="AG1114" s="80" t="str">
        <f t="shared" si="193"/>
        <v>LCOH2</v>
      </c>
      <c r="AH1114" s="80" t="str">
        <f t="shared" si="194"/>
        <v>LCOJ2</v>
      </c>
    </row>
    <row r="1115" spans="25:34" x14ac:dyDescent="0.35">
      <c r="Y1115" s="74">
        <f t="shared" si="185"/>
        <v>44518</v>
      </c>
      <c r="Z1115" s="74">
        <f t="shared" ca="1" si="186"/>
        <v>44519</v>
      </c>
      <c r="AA1115" s="80" t="str">
        <f t="shared" ca="1" si="187"/>
        <v>CLZ1</v>
      </c>
      <c r="AB1115" s="74">
        <f t="shared" si="189"/>
        <v>44530</v>
      </c>
      <c r="AC1115" s="80" t="str">
        <f t="shared" si="188"/>
        <v>LCOF2</v>
      </c>
      <c r="AD1115" s="80" t="str">
        <f t="shared" si="190"/>
        <v>CLF2</v>
      </c>
      <c r="AE1115" s="80" t="str">
        <f t="shared" si="191"/>
        <v>LCOG2</v>
      </c>
      <c r="AF1115" s="80" t="str">
        <f t="shared" si="192"/>
        <v>CLG2</v>
      </c>
      <c r="AG1115" s="80" t="str">
        <f t="shared" si="193"/>
        <v>LCOH2</v>
      </c>
      <c r="AH1115" s="80" t="str">
        <f t="shared" si="194"/>
        <v>LCOJ2</v>
      </c>
    </row>
    <row r="1116" spans="25:34" x14ac:dyDescent="0.35">
      <c r="Y1116" s="74">
        <f t="shared" si="185"/>
        <v>44519</v>
      </c>
      <c r="Z1116" s="74">
        <f t="shared" ca="1" si="186"/>
        <v>44519</v>
      </c>
      <c r="AA1116" s="80" t="str">
        <f t="shared" ca="1" si="187"/>
        <v>CLZ1</v>
      </c>
      <c r="AB1116" s="74">
        <f t="shared" si="189"/>
        <v>44530</v>
      </c>
      <c r="AC1116" s="80" t="str">
        <f t="shared" si="188"/>
        <v>LCOF2</v>
      </c>
      <c r="AD1116" s="80" t="str">
        <f t="shared" si="190"/>
        <v>CLF2</v>
      </c>
      <c r="AE1116" s="80" t="str">
        <f t="shared" si="191"/>
        <v>LCOG2</v>
      </c>
      <c r="AF1116" s="80" t="str">
        <f t="shared" si="192"/>
        <v>CLG2</v>
      </c>
      <c r="AG1116" s="80" t="str">
        <f t="shared" si="193"/>
        <v>LCOH2</v>
      </c>
      <c r="AH1116" s="80" t="str">
        <f t="shared" si="194"/>
        <v>LCOJ2</v>
      </c>
    </row>
    <row r="1117" spans="25:34" x14ac:dyDescent="0.35">
      <c r="Y1117" s="74">
        <f t="shared" si="185"/>
        <v>44520</v>
      </c>
      <c r="Z1117" s="74">
        <f t="shared" ca="1" si="186"/>
        <v>44550</v>
      </c>
      <c r="AA1117" s="80" t="str">
        <f t="shared" ca="1" si="187"/>
        <v>CLF2</v>
      </c>
      <c r="AB1117" s="74">
        <f t="shared" si="189"/>
        <v>44530</v>
      </c>
      <c r="AC1117" s="80" t="str">
        <f t="shared" si="188"/>
        <v>LCOF2</v>
      </c>
      <c r="AD1117" s="80" t="str">
        <f t="shared" si="190"/>
        <v>CLF2</v>
      </c>
      <c r="AE1117" s="80" t="str">
        <f t="shared" si="191"/>
        <v>LCOG2</v>
      </c>
      <c r="AF1117" s="80" t="str">
        <f t="shared" si="192"/>
        <v>CLG2</v>
      </c>
      <c r="AG1117" s="80" t="str">
        <f t="shared" si="193"/>
        <v>LCOH2</v>
      </c>
      <c r="AH1117" s="80" t="str">
        <f t="shared" si="194"/>
        <v>LCOJ2</v>
      </c>
    </row>
    <row r="1118" spans="25:34" x14ac:dyDescent="0.35">
      <c r="Y1118" s="74">
        <f t="shared" si="185"/>
        <v>44521</v>
      </c>
      <c r="Z1118" s="74">
        <f t="shared" ca="1" si="186"/>
        <v>44550</v>
      </c>
      <c r="AA1118" s="80" t="str">
        <f t="shared" ca="1" si="187"/>
        <v>CLF2</v>
      </c>
      <c r="AB1118" s="74">
        <f t="shared" si="189"/>
        <v>44530</v>
      </c>
      <c r="AC1118" s="80" t="str">
        <f t="shared" si="188"/>
        <v>LCOF2</v>
      </c>
      <c r="AD1118" s="80" t="str">
        <f t="shared" si="190"/>
        <v>CLF2</v>
      </c>
      <c r="AE1118" s="80" t="str">
        <f t="shared" si="191"/>
        <v>LCOG2</v>
      </c>
      <c r="AF1118" s="80" t="str">
        <f t="shared" si="192"/>
        <v>CLG2</v>
      </c>
      <c r="AG1118" s="80" t="str">
        <f t="shared" si="193"/>
        <v>LCOH2</v>
      </c>
      <c r="AH1118" s="80" t="str">
        <f t="shared" si="194"/>
        <v>LCOJ2</v>
      </c>
    </row>
    <row r="1119" spans="25:34" x14ac:dyDescent="0.35">
      <c r="Y1119" s="74">
        <f t="shared" si="185"/>
        <v>44522</v>
      </c>
      <c r="Z1119" s="74">
        <f t="shared" ca="1" si="186"/>
        <v>44550</v>
      </c>
      <c r="AA1119" s="80" t="str">
        <f t="shared" ca="1" si="187"/>
        <v>CLF2</v>
      </c>
      <c r="AB1119" s="74">
        <f t="shared" si="189"/>
        <v>44530</v>
      </c>
      <c r="AC1119" s="80" t="str">
        <f t="shared" si="188"/>
        <v>LCOF2</v>
      </c>
      <c r="AD1119" s="80" t="str">
        <f t="shared" si="190"/>
        <v>CLF2</v>
      </c>
      <c r="AE1119" s="80" t="str">
        <f t="shared" si="191"/>
        <v>LCOG2</v>
      </c>
      <c r="AF1119" s="80" t="str">
        <f t="shared" si="192"/>
        <v>CLG2</v>
      </c>
      <c r="AG1119" s="80" t="str">
        <f t="shared" si="193"/>
        <v>LCOH2</v>
      </c>
      <c r="AH1119" s="80" t="str">
        <f t="shared" si="194"/>
        <v>LCOJ2</v>
      </c>
    </row>
    <row r="1120" spans="25:34" x14ac:dyDescent="0.35">
      <c r="Y1120" s="74">
        <f t="shared" si="185"/>
        <v>44523</v>
      </c>
      <c r="Z1120" s="74">
        <f t="shared" ca="1" si="186"/>
        <v>44550</v>
      </c>
      <c r="AA1120" s="80" t="str">
        <f t="shared" ca="1" si="187"/>
        <v>CLF2</v>
      </c>
      <c r="AB1120" s="74">
        <f t="shared" si="189"/>
        <v>44530</v>
      </c>
      <c r="AC1120" s="80" t="str">
        <f t="shared" si="188"/>
        <v>LCOF2</v>
      </c>
      <c r="AD1120" s="80" t="str">
        <f t="shared" si="190"/>
        <v>CLF2</v>
      </c>
      <c r="AE1120" s="80" t="str">
        <f t="shared" si="191"/>
        <v>LCOG2</v>
      </c>
      <c r="AF1120" s="80" t="str">
        <f t="shared" si="192"/>
        <v>CLG2</v>
      </c>
      <c r="AG1120" s="80" t="str">
        <f t="shared" si="193"/>
        <v>LCOH2</v>
      </c>
      <c r="AH1120" s="80" t="str">
        <f t="shared" si="194"/>
        <v>LCOJ2</v>
      </c>
    </row>
    <row r="1121" spans="25:34" x14ac:dyDescent="0.35">
      <c r="Y1121" s="74">
        <f t="shared" ref="Y1121:Y1184" si="195">Y1120+1</f>
        <v>44524</v>
      </c>
      <c r="Z1121" s="74">
        <f t="shared" ca="1" si="186"/>
        <v>44550</v>
      </c>
      <c r="AA1121" s="80" t="str">
        <f t="shared" ca="1" si="187"/>
        <v>CLF2</v>
      </c>
      <c r="AB1121" s="74">
        <f t="shared" si="189"/>
        <v>44530</v>
      </c>
      <c r="AC1121" s="80" t="str">
        <f t="shared" si="188"/>
        <v>LCOF2</v>
      </c>
      <c r="AD1121" s="80" t="str">
        <f t="shared" si="190"/>
        <v>CLF2</v>
      </c>
      <c r="AE1121" s="80" t="str">
        <f t="shared" si="191"/>
        <v>LCOG2</v>
      </c>
      <c r="AF1121" s="80" t="str">
        <f t="shared" si="192"/>
        <v>CLG2</v>
      </c>
      <c r="AG1121" s="80" t="str">
        <f t="shared" si="193"/>
        <v>LCOH2</v>
      </c>
      <c r="AH1121" s="80" t="str">
        <f t="shared" si="194"/>
        <v>LCOJ2</v>
      </c>
    </row>
    <row r="1122" spans="25:34" x14ac:dyDescent="0.35">
      <c r="Y1122" s="74">
        <f t="shared" si="195"/>
        <v>44525</v>
      </c>
      <c r="Z1122" s="74">
        <f t="shared" ca="1" si="186"/>
        <v>44550</v>
      </c>
      <c r="AA1122" s="80" t="str">
        <f t="shared" ca="1" si="187"/>
        <v>CLF2</v>
      </c>
      <c r="AB1122" s="74">
        <f t="shared" si="189"/>
        <v>44530</v>
      </c>
      <c r="AC1122" s="80" t="str">
        <f t="shared" si="188"/>
        <v>LCOF2</v>
      </c>
      <c r="AD1122" s="80" t="str">
        <f t="shared" si="190"/>
        <v>CLF2</v>
      </c>
      <c r="AE1122" s="80" t="str">
        <f t="shared" si="191"/>
        <v>LCOG2</v>
      </c>
      <c r="AF1122" s="80" t="str">
        <f t="shared" si="192"/>
        <v>CLG2</v>
      </c>
      <c r="AG1122" s="80" t="str">
        <f t="shared" si="193"/>
        <v>LCOH2</v>
      </c>
      <c r="AH1122" s="80" t="str">
        <f t="shared" si="194"/>
        <v>LCOJ2</v>
      </c>
    </row>
    <row r="1123" spans="25:34" x14ac:dyDescent="0.35">
      <c r="Y1123" s="74">
        <f t="shared" si="195"/>
        <v>44526</v>
      </c>
      <c r="Z1123" s="74">
        <f t="shared" ca="1" si="186"/>
        <v>44550</v>
      </c>
      <c r="AA1123" s="80" t="str">
        <f t="shared" ca="1" si="187"/>
        <v>CLF2</v>
      </c>
      <c r="AB1123" s="74">
        <f t="shared" si="189"/>
        <v>44530</v>
      </c>
      <c r="AC1123" s="80" t="str">
        <f t="shared" si="188"/>
        <v>LCOF2</v>
      </c>
      <c r="AD1123" s="80" t="str">
        <f t="shared" si="190"/>
        <v>CLF2</v>
      </c>
      <c r="AE1123" s="80" t="str">
        <f t="shared" si="191"/>
        <v>LCOG2</v>
      </c>
      <c r="AF1123" s="80" t="str">
        <f t="shared" si="192"/>
        <v>CLG2</v>
      </c>
      <c r="AG1123" s="80" t="str">
        <f t="shared" si="193"/>
        <v>LCOH2</v>
      </c>
      <c r="AH1123" s="80" t="str">
        <f t="shared" si="194"/>
        <v>LCOJ2</v>
      </c>
    </row>
    <row r="1124" spans="25:34" x14ac:dyDescent="0.35">
      <c r="Y1124" s="74">
        <f t="shared" si="195"/>
        <v>44527</v>
      </c>
      <c r="Z1124" s="74">
        <f t="shared" ca="1" si="186"/>
        <v>44550</v>
      </c>
      <c r="AA1124" s="80" t="str">
        <f t="shared" ca="1" si="187"/>
        <v>CLF2</v>
      </c>
      <c r="AB1124" s="74">
        <f t="shared" si="189"/>
        <v>44530</v>
      </c>
      <c r="AC1124" s="80" t="str">
        <f t="shared" si="188"/>
        <v>LCOF2</v>
      </c>
      <c r="AD1124" s="80" t="str">
        <f t="shared" si="190"/>
        <v>CLF2</v>
      </c>
      <c r="AE1124" s="80" t="str">
        <f t="shared" si="191"/>
        <v>LCOG2</v>
      </c>
      <c r="AF1124" s="80" t="str">
        <f t="shared" si="192"/>
        <v>CLG2</v>
      </c>
      <c r="AG1124" s="80" t="str">
        <f t="shared" si="193"/>
        <v>LCOH2</v>
      </c>
      <c r="AH1124" s="80" t="str">
        <f t="shared" si="194"/>
        <v>LCOJ2</v>
      </c>
    </row>
    <row r="1125" spans="25:34" x14ac:dyDescent="0.35">
      <c r="Y1125" s="74">
        <f t="shared" si="195"/>
        <v>44528</v>
      </c>
      <c r="Z1125" s="74">
        <f t="shared" ca="1" si="186"/>
        <v>44550</v>
      </c>
      <c r="AA1125" s="80" t="str">
        <f t="shared" ca="1" si="187"/>
        <v>CLF2</v>
      </c>
      <c r="AB1125" s="74">
        <f t="shared" si="189"/>
        <v>44530</v>
      </c>
      <c r="AC1125" s="80" t="str">
        <f t="shared" si="188"/>
        <v>LCOF2</v>
      </c>
      <c r="AD1125" s="80" t="str">
        <f t="shared" si="190"/>
        <v>CLF2</v>
      </c>
      <c r="AE1125" s="80" t="str">
        <f t="shared" si="191"/>
        <v>LCOG2</v>
      </c>
      <c r="AF1125" s="80" t="str">
        <f t="shared" si="192"/>
        <v>CLG2</v>
      </c>
      <c r="AG1125" s="80" t="str">
        <f t="shared" si="193"/>
        <v>LCOH2</v>
      </c>
      <c r="AH1125" s="80" t="str">
        <f t="shared" si="194"/>
        <v>LCOJ2</v>
      </c>
    </row>
    <row r="1126" spans="25:34" x14ac:dyDescent="0.35">
      <c r="Y1126" s="74">
        <f t="shared" si="195"/>
        <v>44529</v>
      </c>
      <c r="Z1126" s="74">
        <f t="shared" ca="1" si="186"/>
        <v>44550</v>
      </c>
      <c r="AA1126" s="80" t="str">
        <f t="shared" ca="1" si="187"/>
        <v>CLF2</v>
      </c>
      <c r="AB1126" s="74">
        <f t="shared" si="189"/>
        <v>44530</v>
      </c>
      <c r="AC1126" s="80" t="str">
        <f t="shared" si="188"/>
        <v>LCOF2</v>
      </c>
      <c r="AD1126" s="80" t="str">
        <f t="shared" si="190"/>
        <v>CLF2</v>
      </c>
      <c r="AE1126" s="80" t="str">
        <f t="shared" si="191"/>
        <v>LCOG2</v>
      </c>
      <c r="AF1126" s="80" t="str">
        <f t="shared" si="192"/>
        <v>CLG2</v>
      </c>
      <c r="AG1126" s="80" t="str">
        <f t="shared" si="193"/>
        <v>LCOH2</v>
      </c>
      <c r="AH1126" s="80" t="str">
        <f t="shared" si="194"/>
        <v>LCOJ2</v>
      </c>
    </row>
    <row r="1127" spans="25:34" x14ac:dyDescent="0.35">
      <c r="Y1127" s="74">
        <f t="shared" si="195"/>
        <v>44530</v>
      </c>
      <c r="Z1127" s="74">
        <f t="shared" ca="1" si="186"/>
        <v>44550</v>
      </c>
      <c r="AA1127" s="80" t="str">
        <f t="shared" ca="1" si="187"/>
        <v>CLF2</v>
      </c>
      <c r="AB1127" s="74">
        <f t="shared" si="189"/>
        <v>44530</v>
      </c>
      <c r="AC1127" s="80" t="str">
        <f t="shared" si="188"/>
        <v>LCOF2</v>
      </c>
      <c r="AD1127" s="80" t="str">
        <f t="shared" si="190"/>
        <v>CLF2</v>
      </c>
      <c r="AE1127" s="80" t="str">
        <f t="shared" si="191"/>
        <v>LCOG2</v>
      </c>
      <c r="AF1127" s="80" t="str">
        <f t="shared" si="192"/>
        <v>CLG2</v>
      </c>
      <c r="AG1127" s="80" t="str">
        <f t="shared" si="193"/>
        <v>LCOH2</v>
      </c>
      <c r="AH1127" s="80" t="str">
        <f t="shared" si="194"/>
        <v>LCOJ2</v>
      </c>
    </row>
    <row r="1128" spans="25:34" x14ac:dyDescent="0.35">
      <c r="Y1128" s="74">
        <f t="shared" si="195"/>
        <v>44531</v>
      </c>
      <c r="Z1128" s="74">
        <f t="shared" ca="1" si="186"/>
        <v>44550</v>
      </c>
      <c r="AA1128" s="80" t="str">
        <f t="shared" ca="1" si="187"/>
        <v>CLF2</v>
      </c>
      <c r="AB1128" s="74" t="e">
        <f t="shared" si="189"/>
        <v>#N/A</v>
      </c>
      <c r="AC1128" s="80" t="str">
        <f t="shared" si="188"/>
        <v>LCOG2</v>
      </c>
      <c r="AD1128" s="80" t="str">
        <f t="shared" si="190"/>
        <v>CLG2</v>
      </c>
      <c r="AE1128" s="80" t="str">
        <f t="shared" si="191"/>
        <v>LCOH2</v>
      </c>
      <c r="AF1128" s="80" t="str">
        <f t="shared" si="192"/>
        <v>CLH2</v>
      </c>
      <c r="AG1128" s="80" t="str">
        <f t="shared" si="193"/>
        <v>LCOJ2</v>
      </c>
      <c r="AH1128" s="80" t="str">
        <f t="shared" si="194"/>
        <v>LCOK2</v>
      </c>
    </row>
    <row r="1129" spans="25:34" x14ac:dyDescent="0.35">
      <c r="Y1129" s="74">
        <f t="shared" si="195"/>
        <v>44532</v>
      </c>
      <c r="Z1129" s="74">
        <f t="shared" ca="1" si="186"/>
        <v>44550</v>
      </c>
      <c r="AA1129" s="80" t="str">
        <f t="shared" ca="1" si="187"/>
        <v>CLF2</v>
      </c>
      <c r="AB1129" s="74" t="e">
        <f t="shared" si="189"/>
        <v>#N/A</v>
      </c>
      <c r="AC1129" s="80" t="str">
        <f t="shared" si="188"/>
        <v>LCOG2</v>
      </c>
      <c r="AD1129" s="80" t="str">
        <f t="shared" si="190"/>
        <v>CLG2</v>
      </c>
      <c r="AE1129" s="80" t="str">
        <f t="shared" si="191"/>
        <v>LCOH2</v>
      </c>
      <c r="AF1129" s="80" t="str">
        <f t="shared" si="192"/>
        <v>CLH2</v>
      </c>
      <c r="AG1129" s="80" t="str">
        <f t="shared" si="193"/>
        <v>LCOJ2</v>
      </c>
      <c r="AH1129" s="80" t="str">
        <f t="shared" si="194"/>
        <v>LCOK2</v>
      </c>
    </row>
    <row r="1130" spans="25:34" x14ac:dyDescent="0.35">
      <c r="Y1130" s="74">
        <f t="shared" si="195"/>
        <v>44533</v>
      </c>
      <c r="Z1130" s="74">
        <f t="shared" ca="1" si="186"/>
        <v>44550</v>
      </c>
      <c r="AA1130" s="80" t="str">
        <f t="shared" ca="1" si="187"/>
        <v>CLF2</v>
      </c>
      <c r="AB1130" s="74" t="e">
        <f t="shared" si="189"/>
        <v>#N/A</v>
      </c>
      <c r="AC1130" s="80" t="str">
        <f t="shared" si="188"/>
        <v>LCOG2</v>
      </c>
      <c r="AD1130" s="80" t="str">
        <f t="shared" si="190"/>
        <v>CLG2</v>
      </c>
      <c r="AE1130" s="80" t="str">
        <f t="shared" si="191"/>
        <v>LCOH2</v>
      </c>
      <c r="AF1130" s="80" t="str">
        <f t="shared" si="192"/>
        <v>CLH2</v>
      </c>
      <c r="AG1130" s="80" t="str">
        <f t="shared" si="193"/>
        <v>LCOJ2</v>
      </c>
      <c r="AH1130" s="80" t="str">
        <f t="shared" si="194"/>
        <v>LCOK2</v>
      </c>
    </row>
    <row r="1131" spans="25:34" x14ac:dyDescent="0.35">
      <c r="Y1131" s="74">
        <f t="shared" si="195"/>
        <v>44534</v>
      </c>
      <c r="Z1131" s="74">
        <f t="shared" ca="1" si="186"/>
        <v>44550</v>
      </c>
      <c r="AA1131" s="80" t="str">
        <f t="shared" ca="1" si="187"/>
        <v>CLF2</v>
      </c>
      <c r="AB1131" s="74" t="e">
        <f t="shared" si="189"/>
        <v>#N/A</v>
      </c>
      <c r="AC1131" s="80" t="str">
        <f t="shared" si="188"/>
        <v>LCOG2</v>
      </c>
      <c r="AD1131" s="80" t="str">
        <f t="shared" si="190"/>
        <v>CLG2</v>
      </c>
      <c r="AE1131" s="80" t="str">
        <f t="shared" si="191"/>
        <v>LCOH2</v>
      </c>
      <c r="AF1131" s="80" t="str">
        <f t="shared" si="192"/>
        <v>CLH2</v>
      </c>
      <c r="AG1131" s="80" t="str">
        <f t="shared" si="193"/>
        <v>LCOJ2</v>
      </c>
      <c r="AH1131" s="80" t="str">
        <f t="shared" si="194"/>
        <v>LCOK2</v>
      </c>
    </row>
    <row r="1132" spans="25:34" x14ac:dyDescent="0.35">
      <c r="Y1132" s="74">
        <f t="shared" si="195"/>
        <v>44535</v>
      </c>
      <c r="Z1132" s="74">
        <f t="shared" ca="1" si="186"/>
        <v>44550</v>
      </c>
      <c r="AA1132" s="80" t="str">
        <f t="shared" ca="1" si="187"/>
        <v>CLF2</v>
      </c>
      <c r="AB1132" s="74" t="e">
        <f t="shared" si="189"/>
        <v>#N/A</v>
      </c>
      <c r="AC1132" s="80" t="str">
        <f t="shared" si="188"/>
        <v>LCOG2</v>
      </c>
      <c r="AD1132" s="80" t="str">
        <f t="shared" si="190"/>
        <v>CLG2</v>
      </c>
      <c r="AE1132" s="80" t="str">
        <f t="shared" si="191"/>
        <v>LCOH2</v>
      </c>
      <c r="AF1132" s="80" t="str">
        <f t="shared" si="192"/>
        <v>CLH2</v>
      </c>
      <c r="AG1132" s="80" t="str">
        <f t="shared" si="193"/>
        <v>LCOJ2</v>
      </c>
      <c r="AH1132" s="80" t="str">
        <f t="shared" si="194"/>
        <v>LCOK2</v>
      </c>
    </row>
    <row r="1133" spans="25:34" x14ac:dyDescent="0.35">
      <c r="Y1133" s="74">
        <f t="shared" si="195"/>
        <v>44536</v>
      </c>
      <c r="Z1133" s="74">
        <f t="shared" ca="1" si="186"/>
        <v>44550</v>
      </c>
      <c r="AA1133" s="80" t="str">
        <f t="shared" ca="1" si="187"/>
        <v>CLF2</v>
      </c>
      <c r="AB1133" s="74" t="e">
        <f t="shared" si="189"/>
        <v>#N/A</v>
      </c>
      <c r="AC1133" s="80" t="str">
        <f t="shared" si="188"/>
        <v>LCOG2</v>
      </c>
      <c r="AD1133" s="80" t="str">
        <f t="shared" si="190"/>
        <v>CLG2</v>
      </c>
      <c r="AE1133" s="80" t="str">
        <f t="shared" si="191"/>
        <v>LCOH2</v>
      </c>
      <c r="AF1133" s="80" t="str">
        <f t="shared" si="192"/>
        <v>CLH2</v>
      </c>
      <c r="AG1133" s="80" t="str">
        <f t="shared" si="193"/>
        <v>LCOJ2</v>
      </c>
      <c r="AH1133" s="80" t="str">
        <f t="shared" si="194"/>
        <v>LCOK2</v>
      </c>
    </row>
    <row r="1134" spans="25:34" x14ac:dyDescent="0.35">
      <c r="Y1134" s="74">
        <f t="shared" si="195"/>
        <v>44537</v>
      </c>
      <c r="Z1134" s="74">
        <f t="shared" ca="1" si="186"/>
        <v>44550</v>
      </c>
      <c r="AA1134" s="80" t="str">
        <f t="shared" ca="1" si="187"/>
        <v>CLF2</v>
      </c>
      <c r="AB1134" s="74" t="e">
        <f t="shared" si="189"/>
        <v>#N/A</v>
      </c>
      <c r="AC1134" s="80" t="str">
        <f t="shared" si="188"/>
        <v>LCOG2</v>
      </c>
      <c r="AD1134" s="80" t="str">
        <f t="shared" si="190"/>
        <v>CLG2</v>
      </c>
      <c r="AE1134" s="80" t="str">
        <f t="shared" si="191"/>
        <v>LCOH2</v>
      </c>
      <c r="AF1134" s="80" t="str">
        <f t="shared" si="192"/>
        <v>CLH2</v>
      </c>
      <c r="AG1134" s="80" t="str">
        <f t="shared" si="193"/>
        <v>LCOJ2</v>
      </c>
      <c r="AH1134" s="80" t="str">
        <f t="shared" si="194"/>
        <v>LCOK2</v>
      </c>
    </row>
    <row r="1135" spans="25:34" x14ac:dyDescent="0.35">
      <c r="Y1135" s="74">
        <f t="shared" si="195"/>
        <v>44538</v>
      </c>
      <c r="Z1135" s="74">
        <f t="shared" ca="1" si="186"/>
        <v>44550</v>
      </c>
      <c r="AA1135" s="80" t="str">
        <f t="shared" ca="1" si="187"/>
        <v>CLF2</v>
      </c>
      <c r="AB1135" s="74" t="e">
        <f t="shared" si="189"/>
        <v>#N/A</v>
      </c>
      <c r="AC1135" s="80" t="str">
        <f t="shared" si="188"/>
        <v>LCOG2</v>
      </c>
      <c r="AD1135" s="80" t="str">
        <f t="shared" si="190"/>
        <v>CLG2</v>
      </c>
      <c r="AE1135" s="80" t="str">
        <f t="shared" si="191"/>
        <v>LCOH2</v>
      </c>
      <c r="AF1135" s="80" t="str">
        <f t="shared" si="192"/>
        <v>CLH2</v>
      </c>
      <c r="AG1135" s="80" t="str">
        <f t="shared" si="193"/>
        <v>LCOJ2</v>
      </c>
      <c r="AH1135" s="80" t="str">
        <f t="shared" si="194"/>
        <v>LCOK2</v>
      </c>
    </row>
    <row r="1136" spans="25:34" x14ac:dyDescent="0.35">
      <c r="Y1136" s="74">
        <f t="shared" si="195"/>
        <v>44539</v>
      </c>
      <c r="Z1136" s="74">
        <f t="shared" ca="1" si="186"/>
        <v>44550</v>
      </c>
      <c r="AA1136" s="80" t="str">
        <f t="shared" ca="1" si="187"/>
        <v>CLF2</v>
      </c>
      <c r="AB1136" s="74" t="e">
        <f t="shared" si="189"/>
        <v>#N/A</v>
      </c>
      <c r="AC1136" s="80" t="str">
        <f t="shared" si="188"/>
        <v>LCOG2</v>
      </c>
      <c r="AD1136" s="80" t="str">
        <f t="shared" si="190"/>
        <v>CLG2</v>
      </c>
      <c r="AE1136" s="80" t="str">
        <f t="shared" si="191"/>
        <v>LCOH2</v>
      </c>
      <c r="AF1136" s="80" t="str">
        <f t="shared" si="192"/>
        <v>CLH2</v>
      </c>
      <c r="AG1136" s="80" t="str">
        <f t="shared" si="193"/>
        <v>LCOJ2</v>
      </c>
      <c r="AH1136" s="80" t="str">
        <f t="shared" si="194"/>
        <v>LCOK2</v>
      </c>
    </row>
    <row r="1137" spans="25:34" x14ac:dyDescent="0.35">
      <c r="Y1137" s="74">
        <f t="shared" si="195"/>
        <v>44540</v>
      </c>
      <c r="Z1137" s="74">
        <f t="shared" ca="1" si="186"/>
        <v>44550</v>
      </c>
      <c r="AA1137" s="80" t="str">
        <f t="shared" ca="1" si="187"/>
        <v>CLF2</v>
      </c>
      <c r="AB1137" s="74" t="e">
        <f t="shared" si="189"/>
        <v>#N/A</v>
      </c>
      <c r="AC1137" s="80" t="str">
        <f t="shared" si="188"/>
        <v>LCOG2</v>
      </c>
      <c r="AD1137" s="80" t="str">
        <f t="shared" si="190"/>
        <v>CLG2</v>
      </c>
      <c r="AE1137" s="80" t="str">
        <f t="shared" si="191"/>
        <v>LCOH2</v>
      </c>
      <c r="AF1137" s="80" t="str">
        <f t="shared" si="192"/>
        <v>CLH2</v>
      </c>
      <c r="AG1137" s="80" t="str">
        <f t="shared" si="193"/>
        <v>LCOJ2</v>
      </c>
      <c r="AH1137" s="80" t="str">
        <f t="shared" si="194"/>
        <v>LCOK2</v>
      </c>
    </row>
    <row r="1138" spans="25:34" x14ac:dyDescent="0.35">
      <c r="Y1138" s="74">
        <f t="shared" si="195"/>
        <v>44541</v>
      </c>
      <c r="Z1138" s="74">
        <f t="shared" ca="1" si="186"/>
        <v>44550</v>
      </c>
      <c r="AA1138" s="80" t="str">
        <f t="shared" ca="1" si="187"/>
        <v>CLF2</v>
      </c>
      <c r="AB1138" s="74" t="e">
        <f t="shared" si="189"/>
        <v>#N/A</v>
      </c>
      <c r="AC1138" s="80" t="str">
        <f t="shared" si="188"/>
        <v>LCOG2</v>
      </c>
      <c r="AD1138" s="80" t="str">
        <f t="shared" si="190"/>
        <v>CLG2</v>
      </c>
      <c r="AE1138" s="80" t="str">
        <f t="shared" si="191"/>
        <v>LCOH2</v>
      </c>
      <c r="AF1138" s="80" t="str">
        <f t="shared" si="192"/>
        <v>CLH2</v>
      </c>
      <c r="AG1138" s="80" t="str">
        <f t="shared" si="193"/>
        <v>LCOJ2</v>
      </c>
      <c r="AH1138" s="80" t="str">
        <f t="shared" si="194"/>
        <v>LCOK2</v>
      </c>
    </row>
    <row r="1139" spans="25:34" x14ac:dyDescent="0.35">
      <c r="Y1139" s="74">
        <f t="shared" si="195"/>
        <v>44542</v>
      </c>
      <c r="Z1139" s="74">
        <f t="shared" ca="1" si="186"/>
        <v>44550</v>
      </c>
      <c r="AA1139" s="80" t="str">
        <f t="shared" ca="1" si="187"/>
        <v>CLF2</v>
      </c>
      <c r="AB1139" s="74" t="e">
        <f t="shared" si="189"/>
        <v>#N/A</v>
      </c>
      <c r="AC1139" s="80" t="str">
        <f t="shared" si="188"/>
        <v>LCOG2</v>
      </c>
      <c r="AD1139" s="80" t="str">
        <f t="shared" si="190"/>
        <v>CLG2</v>
      </c>
      <c r="AE1139" s="80" t="str">
        <f t="shared" si="191"/>
        <v>LCOH2</v>
      </c>
      <c r="AF1139" s="80" t="str">
        <f t="shared" si="192"/>
        <v>CLH2</v>
      </c>
      <c r="AG1139" s="80" t="str">
        <f t="shared" si="193"/>
        <v>LCOJ2</v>
      </c>
      <c r="AH1139" s="80" t="str">
        <f t="shared" si="194"/>
        <v>LCOK2</v>
      </c>
    </row>
    <row r="1140" spans="25:34" x14ac:dyDescent="0.35">
      <c r="Y1140" s="74">
        <f t="shared" si="195"/>
        <v>44543</v>
      </c>
      <c r="Z1140" s="74">
        <f t="shared" ca="1" si="186"/>
        <v>44550</v>
      </c>
      <c r="AA1140" s="80" t="str">
        <f t="shared" ca="1" si="187"/>
        <v>CLF2</v>
      </c>
      <c r="AB1140" s="74" t="e">
        <f t="shared" si="189"/>
        <v>#N/A</v>
      </c>
      <c r="AC1140" s="80" t="str">
        <f t="shared" si="188"/>
        <v>LCOG2</v>
      </c>
      <c r="AD1140" s="80" t="str">
        <f t="shared" si="190"/>
        <v>CLG2</v>
      </c>
      <c r="AE1140" s="80" t="str">
        <f t="shared" si="191"/>
        <v>LCOH2</v>
      </c>
      <c r="AF1140" s="80" t="str">
        <f t="shared" si="192"/>
        <v>CLH2</v>
      </c>
      <c r="AG1140" s="80" t="str">
        <f t="shared" si="193"/>
        <v>LCOJ2</v>
      </c>
      <c r="AH1140" s="80" t="str">
        <f t="shared" si="194"/>
        <v>LCOK2</v>
      </c>
    </row>
    <row r="1141" spans="25:34" x14ac:dyDescent="0.35">
      <c r="Y1141" s="74">
        <f t="shared" si="195"/>
        <v>44544</v>
      </c>
      <c r="Z1141" s="74">
        <f t="shared" ca="1" si="186"/>
        <v>44550</v>
      </c>
      <c r="AA1141" s="80" t="str">
        <f t="shared" ca="1" si="187"/>
        <v>CLF2</v>
      </c>
      <c r="AB1141" s="74" t="e">
        <f t="shared" si="189"/>
        <v>#N/A</v>
      </c>
      <c r="AC1141" s="80" t="str">
        <f t="shared" si="188"/>
        <v>LCOG2</v>
      </c>
      <c r="AD1141" s="80" t="str">
        <f t="shared" si="190"/>
        <v>CLG2</v>
      </c>
      <c r="AE1141" s="80" t="str">
        <f t="shared" si="191"/>
        <v>LCOH2</v>
      </c>
      <c r="AF1141" s="80" t="str">
        <f t="shared" si="192"/>
        <v>CLH2</v>
      </c>
      <c r="AG1141" s="80" t="str">
        <f t="shared" si="193"/>
        <v>LCOJ2</v>
      </c>
      <c r="AH1141" s="80" t="str">
        <f t="shared" si="194"/>
        <v>LCOK2</v>
      </c>
    </row>
    <row r="1142" spans="25:34" x14ac:dyDescent="0.35">
      <c r="Y1142" s="74">
        <f t="shared" si="195"/>
        <v>44545</v>
      </c>
      <c r="Z1142" s="74">
        <f t="shared" ca="1" si="186"/>
        <v>44550</v>
      </c>
      <c r="AA1142" s="80" t="str">
        <f t="shared" ca="1" si="187"/>
        <v>CLF2</v>
      </c>
      <c r="AB1142" s="74" t="e">
        <f t="shared" si="189"/>
        <v>#N/A</v>
      </c>
      <c r="AC1142" s="80" t="str">
        <f t="shared" si="188"/>
        <v>LCOG2</v>
      </c>
      <c r="AD1142" s="80" t="str">
        <f t="shared" si="190"/>
        <v>CLG2</v>
      </c>
      <c r="AE1142" s="80" t="str">
        <f t="shared" si="191"/>
        <v>LCOH2</v>
      </c>
      <c r="AF1142" s="80" t="str">
        <f t="shared" si="192"/>
        <v>CLH2</v>
      </c>
      <c r="AG1142" s="80" t="str">
        <f t="shared" si="193"/>
        <v>LCOJ2</v>
      </c>
      <c r="AH1142" s="80" t="str">
        <f t="shared" si="194"/>
        <v>LCOK2</v>
      </c>
    </row>
    <row r="1143" spans="25:34" x14ac:dyDescent="0.35">
      <c r="Y1143" s="74">
        <f t="shared" si="195"/>
        <v>44546</v>
      </c>
      <c r="Z1143" s="74">
        <f t="shared" ca="1" si="186"/>
        <v>44550</v>
      </c>
      <c r="AA1143" s="80" t="str">
        <f t="shared" ca="1" si="187"/>
        <v>CLF2</v>
      </c>
      <c r="AB1143" s="74" t="e">
        <f t="shared" si="189"/>
        <v>#N/A</v>
      </c>
      <c r="AC1143" s="80" t="str">
        <f t="shared" si="188"/>
        <v>LCOG2</v>
      </c>
      <c r="AD1143" s="80" t="str">
        <f t="shared" si="190"/>
        <v>CLG2</v>
      </c>
      <c r="AE1143" s="80" t="str">
        <f t="shared" si="191"/>
        <v>LCOH2</v>
      </c>
      <c r="AF1143" s="80" t="str">
        <f t="shared" si="192"/>
        <v>CLH2</v>
      </c>
      <c r="AG1143" s="80" t="str">
        <f t="shared" si="193"/>
        <v>LCOJ2</v>
      </c>
      <c r="AH1143" s="80" t="str">
        <f t="shared" si="194"/>
        <v>LCOK2</v>
      </c>
    </row>
    <row r="1144" spans="25:34" x14ac:dyDescent="0.35">
      <c r="Y1144" s="74">
        <f t="shared" si="195"/>
        <v>44547</v>
      </c>
      <c r="Z1144" s="74">
        <f t="shared" ca="1" si="186"/>
        <v>44550</v>
      </c>
      <c r="AA1144" s="80" t="str">
        <f t="shared" ca="1" si="187"/>
        <v>CLF2</v>
      </c>
      <c r="AB1144" s="74" t="e">
        <f t="shared" si="189"/>
        <v>#N/A</v>
      </c>
      <c r="AC1144" s="80" t="str">
        <f t="shared" si="188"/>
        <v>LCOG2</v>
      </c>
      <c r="AD1144" s="80" t="str">
        <f t="shared" si="190"/>
        <v>CLG2</v>
      </c>
      <c r="AE1144" s="80" t="str">
        <f t="shared" si="191"/>
        <v>LCOH2</v>
      </c>
      <c r="AF1144" s="80" t="str">
        <f t="shared" si="192"/>
        <v>CLH2</v>
      </c>
      <c r="AG1144" s="80" t="str">
        <f t="shared" si="193"/>
        <v>LCOJ2</v>
      </c>
      <c r="AH1144" s="80" t="str">
        <f t="shared" si="194"/>
        <v>LCOK2</v>
      </c>
    </row>
    <row r="1145" spans="25:34" x14ac:dyDescent="0.35">
      <c r="Y1145" s="74">
        <f t="shared" si="195"/>
        <v>44548</v>
      </c>
      <c r="Z1145" s="74">
        <f t="shared" ca="1" si="186"/>
        <v>44550</v>
      </c>
      <c r="AA1145" s="80" t="str">
        <f t="shared" ca="1" si="187"/>
        <v>CLF2</v>
      </c>
      <c r="AB1145" s="74" t="e">
        <f t="shared" si="189"/>
        <v>#N/A</v>
      </c>
      <c r="AC1145" s="80" t="str">
        <f t="shared" si="188"/>
        <v>LCOG2</v>
      </c>
      <c r="AD1145" s="80" t="str">
        <f t="shared" si="190"/>
        <v>CLG2</v>
      </c>
      <c r="AE1145" s="80" t="str">
        <f t="shared" si="191"/>
        <v>LCOH2</v>
      </c>
      <c r="AF1145" s="80" t="str">
        <f t="shared" si="192"/>
        <v>CLH2</v>
      </c>
      <c r="AG1145" s="80" t="str">
        <f t="shared" si="193"/>
        <v>LCOJ2</v>
      </c>
      <c r="AH1145" s="80" t="str">
        <f t="shared" si="194"/>
        <v>LCOK2</v>
      </c>
    </row>
    <row r="1146" spans="25:34" x14ac:dyDescent="0.35">
      <c r="Y1146" s="74">
        <f t="shared" si="195"/>
        <v>44549</v>
      </c>
      <c r="Z1146" s="74">
        <f t="shared" ca="1" si="186"/>
        <v>44550</v>
      </c>
      <c r="AA1146" s="80" t="str">
        <f t="shared" ca="1" si="187"/>
        <v>CLF2</v>
      </c>
      <c r="AB1146" s="74" t="e">
        <f t="shared" si="189"/>
        <v>#N/A</v>
      </c>
      <c r="AC1146" s="80" t="str">
        <f t="shared" si="188"/>
        <v>LCOG2</v>
      </c>
      <c r="AD1146" s="80" t="str">
        <f t="shared" si="190"/>
        <v>CLG2</v>
      </c>
      <c r="AE1146" s="80" t="str">
        <f t="shared" si="191"/>
        <v>LCOH2</v>
      </c>
      <c r="AF1146" s="80" t="str">
        <f t="shared" si="192"/>
        <v>CLH2</v>
      </c>
      <c r="AG1146" s="80" t="str">
        <f t="shared" si="193"/>
        <v>LCOJ2</v>
      </c>
      <c r="AH1146" s="80" t="str">
        <f t="shared" si="194"/>
        <v>LCOK2</v>
      </c>
    </row>
    <row r="1147" spans="25:34" x14ac:dyDescent="0.35">
      <c r="Y1147" s="74">
        <f t="shared" si="195"/>
        <v>44550</v>
      </c>
      <c r="Z1147" s="74">
        <f t="shared" ca="1" si="186"/>
        <v>44550</v>
      </c>
      <c r="AA1147" s="80" t="str">
        <f t="shared" ca="1" si="187"/>
        <v>CLF2</v>
      </c>
      <c r="AB1147" s="74" t="e">
        <f t="shared" si="189"/>
        <v>#N/A</v>
      </c>
      <c r="AC1147" s="80" t="str">
        <f t="shared" si="188"/>
        <v>LCOG2</v>
      </c>
      <c r="AD1147" s="80" t="str">
        <f t="shared" si="190"/>
        <v>CLG2</v>
      </c>
      <c r="AE1147" s="80" t="str">
        <f t="shared" si="191"/>
        <v>LCOH2</v>
      </c>
      <c r="AF1147" s="80" t="str">
        <f t="shared" si="192"/>
        <v>CLH2</v>
      </c>
      <c r="AG1147" s="80" t="str">
        <f t="shared" si="193"/>
        <v>LCOJ2</v>
      </c>
      <c r="AH1147" s="80" t="str">
        <f t="shared" si="194"/>
        <v>LCOK2</v>
      </c>
    </row>
    <row r="1148" spans="25:34" x14ac:dyDescent="0.35">
      <c r="Y1148" s="74">
        <f t="shared" si="195"/>
        <v>44551</v>
      </c>
      <c r="Z1148" s="74" t="e">
        <f t="shared" ca="1" si="186"/>
        <v>#N/A</v>
      </c>
      <c r="AA1148" s="80" t="str">
        <f t="shared" ca="1" si="187"/>
        <v>CLG2</v>
      </c>
      <c r="AB1148" s="74" t="e">
        <f t="shared" si="189"/>
        <v>#N/A</v>
      </c>
      <c r="AC1148" s="80" t="str">
        <f t="shared" si="188"/>
        <v>LCOG2</v>
      </c>
      <c r="AD1148" s="80" t="str">
        <f t="shared" si="190"/>
        <v>CLG2</v>
      </c>
      <c r="AE1148" s="80" t="str">
        <f t="shared" si="191"/>
        <v>LCOH2</v>
      </c>
      <c r="AF1148" s="80" t="str">
        <f t="shared" si="192"/>
        <v>CLH2</v>
      </c>
      <c r="AG1148" s="80" t="str">
        <f t="shared" si="193"/>
        <v>LCOJ2</v>
      </c>
      <c r="AH1148" s="80" t="str">
        <f t="shared" si="194"/>
        <v>LCOK2</v>
      </c>
    </row>
    <row r="1149" spans="25:34" x14ac:dyDescent="0.35">
      <c r="Y1149" s="74">
        <f t="shared" si="195"/>
        <v>44552</v>
      </c>
      <c r="Z1149" s="74" t="e">
        <f t="shared" ca="1" si="186"/>
        <v>#N/A</v>
      </c>
      <c r="AA1149" s="80" t="str">
        <f t="shared" ca="1" si="187"/>
        <v>CLG2</v>
      </c>
      <c r="AB1149" s="74" t="e">
        <f t="shared" si="189"/>
        <v>#N/A</v>
      </c>
      <c r="AC1149" s="80" t="str">
        <f t="shared" si="188"/>
        <v>LCOG2</v>
      </c>
      <c r="AD1149" s="80" t="str">
        <f t="shared" si="190"/>
        <v>CLG2</v>
      </c>
      <c r="AE1149" s="80" t="str">
        <f t="shared" si="191"/>
        <v>LCOH2</v>
      </c>
      <c r="AF1149" s="80" t="str">
        <f t="shared" si="192"/>
        <v>CLH2</v>
      </c>
      <c r="AG1149" s="80" t="str">
        <f t="shared" si="193"/>
        <v>LCOJ2</v>
      </c>
      <c r="AH1149" s="80" t="str">
        <f t="shared" si="194"/>
        <v>LCOK2</v>
      </c>
    </row>
    <row r="1150" spans="25:34" x14ac:dyDescent="0.35">
      <c r="Y1150" s="74">
        <f t="shared" si="195"/>
        <v>44553</v>
      </c>
      <c r="Z1150" s="74" t="e">
        <f t="shared" ca="1" si="186"/>
        <v>#N/A</v>
      </c>
      <c r="AA1150" s="80" t="str">
        <f t="shared" ca="1" si="187"/>
        <v>CLG2</v>
      </c>
      <c r="AB1150" s="74" t="e">
        <f t="shared" si="189"/>
        <v>#N/A</v>
      </c>
      <c r="AC1150" s="80" t="str">
        <f t="shared" si="188"/>
        <v>LCOG2</v>
      </c>
      <c r="AD1150" s="80" t="str">
        <f t="shared" si="190"/>
        <v>CLG2</v>
      </c>
      <c r="AE1150" s="80" t="str">
        <f t="shared" si="191"/>
        <v>LCOH2</v>
      </c>
      <c r="AF1150" s="80" t="str">
        <f t="shared" si="192"/>
        <v>CLH2</v>
      </c>
      <c r="AG1150" s="80" t="str">
        <f t="shared" si="193"/>
        <v>LCOJ2</v>
      </c>
      <c r="AH1150" s="80" t="str">
        <f t="shared" si="194"/>
        <v>LCOK2</v>
      </c>
    </row>
    <row r="1151" spans="25:34" x14ac:dyDescent="0.35">
      <c r="Y1151" s="74">
        <f t="shared" si="195"/>
        <v>44554</v>
      </c>
      <c r="Z1151" s="74" t="e">
        <f t="shared" ca="1" si="186"/>
        <v>#N/A</v>
      </c>
      <c r="AA1151" s="80" t="str">
        <f t="shared" ca="1" si="187"/>
        <v>CLG2</v>
      </c>
      <c r="AB1151" s="74" t="e">
        <f t="shared" si="189"/>
        <v>#N/A</v>
      </c>
      <c r="AC1151" s="80" t="str">
        <f t="shared" si="188"/>
        <v>LCOG2</v>
      </c>
      <c r="AD1151" s="80" t="str">
        <f t="shared" si="190"/>
        <v>CLG2</v>
      </c>
      <c r="AE1151" s="80" t="str">
        <f t="shared" si="191"/>
        <v>LCOH2</v>
      </c>
      <c r="AF1151" s="80" t="str">
        <f t="shared" si="192"/>
        <v>CLH2</v>
      </c>
      <c r="AG1151" s="80" t="str">
        <f t="shared" si="193"/>
        <v>LCOJ2</v>
      </c>
      <c r="AH1151" s="80" t="str">
        <f t="shared" si="194"/>
        <v>LCOK2</v>
      </c>
    </row>
    <row r="1152" spans="25:34" x14ac:dyDescent="0.35">
      <c r="Y1152" s="74">
        <f t="shared" si="195"/>
        <v>44555</v>
      </c>
      <c r="Z1152" s="74" t="e">
        <f t="shared" ca="1" si="186"/>
        <v>#N/A</v>
      </c>
      <c r="AA1152" s="80" t="str">
        <f t="shared" ca="1" si="187"/>
        <v>CLG2</v>
      </c>
      <c r="AB1152" s="74" t="e">
        <f t="shared" si="189"/>
        <v>#N/A</v>
      </c>
      <c r="AC1152" s="80" t="str">
        <f t="shared" si="188"/>
        <v>LCOG2</v>
      </c>
      <c r="AD1152" s="80" t="str">
        <f t="shared" si="190"/>
        <v>CLG2</v>
      </c>
      <c r="AE1152" s="80" t="str">
        <f t="shared" si="191"/>
        <v>LCOH2</v>
      </c>
      <c r="AF1152" s="80" t="str">
        <f t="shared" si="192"/>
        <v>CLH2</v>
      </c>
      <c r="AG1152" s="80" t="str">
        <f t="shared" si="193"/>
        <v>LCOJ2</v>
      </c>
      <c r="AH1152" s="80" t="str">
        <f t="shared" si="194"/>
        <v>LCOK2</v>
      </c>
    </row>
    <row r="1153" spans="25:34" x14ac:dyDescent="0.35">
      <c r="Y1153" s="74">
        <f t="shared" si="195"/>
        <v>44556</v>
      </c>
      <c r="Z1153" s="74" t="e">
        <f t="shared" ca="1" si="186"/>
        <v>#N/A</v>
      </c>
      <c r="AA1153" s="80" t="str">
        <f t="shared" ca="1" si="187"/>
        <v>CLG2</v>
      </c>
      <c r="AB1153" s="74" t="e">
        <f t="shared" si="189"/>
        <v>#N/A</v>
      </c>
      <c r="AC1153" s="80" t="str">
        <f t="shared" si="188"/>
        <v>LCOG2</v>
      </c>
      <c r="AD1153" s="80" t="str">
        <f t="shared" si="190"/>
        <v>CLG2</v>
      </c>
      <c r="AE1153" s="80" t="str">
        <f t="shared" si="191"/>
        <v>LCOH2</v>
      </c>
      <c r="AF1153" s="80" t="str">
        <f t="shared" si="192"/>
        <v>CLH2</v>
      </c>
      <c r="AG1153" s="80" t="str">
        <f t="shared" si="193"/>
        <v>LCOJ2</v>
      </c>
      <c r="AH1153" s="80" t="str">
        <f t="shared" si="194"/>
        <v>LCOK2</v>
      </c>
    </row>
    <row r="1154" spans="25:34" x14ac:dyDescent="0.35">
      <c r="Y1154" s="74">
        <f t="shared" si="195"/>
        <v>44557</v>
      </c>
      <c r="Z1154" s="74" t="e">
        <f t="shared" ref="Z1154:Z1217" ca="1" si="196">VLOOKUP(AA1154,$I$2:$K$39,3,FALSE)</f>
        <v>#N/A</v>
      </c>
      <c r="AA1154" s="80" t="str">
        <f t="shared" ref="AA1154:AA1217" ca="1" si="197">LOOKUP(2,1/($J$2:$J$700&lt;=$Y1154)/($K$2:$K$700&gt;=$Y1154),$L$2:$L$700)</f>
        <v>CLG2</v>
      </c>
      <c r="AB1154" s="74" t="e">
        <f t="shared" si="189"/>
        <v>#N/A</v>
      </c>
      <c r="AC1154" s="80" t="str">
        <f t="shared" ref="AC1154:AC1217" si="198">LOOKUP(2,1/($R$2:$R$700&lt;=$Y1154)/($S$2:$S$700&gt;=$Y1154),$T$2:$T$700)</f>
        <v>LCOG2</v>
      </c>
      <c r="AD1154" s="80" t="str">
        <f t="shared" si="190"/>
        <v>CLG2</v>
      </c>
      <c r="AE1154" s="80" t="str">
        <f t="shared" si="191"/>
        <v>LCOH2</v>
      </c>
      <c r="AF1154" s="80" t="str">
        <f t="shared" si="192"/>
        <v>CLH2</v>
      </c>
      <c r="AG1154" s="80" t="str">
        <f t="shared" si="193"/>
        <v>LCOJ2</v>
      </c>
      <c r="AH1154" s="80" t="str">
        <f t="shared" si="194"/>
        <v>LCOK2</v>
      </c>
    </row>
    <row r="1155" spans="25:34" x14ac:dyDescent="0.35">
      <c r="Y1155" s="74">
        <f t="shared" si="195"/>
        <v>44558</v>
      </c>
      <c r="Z1155" s="74" t="e">
        <f t="shared" ca="1" si="196"/>
        <v>#N/A</v>
      </c>
      <c r="AA1155" s="80" t="str">
        <f t="shared" ca="1" si="197"/>
        <v>CLG2</v>
      </c>
      <c r="AB1155" s="74" t="e">
        <f t="shared" ref="AB1155:AB1218" si="199">VLOOKUP(AC1155,$Q$2:$S$39,3,FALSE)</f>
        <v>#N/A</v>
      </c>
      <c r="AC1155" s="80" t="str">
        <f t="shared" si="198"/>
        <v>LCOG2</v>
      </c>
      <c r="AD1155" s="80" t="str">
        <f t="shared" ref="AD1155:AD1218" si="200">CONCATENATE("CL",RIGHT(AC1155,2))</f>
        <v>CLG2</v>
      </c>
      <c r="AE1155" s="80" t="str">
        <f t="shared" ref="AE1155:AE1218" si="201">LOOKUP(2,1/($R$2:$R$700&lt;=$Y1155)/($S$2:$S$700&gt;=$Y1155),$U$2:$U$700)</f>
        <v>LCOH2</v>
      </c>
      <c r="AF1155" s="80" t="str">
        <f t="shared" ref="AF1155:AF1218" si="202">CONCATENATE("CL",RIGHT(AE1155,2))</f>
        <v>CLH2</v>
      </c>
      <c r="AG1155" s="80" t="str">
        <f t="shared" ref="AG1155:AG1218" si="203">LOOKUP(2,1/($R$2:$R$700&lt;=$Y1155)/($S$2:$S$700&gt;=$Y1155),$V$2:$V$700)</f>
        <v>LCOJ2</v>
      </c>
      <c r="AH1155" s="80" t="str">
        <f t="shared" ref="AH1155:AH1218" si="204">LOOKUP(2,1/($R$2:$R$700&lt;=$Y1155)/($S$2:$S$700&gt;=$Y1155),$W$2:$W$700)</f>
        <v>LCOK2</v>
      </c>
    </row>
    <row r="1156" spans="25:34" x14ac:dyDescent="0.35">
      <c r="Y1156" s="74">
        <f t="shared" si="195"/>
        <v>44559</v>
      </c>
      <c r="Z1156" s="74" t="e">
        <f t="shared" ca="1" si="196"/>
        <v>#N/A</v>
      </c>
      <c r="AA1156" s="80" t="str">
        <f t="shared" ca="1" si="197"/>
        <v>CLG2</v>
      </c>
      <c r="AB1156" s="74" t="e">
        <f t="shared" si="199"/>
        <v>#N/A</v>
      </c>
      <c r="AC1156" s="80" t="str">
        <f t="shared" si="198"/>
        <v>LCOG2</v>
      </c>
      <c r="AD1156" s="80" t="str">
        <f t="shared" si="200"/>
        <v>CLG2</v>
      </c>
      <c r="AE1156" s="80" t="str">
        <f t="shared" si="201"/>
        <v>LCOH2</v>
      </c>
      <c r="AF1156" s="80" t="str">
        <f t="shared" si="202"/>
        <v>CLH2</v>
      </c>
      <c r="AG1156" s="80" t="str">
        <f t="shared" si="203"/>
        <v>LCOJ2</v>
      </c>
      <c r="AH1156" s="80" t="str">
        <f t="shared" si="204"/>
        <v>LCOK2</v>
      </c>
    </row>
    <row r="1157" spans="25:34" x14ac:dyDescent="0.35">
      <c r="Y1157" s="74">
        <f t="shared" si="195"/>
        <v>44560</v>
      </c>
      <c r="Z1157" s="74" t="e">
        <f t="shared" ca="1" si="196"/>
        <v>#N/A</v>
      </c>
      <c r="AA1157" s="80" t="str">
        <f t="shared" ca="1" si="197"/>
        <v>CLG2</v>
      </c>
      <c r="AB1157" s="74" t="e">
        <f t="shared" si="199"/>
        <v>#N/A</v>
      </c>
      <c r="AC1157" s="80" t="str">
        <f t="shared" si="198"/>
        <v>LCOG2</v>
      </c>
      <c r="AD1157" s="80" t="str">
        <f t="shared" si="200"/>
        <v>CLG2</v>
      </c>
      <c r="AE1157" s="80" t="str">
        <f t="shared" si="201"/>
        <v>LCOH2</v>
      </c>
      <c r="AF1157" s="80" t="str">
        <f t="shared" si="202"/>
        <v>CLH2</v>
      </c>
      <c r="AG1157" s="80" t="str">
        <f t="shared" si="203"/>
        <v>LCOJ2</v>
      </c>
      <c r="AH1157" s="80" t="str">
        <f t="shared" si="204"/>
        <v>LCOK2</v>
      </c>
    </row>
    <row r="1158" spans="25:34" x14ac:dyDescent="0.35">
      <c r="Y1158" s="74">
        <f t="shared" si="195"/>
        <v>44561</v>
      </c>
      <c r="Z1158" s="74" t="e">
        <f t="shared" ca="1" si="196"/>
        <v>#N/A</v>
      </c>
      <c r="AA1158" s="80" t="str">
        <f t="shared" ca="1" si="197"/>
        <v>CLG2</v>
      </c>
      <c r="AB1158" s="74" t="e">
        <f t="shared" si="199"/>
        <v>#N/A</v>
      </c>
      <c r="AC1158" s="80" t="str">
        <f t="shared" si="198"/>
        <v>LCOH2</v>
      </c>
      <c r="AD1158" s="80" t="str">
        <f t="shared" si="200"/>
        <v>CLH2</v>
      </c>
      <c r="AE1158" s="80" t="str">
        <f t="shared" si="201"/>
        <v>LCOJ2</v>
      </c>
      <c r="AF1158" s="80" t="str">
        <f t="shared" si="202"/>
        <v>CLJ2</v>
      </c>
      <c r="AG1158" s="80" t="str">
        <f t="shared" si="203"/>
        <v>LCOK2</v>
      </c>
      <c r="AH1158" s="80" t="str">
        <f t="shared" si="204"/>
        <v>LCOM2</v>
      </c>
    </row>
    <row r="1159" spans="25:34" x14ac:dyDescent="0.35">
      <c r="Y1159" s="74">
        <f t="shared" si="195"/>
        <v>44562</v>
      </c>
      <c r="Z1159" s="74" t="e">
        <f t="shared" ca="1" si="196"/>
        <v>#N/A</v>
      </c>
      <c r="AA1159" s="80" t="str">
        <f t="shared" ca="1" si="197"/>
        <v>CLG2</v>
      </c>
      <c r="AB1159" s="74" t="e">
        <f t="shared" si="199"/>
        <v>#N/A</v>
      </c>
      <c r="AC1159" s="80" t="str">
        <f t="shared" si="198"/>
        <v>LCOH2</v>
      </c>
      <c r="AD1159" s="80" t="str">
        <f t="shared" si="200"/>
        <v>CLH2</v>
      </c>
      <c r="AE1159" s="80" t="str">
        <f t="shared" si="201"/>
        <v>LCOJ2</v>
      </c>
      <c r="AF1159" s="80" t="str">
        <f t="shared" si="202"/>
        <v>CLJ2</v>
      </c>
      <c r="AG1159" s="80" t="str">
        <f t="shared" si="203"/>
        <v>LCOK2</v>
      </c>
      <c r="AH1159" s="80" t="str">
        <f t="shared" si="204"/>
        <v>LCOM2</v>
      </c>
    </row>
    <row r="1160" spans="25:34" x14ac:dyDescent="0.35">
      <c r="Y1160" s="74">
        <f t="shared" si="195"/>
        <v>44563</v>
      </c>
      <c r="Z1160" s="74" t="e">
        <f t="shared" ca="1" si="196"/>
        <v>#N/A</v>
      </c>
      <c r="AA1160" s="80" t="str">
        <f t="shared" ca="1" si="197"/>
        <v>CLG2</v>
      </c>
      <c r="AB1160" s="74" t="e">
        <f t="shared" si="199"/>
        <v>#N/A</v>
      </c>
      <c r="AC1160" s="80" t="str">
        <f t="shared" si="198"/>
        <v>LCOH2</v>
      </c>
      <c r="AD1160" s="80" t="str">
        <f t="shared" si="200"/>
        <v>CLH2</v>
      </c>
      <c r="AE1160" s="80" t="str">
        <f t="shared" si="201"/>
        <v>LCOJ2</v>
      </c>
      <c r="AF1160" s="80" t="str">
        <f t="shared" si="202"/>
        <v>CLJ2</v>
      </c>
      <c r="AG1160" s="80" t="str">
        <f t="shared" si="203"/>
        <v>LCOK2</v>
      </c>
      <c r="AH1160" s="80" t="str">
        <f t="shared" si="204"/>
        <v>LCOM2</v>
      </c>
    </row>
    <row r="1161" spans="25:34" x14ac:dyDescent="0.35">
      <c r="Y1161" s="74">
        <f t="shared" si="195"/>
        <v>44564</v>
      </c>
      <c r="Z1161" s="74" t="e">
        <f t="shared" ca="1" si="196"/>
        <v>#N/A</v>
      </c>
      <c r="AA1161" s="80" t="str">
        <f t="shared" ca="1" si="197"/>
        <v>CLG2</v>
      </c>
      <c r="AB1161" s="74" t="e">
        <f t="shared" si="199"/>
        <v>#N/A</v>
      </c>
      <c r="AC1161" s="80" t="str">
        <f t="shared" si="198"/>
        <v>LCOH2</v>
      </c>
      <c r="AD1161" s="80" t="str">
        <f t="shared" si="200"/>
        <v>CLH2</v>
      </c>
      <c r="AE1161" s="80" t="str">
        <f t="shared" si="201"/>
        <v>LCOJ2</v>
      </c>
      <c r="AF1161" s="80" t="str">
        <f t="shared" si="202"/>
        <v>CLJ2</v>
      </c>
      <c r="AG1161" s="80" t="str">
        <f t="shared" si="203"/>
        <v>LCOK2</v>
      </c>
      <c r="AH1161" s="80" t="str">
        <f t="shared" si="204"/>
        <v>LCOM2</v>
      </c>
    </row>
    <row r="1162" spans="25:34" x14ac:dyDescent="0.35">
      <c r="Y1162" s="74">
        <f t="shared" si="195"/>
        <v>44565</v>
      </c>
      <c r="Z1162" s="74" t="e">
        <f t="shared" ca="1" si="196"/>
        <v>#N/A</v>
      </c>
      <c r="AA1162" s="80" t="str">
        <f t="shared" ca="1" si="197"/>
        <v>CLG2</v>
      </c>
      <c r="AB1162" s="74" t="e">
        <f t="shared" si="199"/>
        <v>#N/A</v>
      </c>
      <c r="AC1162" s="80" t="str">
        <f t="shared" si="198"/>
        <v>LCOH2</v>
      </c>
      <c r="AD1162" s="80" t="str">
        <f t="shared" si="200"/>
        <v>CLH2</v>
      </c>
      <c r="AE1162" s="80" t="str">
        <f t="shared" si="201"/>
        <v>LCOJ2</v>
      </c>
      <c r="AF1162" s="80" t="str">
        <f t="shared" si="202"/>
        <v>CLJ2</v>
      </c>
      <c r="AG1162" s="80" t="str">
        <f t="shared" si="203"/>
        <v>LCOK2</v>
      </c>
      <c r="AH1162" s="80" t="str">
        <f t="shared" si="204"/>
        <v>LCOM2</v>
      </c>
    </row>
    <row r="1163" spans="25:34" x14ac:dyDescent="0.35">
      <c r="Y1163" s="74">
        <f t="shared" si="195"/>
        <v>44566</v>
      </c>
      <c r="Z1163" s="74" t="e">
        <f t="shared" ca="1" si="196"/>
        <v>#N/A</v>
      </c>
      <c r="AA1163" s="80" t="str">
        <f t="shared" ca="1" si="197"/>
        <v>CLG2</v>
      </c>
      <c r="AB1163" s="74" t="e">
        <f t="shared" si="199"/>
        <v>#N/A</v>
      </c>
      <c r="AC1163" s="80" t="str">
        <f t="shared" si="198"/>
        <v>LCOH2</v>
      </c>
      <c r="AD1163" s="80" t="str">
        <f t="shared" si="200"/>
        <v>CLH2</v>
      </c>
      <c r="AE1163" s="80" t="str">
        <f t="shared" si="201"/>
        <v>LCOJ2</v>
      </c>
      <c r="AF1163" s="80" t="str">
        <f t="shared" si="202"/>
        <v>CLJ2</v>
      </c>
      <c r="AG1163" s="80" t="str">
        <f t="shared" si="203"/>
        <v>LCOK2</v>
      </c>
      <c r="AH1163" s="80" t="str">
        <f t="shared" si="204"/>
        <v>LCOM2</v>
      </c>
    </row>
    <row r="1164" spans="25:34" x14ac:dyDescent="0.35">
      <c r="Y1164" s="74">
        <f t="shared" si="195"/>
        <v>44567</v>
      </c>
      <c r="Z1164" s="74" t="e">
        <f t="shared" ca="1" si="196"/>
        <v>#N/A</v>
      </c>
      <c r="AA1164" s="80" t="str">
        <f t="shared" ca="1" si="197"/>
        <v>CLG2</v>
      </c>
      <c r="AB1164" s="74" t="e">
        <f t="shared" si="199"/>
        <v>#N/A</v>
      </c>
      <c r="AC1164" s="80" t="str">
        <f t="shared" si="198"/>
        <v>LCOH2</v>
      </c>
      <c r="AD1164" s="80" t="str">
        <f t="shared" si="200"/>
        <v>CLH2</v>
      </c>
      <c r="AE1164" s="80" t="str">
        <f t="shared" si="201"/>
        <v>LCOJ2</v>
      </c>
      <c r="AF1164" s="80" t="str">
        <f t="shared" si="202"/>
        <v>CLJ2</v>
      </c>
      <c r="AG1164" s="80" t="str">
        <f t="shared" si="203"/>
        <v>LCOK2</v>
      </c>
      <c r="AH1164" s="80" t="str">
        <f t="shared" si="204"/>
        <v>LCOM2</v>
      </c>
    </row>
    <row r="1165" spans="25:34" x14ac:dyDescent="0.35">
      <c r="Y1165" s="74">
        <f t="shared" si="195"/>
        <v>44568</v>
      </c>
      <c r="Z1165" s="74" t="e">
        <f t="shared" ca="1" si="196"/>
        <v>#N/A</v>
      </c>
      <c r="AA1165" s="80" t="str">
        <f t="shared" ca="1" si="197"/>
        <v>CLG2</v>
      </c>
      <c r="AB1165" s="74" t="e">
        <f t="shared" si="199"/>
        <v>#N/A</v>
      </c>
      <c r="AC1165" s="80" t="str">
        <f t="shared" si="198"/>
        <v>LCOH2</v>
      </c>
      <c r="AD1165" s="80" t="str">
        <f t="shared" si="200"/>
        <v>CLH2</v>
      </c>
      <c r="AE1165" s="80" t="str">
        <f t="shared" si="201"/>
        <v>LCOJ2</v>
      </c>
      <c r="AF1165" s="80" t="str">
        <f t="shared" si="202"/>
        <v>CLJ2</v>
      </c>
      <c r="AG1165" s="80" t="str">
        <f t="shared" si="203"/>
        <v>LCOK2</v>
      </c>
      <c r="AH1165" s="80" t="str">
        <f t="shared" si="204"/>
        <v>LCOM2</v>
      </c>
    </row>
    <row r="1166" spans="25:34" x14ac:dyDescent="0.35">
      <c r="Y1166" s="74">
        <f t="shared" si="195"/>
        <v>44569</v>
      </c>
      <c r="Z1166" s="74" t="e">
        <f t="shared" ca="1" si="196"/>
        <v>#N/A</v>
      </c>
      <c r="AA1166" s="80" t="str">
        <f t="shared" ca="1" si="197"/>
        <v>CLG2</v>
      </c>
      <c r="AB1166" s="74" t="e">
        <f t="shared" si="199"/>
        <v>#N/A</v>
      </c>
      <c r="AC1166" s="80" t="str">
        <f t="shared" si="198"/>
        <v>LCOH2</v>
      </c>
      <c r="AD1166" s="80" t="str">
        <f t="shared" si="200"/>
        <v>CLH2</v>
      </c>
      <c r="AE1166" s="80" t="str">
        <f t="shared" si="201"/>
        <v>LCOJ2</v>
      </c>
      <c r="AF1166" s="80" t="str">
        <f t="shared" si="202"/>
        <v>CLJ2</v>
      </c>
      <c r="AG1166" s="80" t="str">
        <f t="shared" si="203"/>
        <v>LCOK2</v>
      </c>
      <c r="AH1166" s="80" t="str">
        <f t="shared" si="204"/>
        <v>LCOM2</v>
      </c>
    </row>
    <row r="1167" spans="25:34" x14ac:dyDescent="0.35">
      <c r="Y1167" s="74">
        <f t="shared" si="195"/>
        <v>44570</v>
      </c>
      <c r="Z1167" s="74" t="e">
        <f t="shared" ca="1" si="196"/>
        <v>#N/A</v>
      </c>
      <c r="AA1167" s="80" t="str">
        <f t="shared" ca="1" si="197"/>
        <v>CLG2</v>
      </c>
      <c r="AB1167" s="74" t="e">
        <f t="shared" si="199"/>
        <v>#N/A</v>
      </c>
      <c r="AC1167" s="80" t="str">
        <f t="shared" si="198"/>
        <v>LCOH2</v>
      </c>
      <c r="AD1167" s="80" t="str">
        <f t="shared" si="200"/>
        <v>CLH2</v>
      </c>
      <c r="AE1167" s="80" t="str">
        <f t="shared" si="201"/>
        <v>LCOJ2</v>
      </c>
      <c r="AF1167" s="80" t="str">
        <f t="shared" si="202"/>
        <v>CLJ2</v>
      </c>
      <c r="AG1167" s="80" t="str">
        <f t="shared" si="203"/>
        <v>LCOK2</v>
      </c>
      <c r="AH1167" s="80" t="str">
        <f t="shared" si="204"/>
        <v>LCOM2</v>
      </c>
    </row>
    <row r="1168" spans="25:34" x14ac:dyDescent="0.35">
      <c r="Y1168" s="74">
        <f t="shared" si="195"/>
        <v>44571</v>
      </c>
      <c r="Z1168" s="74" t="e">
        <f t="shared" ca="1" si="196"/>
        <v>#N/A</v>
      </c>
      <c r="AA1168" s="80" t="str">
        <f t="shared" ca="1" si="197"/>
        <v>CLG2</v>
      </c>
      <c r="AB1168" s="74" t="e">
        <f t="shared" si="199"/>
        <v>#N/A</v>
      </c>
      <c r="AC1168" s="80" t="str">
        <f t="shared" si="198"/>
        <v>LCOH2</v>
      </c>
      <c r="AD1168" s="80" t="str">
        <f t="shared" si="200"/>
        <v>CLH2</v>
      </c>
      <c r="AE1168" s="80" t="str">
        <f t="shared" si="201"/>
        <v>LCOJ2</v>
      </c>
      <c r="AF1168" s="80" t="str">
        <f t="shared" si="202"/>
        <v>CLJ2</v>
      </c>
      <c r="AG1168" s="80" t="str">
        <f t="shared" si="203"/>
        <v>LCOK2</v>
      </c>
      <c r="AH1168" s="80" t="str">
        <f t="shared" si="204"/>
        <v>LCOM2</v>
      </c>
    </row>
    <row r="1169" spans="25:34" x14ac:dyDescent="0.35">
      <c r="Y1169" s="74">
        <f t="shared" si="195"/>
        <v>44572</v>
      </c>
      <c r="Z1169" s="74" t="e">
        <f t="shared" ca="1" si="196"/>
        <v>#N/A</v>
      </c>
      <c r="AA1169" s="80" t="str">
        <f t="shared" ca="1" si="197"/>
        <v>CLG2</v>
      </c>
      <c r="AB1169" s="74" t="e">
        <f t="shared" si="199"/>
        <v>#N/A</v>
      </c>
      <c r="AC1169" s="80" t="str">
        <f t="shared" si="198"/>
        <v>LCOH2</v>
      </c>
      <c r="AD1169" s="80" t="str">
        <f t="shared" si="200"/>
        <v>CLH2</v>
      </c>
      <c r="AE1169" s="80" t="str">
        <f t="shared" si="201"/>
        <v>LCOJ2</v>
      </c>
      <c r="AF1169" s="80" t="str">
        <f t="shared" si="202"/>
        <v>CLJ2</v>
      </c>
      <c r="AG1169" s="80" t="str">
        <f t="shared" si="203"/>
        <v>LCOK2</v>
      </c>
      <c r="AH1169" s="80" t="str">
        <f t="shared" si="204"/>
        <v>LCOM2</v>
      </c>
    </row>
    <row r="1170" spans="25:34" x14ac:dyDescent="0.35">
      <c r="Y1170" s="74">
        <f t="shared" si="195"/>
        <v>44573</v>
      </c>
      <c r="Z1170" s="74" t="e">
        <f t="shared" ca="1" si="196"/>
        <v>#N/A</v>
      </c>
      <c r="AA1170" s="80" t="str">
        <f t="shared" ca="1" si="197"/>
        <v>CLG2</v>
      </c>
      <c r="AB1170" s="74" t="e">
        <f t="shared" si="199"/>
        <v>#N/A</v>
      </c>
      <c r="AC1170" s="80" t="str">
        <f t="shared" si="198"/>
        <v>LCOH2</v>
      </c>
      <c r="AD1170" s="80" t="str">
        <f t="shared" si="200"/>
        <v>CLH2</v>
      </c>
      <c r="AE1170" s="80" t="str">
        <f t="shared" si="201"/>
        <v>LCOJ2</v>
      </c>
      <c r="AF1170" s="80" t="str">
        <f t="shared" si="202"/>
        <v>CLJ2</v>
      </c>
      <c r="AG1170" s="80" t="str">
        <f t="shared" si="203"/>
        <v>LCOK2</v>
      </c>
      <c r="AH1170" s="80" t="str">
        <f t="shared" si="204"/>
        <v>LCOM2</v>
      </c>
    </row>
    <row r="1171" spans="25:34" x14ac:dyDescent="0.35">
      <c r="Y1171" s="74">
        <f t="shared" si="195"/>
        <v>44574</v>
      </c>
      <c r="Z1171" s="74" t="e">
        <f t="shared" ca="1" si="196"/>
        <v>#N/A</v>
      </c>
      <c r="AA1171" s="80" t="str">
        <f t="shared" ca="1" si="197"/>
        <v>CLG2</v>
      </c>
      <c r="AB1171" s="74" t="e">
        <f t="shared" si="199"/>
        <v>#N/A</v>
      </c>
      <c r="AC1171" s="80" t="str">
        <f t="shared" si="198"/>
        <v>LCOH2</v>
      </c>
      <c r="AD1171" s="80" t="str">
        <f t="shared" si="200"/>
        <v>CLH2</v>
      </c>
      <c r="AE1171" s="80" t="str">
        <f t="shared" si="201"/>
        <v>LCOJ2</v>
      </c>
      <c r="AF1171" s="80" t="str">
        <f t="shared" si="202"/>
        <v>CLJ2</v>
      </c>
      <c r="AG1171" s="80" t="str">
        <f t="shared" si="203"/>
        <v>LCOK2</v>
      </c>
      <c r="AH1171" s="80" t="str">
        <f t="shared" si="204"/>
        <v>LCOM2</v>
      </c>
    </row>
    <row r="1172" spans="25:34" x14ac:dyDescent="0.35">
      <c r="Y1172" s="74">
        <f t="shared" si="195"/>
        <v>44575</v>
      </c>
      <c r="Z1172" s="74" t="e">
        <f t="shared" ca="1" si="196"/>
        <v>#N/A</v>
      </c>
      <c r="AA1172" s="80" t="str">
        <f t="shared" ca="1" si="197"/>
        <v>CLG2</v>
      </c>
      <c r="AB1172" s="74" t="e">
        <f t="shared" si="199"/>
        <v>#N/A</v>
      </c>
      <c r="AC1172" s="80" t="str">
        <f t="shared" si="198"/>
        <v>LCOH2</v>
      </c>
      <c r="AD1172" s="80" t="str">
        <f t="shared" si="200"/>
        <v>CLH2</v>
      </c>
      <c r="AE1172" s="80" t="str">
        <f t="shared" si="201"/>
        <v>LCOJ2</v>
      </c>
      <c r="AF1172" s="80" t="str">
        <f t="shared" si="202"/>
        <v>CLJ2</v>
      </c>
      <c r="AG1172" s="80" t="str">
        <f t="shared" si="203"/>
        <v>LCOK2</v>
      </c>
      <c r="AH1172" s="80" t="str">
        <f t="shared" si="204"/>
        <v>LCOM2</v>
      </c>
    </row>
    <row r="1173" spans="25:34" x14ac:dyDescent="0.35">
      <c r="Y1173" s="74">
        <f t="shared" si="195"/>
        <v>44576</v>
      </c>
      <c r="Z1173" s="74" t="e">
        <f t="shared" ca="1" si="196"/>
        <v>#N/A</v>
      </c>
      <c r="AA1173" s="80" t="str">
        <f t="shared" ca="1" si="197"/>
        <v>CLG2</v>
      </c>
      <c r="AB1173" s="74" t="e">
        <f t="shared" si="199"/>
        <v>#N/A</v>
      </c>
      <c r="AC1173" s="80" t="str">
        <f t="shared" si="198"/>
        <v>LCOH2</v>
      </c>
      <c r="AD1173" s="80" t="str">
        <f t="shared" si="200"/>
        <v>CLH2</v>
      </c>
      <c r="AE1173" s="80" t="str">
        <f t="shared" si="201"/>
        <v>LCOJ2</v>
      </c>
      <c r="AF1173" s="80" t="str">
        <f t="shared" si="202"/>
        <v>CLJ2</v>
      </c>
      <c r="AG1173" s="80" t="str">
        <f t="shared" si="203"/>
        <v>LCOK2</v>
      </c>
      <c r="AH1173" s="80" t="str">
        <f t="shared" si="204"/>
        <v>LCOM2</v>
      </c>
    </row>
    <row r="1174" spans="25:34" x14ac:dyDescent="0.35">
      <c r="Y1174" s="74">
        <f t="shared" si="195"/>
        <v>44577</v>
      </c>
      <c r="Z1174" s="74" t="e">
        <f t="shared" ca="1" si="196"/>
        <v>#N/A</v>
      </c>
      <c r="AA1174" s="80" t="str">
        <f t="shared" ca="1" si="197"/>
        <v>CLG2</v>
      </c>
      <c r="AB1174" s="74" t="e">
        <f t="shared" si="199"/>
        <v>#N/A</v>
      </c>
      <c r="AC1174" s="80" t="str">
        <f t="shared" si="198"/>
        <v>LCOH2</v>
      </c>
      <c r="AD1174" s="80" t="str">
        <f t="shared" si="200"/>
        <v>CLH2</v>
      </c>
      <c r="AE1174" s="80" t="str">
        <f t="shared" si="201"/>
        <v>LCOJ2</v>
      </c>
      <c r="AF1174" s="80" t="str">
        <f t="shared" si="202"/>
        <v>CLJ2</v>
      </c>
      <c r="AG1174" s="80" t="str">
        <f t="shared" si="203"/>
        <v>LCOK2</v>
      </c>
      <c r="AH1174" s="80" t="str">
        <f t="shared" si="204"/>
        <v>LCOM2</v>
      </c>
    </row>
    <row r="1175" spans="25:34" x14ac:dyDescent="0.35">
      <c r="Y1175" s="74">
        <f t="shared" si="195"/>
        <v>44578</v>
      </c>
      <c r="Z1175" s="74" t="e">
        <f t="shared" ca="1" si="196"/>
        <v>#N/A</v>
      </c>
      <c r="AA1175" s="80" t="str">
        <f t="shared" ca="1" si="197"/>
        <v>CLG2</v>
      </c>
      <c r="AB1175" s="74" t="e">
        <f t="shared" si="199"/>
        <v>#N/A</v>
      </c>
      <c r="AC1175" s="80" t="str">
        <f t="shared" si="198"/>
        <v>LCOH2</v>
      </c>
      <c r="AD1175" s="80" t="str">
        <f t="shared" si="200"/>
        <v>CLH2</v>
      </c>
      <c r="AE1175" s="80" t="str">
        <f t="shared" si="201"/>
        <v>LCOJ2</v>
      </c>
      <c r="AF1175" s="80" t="str">
        <f t="shared" si="202"/>
        <v>CLJ2</v>
      </c>
      <c r="AG1175" s="80" t="str">
        <f t="shared" si="203"/>
        <v>LCOK2</v>
      </c>
      <c r="AH1175" s="80" t="str">
        <f t="shared" si="204"/>
        <v>LCOM2</v>
      </c>
    </row>
    <row r="1176" spans="25:34" x14ac:dyDescent="0.35">
      <c r="Y1176" s="74">
        <f t="shared" si="195"/>
        <v>44579</v>
      </c>
      <c r="Z1176" s="74" t="e">
        <f t="shared" ca="1" si="196"/>
        <v>#N/A</v>
      </c>
      <c r="AA1176" s="80" t="str">
        <f t="shared" ca="1" si="197"/>
        <v>CLG2</v>
      </c>
      <c r="AB1176" s="74" t="e">
        <f t="shared" si="199"/>
        <v>#N/A</v>
      </c>
      <c r="AC1176" s="80" t="str">
        <f t="shared" si="198"/>
        <v>LCOH2</v>
      </c>
      <c r="AD1176" s="80" t="str">
        <f t="shared" si="200"/>
        <v>CLH2</v>
      </c>
      <c r="AE1176" s="80" t="str">
        <f t="shared" si="201"/>
        <v>LCOJ2</v>
      </c>
      <c r="AF1176" s="80" t="str">
        <f t="shared" si="202"/>
        <v>CLJ2</v>
      </c>
      <c r="AG1176" s="80" t="str">
        <f t="shared" si="203"/>
        <v>LCOK2</v>
      </c>
      <c r="AH1176" s="80" t="str">
        <f t="shared" si="204"/>
        <v>LCOM2</v>
      </c>
    </row>
    <row r="1177" spans="25:34" x14ac:dyDescent="0.35">
      <c r="Y1177" s="74">
        <f t="shared" si="195"/>
        <v>44580</v>
      </c>
      <c r="Z1177" s="74" t="e">
        <f t="shared" ca="1" si="196"/>
        <v>#N/A</v>
      </c>
      <c r="AA1177" s="80" t="str">
        <f t="shared" ca="1" si="197"/>
        <v>CLG2</v>
      </c>
      <c r="AB1177" s="74" t="e">
        <f t="shared" si="199"/>
        <v>#N/A</v>
      </c>
      <c r="AC1177" s="80" t="str">
        <f t="shared" si="198"/>
        <v>LCOH2</v>
      </c>
      <c r="AD1177" s="80" t="str">
        <f t="shared" si="200"/>
        <v>CLH2</v>
      </c>
      <c r="AE1177" s="80" t="str">
        <f t="shared" si="201"/>
        <v>LCOJ2</v>
      </c>
      <c r="AF1177" s="80" t="str">
        <f t="shared" si="202"/>
        <v>CLJ2</v>
      </c>
      <c r="AG1177" s="80" t="str">
        <f t="shared" si="203"/>
        <v>LCOK2</v>
      </c>
      <c r="AH1177" s="80" t="str">
        <f t="shared" si="204"/>
        <v>LCOM2</v>
      </c>
    </row>
    <row r="1178" spans="25:34" x14ac:dyDescent="0.35">
      <c r="Y1178" s="74">
        <f t="shared" si="195"/>
        <v>44581</v>
      </c>
      <c r="Z1178" s="74" t="e">
        <f t="shared" ca="1" si="196"/>
        <v>#N/A</v>
      </c>
      <c r="AA1178" s="80" t="str">
        <f t="shared" ca="1" si="197"/>
        <v>CLG2</v>
      </c>
      <c r="AB1178" s="74" t="e">
        <f t="shared" si="199"/>
        <v>#N/A</v>
      </c>
      <c r="AC1178" s="80" t="str">
        <f t="shared" si="198"/>
        <v>LCOH2</v>
      </c>
      <c r="AD1178" s="80" t="str">
        <f t="shared" si="200"/>
        <v>CLH2</v>
      </c>
      <c r="AE1178" s="80" t="str">
        <f t="shared" si="201"/>
        <v>LCOJ2</v>
      </c>
      <c r="AF1178" s="80" t="str">
        <f t="shared" si="202"/>
        <v>CLJ2</v>
      </c>
      <c r="AG1178" s="80" t="str">
        <f t="shared" si="203"/>
        <v>LCOK2</v>
      </c>
      <c r="AH1178" s="80" t="str">
        <f t="shared" si="204"/>
        <v>LCOM2</v>
      </c>
    </row>
    <row r="1179" spans="25:34" x14ac:dyDescent="0.35">
      <c r="Y1179" s="74">
        <f t="shared" si="195"/>
        <v>44582</v>
      </c>
      <c r="Z1179" s="74" t="e">
        <f t="shared" ca="1" si="196"/>
        <v>#N/A</v>
      </c>
      <c r="AA1179" s="80" t="str">
        <f t="shared" ca="1" si="197"/>
        <v>CLH2</v>
      </c>
      <c r="AB1179" s="74" t="e">
        <f t="shared" si="199"/>
        <v>#N/A</v>
      </c>
      <c r="AC1179" s="80" t="str">
        <f t="shared" si="198"/>
        <v>LCOH2</v>
      </c>
      <c r="AD1179" s="80" t="str">
        <f t="shared" si="200"/>
        <v>CLH2</v>
      </c>
      <c r="AE1179" s="80" t="str">
        <f t="shared" si="201"/>
        <v>LCOJ2</v>
      </c>
      <c r="AF1179" s="80" t="str">
        <f t="shared" si="202"/>
        <v>CLJ2</v>
      </c>
      <c r="AG1179" s="80" t="str">
        <f t="shared" si="203"/>
        <v>LCOK2</v>
      </c>
      <c r="AH1179" s="80" t="str">
        <f t="shared" si="204"/>
        <v>LCOM2</v>
      </c>
    </row>
    <row r="1180" spans="25:34" x14ac:dyDescent="0.35">
      <c r="Y1180" s="74">
        <f t="shared" si="195"/>
        <v>44583</v>
      </c>
      <c r="Z1180" s="74" t="e">
        <f t="shared" ca="1" si="196"/>
        <v>#N/A</v>
      </c>
      <c r="AA1180" s="80" t="str">
        <f t="shared" ca="1" si="197"/>
        <v>CLH2</v>
      </c>
      <c r="AB1180" s="74" t="e">
        <f t="shared" si="199"/>
        <v>#N/A</v>
      </c>
      <c r="AC1180" s="80" t="str">
        <f t="shared" si="198"/>
        <v>LCOH2</v>
      </c>
      <c r="AD1180" s="80" t="str">
        <f t="shared" si="200"/>
        <v>CLH2</v>
      </c>
      <c r="AE1180" s="80" t="str">
        <f t="shared" si="201"/>
        <v>LCOJ2</v>
      </c>
      <c r="AF1180" s="80" t="str">
        <f t="shared" si="202"/>
        <v>CLJ2</v>
      </c>
      <c r="AG1180" s="80" t="str">
        <f t="shared" si="203"/>
        <v>LCOK2</v>
      </c>
      <c r="AH1180" s="80" t="str">
        <f t="shared" si="204"/>
        <v>LCOM2</v>
      </c>
    </row>
    <row r="1181" spans="25:34" x14ac:dyDescent="0.35">
      <c r="Y1181" s="74">
        <f t="shared" si="195"/>
        <v>44584</v>
      </c>
      <c r="Z1181" s="74" t="e">
        <f t="shared" ca="1" si="196"/>
        <v>#N/A</v>
      </c>
      <c r="AA1181" s="80" t="str">
        <f t="shared" ca="1" si="197"/>
        <v>CLH2</v>
      </c>
      <c r="AB1181" s="74" t="e">
        <f t="shared" si="199"/>
        <v>#N/A</v>
      </c>
      <c r="AC1181" s="80" t="str">
        <f t="shared" si="198"/>
        <v>LCOH2</v>
      </c>
      <c r="AD1181" s="80" t="str">
        <f t="shared" si="200"/>
        <v>CLH2</v>
      </c>
      <c r="AE1181" s="80" t="str">
        <f t="shared" si="201"/>
        <v>LCOJ2</v>
      </c>
      <c r="AF1181" s="80" t="str">
        <f t="shared" si="202"/>
        <v>CLJ2</v>
      </c>
      <c r="AG1181" s="80" t="str">
        <f t="shared" si="203"/>
        <v>LCOK2</v>
      </c>
      <c r="AH1181" s="80" t="str">
        <f t="shared" si="204"/>
        <v>LCOM2</v>
      </c>
    </row>
    <row r="1182" spans="25:34" x14ac:dyDescent="0.35">
      <c r="Y1182" s="74">
        <f t="shared" si="195"/>
        <v>44585</v>
      </c>
      <c r="Z1182" s="74" t="e">
        <f t="shared" ca="1" si="196"/>
        <v>#N/A</v>
      </c>
      <c r="AA1182" s="80" t="str">
        <f t="shared" ca="1" si="197"/>
        <v>CLH2</v>
      </c>
      <c r="AB1182" s="74" t="e">
        <f t="shared" si="199"/>
        <v>#N/A</v>
      </c>
      <c r="AC1182" s="80" t="str">
        <f t="shared" si="198"/>
        <v>LCOH2</v>
      </c>
      <c r="AD1182" s="80" t="str">
        <f t="shared" si="200"/>
        <v>CLH2</v>
      </c>
      <c r="AE1182" s="80" t="str">
        <f t="shared" si="201"/>
        <v>LCOJ2</v>
      </c>
      <c r="AF1182" s="80" t="str">
        <f t="shared" si="202"/>
        <v>CLJ2</v>
      </c>
      <c r="AG1182" s="80" t="str">
        <f t="shared" si="203"/>
        <v>LCOK2</v>
      </c>
      <c r="AH1182" s="80" t="str">
        <f t="shared" si="204"/>
        <v>LCOM2</v>
      </c>
    </row>
    <row r="1183" spans="25:34" x14ac:dyDescent="0.35">
      <c r="Y1183" s="74">
        <f t="shared" si="195"/>
        <v>44586</v>
      </c>
      <c r="Z1183" s="74" t="e">
        <f t="shared" ca="1" si="196"/>
        <v>#N/A</v>
      </c>
      <c r="AA1183" s="80" t="str">
        <f t="shared" ca="1" si="197"/>
        <v>CLH2</v>
      </c>
      <c r="AB1183" s="74" t="e">
        <f t="shared" si="199"/>
        <v>#N/A</v>
      </c>
      <c r="AC1183" s="80" t="str">
        <f t="shared" si="198"/>
        <v>LCOH2</v>
      </c>
      <c r="AD1183" s="80" t="str">
        <f t="shared" si="200"/>
        <v>CLH2</v>
      </c>
      <c r="AE1183" s="80" t="str">
        <f t="shared" si="201"/>
        <v>LCOJ2</v>
      </c>
      <c r="AF1183" s="80" t="str">
        <f t="shared" si="202"/>
        <v>CLJ2</v>
      </c>
      <c r="AG1183" s="80" t="str">
        <f t="shared" si="203"/>
        <v>LCOK2</v>
      </c>
      <c r="AH1183" s="80" t="str">
        <f t="shared" si="204"/>
        <v>LCOM2</v>
      </c>
    </row>
    <row r="1184" spans="25:34" x14ac:dyDescent="0.35">
      <c r="Y1184" s="74">
        <f t="shared" si="195"/>
        <v>44587</v>
      </c>
      <c r="Z1184" s="74" t="e">
        <f t="shared" ca="1" si="196"/>
        <v>#N/A</v>
      </c>
      <c r="AA1184" s="80" t="str">
        <f t="shared" ca="1" si="197"/>
        <v>CLH2</v>
      </c>
      <c r="AB1184" s="74" t="e">
        <f t="shared" si="199"/>
        <v>#N/A</v>
      </c>
      <c r="AC1184" s="80" t="str">
        <f t="shared" si="198"/>
        <v>LCOH2</v>
      </c>
      <c r="AD1184" s="80" t="str">
        <f t="shared" si="200"/>
        <v>CLH2</v>
      </c>
      <c r="AE1184" s="80" t="str">
        <f t="shared" si="201"/>
        <v>LCOJ2</v>
      </c>
      <c r="AF1184" s="80" t="str">
        <f t="shared" si="202"/>
        <v>CLJ2</v>
      </c>
      <c r="AG1184" s="80" t="str">
        <f t="shared" si="203"/>
        <v>LCOK2</v>
      </c>
      <c r="AH1184" s="80" t="str">
        <f t="shared" si="204"/>
        <v>LCOM2</v>
      </c>
    </row>
    <row r="1185" spans="25:34" x14ac:dyDescent="0.35">
      <c r="Y1185" s="74">
        <f t="shared" ref="Y1185:Y1248" si="205">Y1184+1</f>
        <v>44588</v>
      </c>
      <c r="Z1185" s="74" t="e">
        <f t="shared" ca="1" si="196"/>
        <v>#N/A</v>
      </c>
      <c r="AA1185" s="80" t="str">
        <f t="shared" ca="1" si="197"/>
        <v>CLH2</v>
      </c>
      <c r="AB1185" s="74" t="e">
        <f t="shared" si="199"/>
        <v>#N/A</v>
      </c>
      <c r="AC1185" s="80" t="str">
        <f t="shared" si="198"/>
        <v>LCOH2</v>
      </c>
      <c r="AD1185" s="80" t="str">
        <f t="shared" si="200"/>
        <v>CLH2</v>
      </c>
      <c r="AE1185" s="80" t="str">
        <f t="shared" si="201"/>
        <v>LCOJ2</v>
      </c>
      <c r="AF1185" s="80" t="str">
        <f t="shared" si="202"/>
        <v>CLJ2</v>
      </c>
      <c r="AG1185" s="80" t="str">
        <f t="shared" si="203"/>
        <v>LCOK2</v>
      </c>
      <c r="AH1185" s="80" t="str">
        <f t="shared" si="204"/>
        <v>LCOM2</v>
      </c>
    </row>
    <row r="1186" spans="25:34" x14ac:dyDescent="0.35">
      <c r="Y1186" s="74">
        <f t="shared" si="205"/>
        <v>44589</v>
      </c>
      <c r="Z1186" s="74" t="e">
        <f t="shared" ca="1" si="196"/>
        <v>#N/A</v>
      </c>
      <c r="AA1186" s="80" t="str">
        <f t="shared" ca="1" si="197"/>
        <v>CLH2</v>
      </c>
      <c r="AB1186" s="74" t="e">
        <f t="shared" si="199"/>
        <v>#N/A</v>
      </c>
      <c r="AC1186" s="80" t="str">
        <f t="shared" si="198"/>
        <v>LCOH2</v>
      </c>
      <c r="AD1186" s="80" t="str">
        <f t="shared" si="200"/>
        <v>CLH2</v>
      </c>
      <c r="AE1186" s="80" t="str">
        <f t="shared" si="201"/>
        <v>LCOJ2</v>
      </c>
      <c r="AF1186" s="80" t="str">
        <f t="shared" si="202"/>
        <v>CLJ2</v>
      </c>
      <c r="AG1186" s="80" t="str">
        <f t="shared" si="203"/>
        <v>LCOK2</v>
      </c>
      <c r="AH1186" s="80" t="str">
        <f t="shared" si="204"/>
        <v>LCOM2</v>
      </c>
    </row>
    <row r="1187" spans="25:34" x14ac:dyDescent="0.35">
      <c r="Y1187" s="74">
        <f t="shared" si="205"/>
        <v>44590</v>
      </c>
      <c r="Z1187" s="74" t="e">
        <f t="shared" ca="1" si="196"/>
        <v>#N/A</v>
      </c>
      <c r="AA1187" s="80" t="str">
        <f t="shared" ca="1" si="197"/>
        <v>CLH2</v>
      </c>
      <c r="AB1187" s="74" t="e">
        <f t="shared" si="199"/>
        <v>#N/A</v>
      </c>
      <c r="AC1187" s="80" t="str">
        <f t="shared" si="198"/>
        <v>LCOH2</v>
      </c>
      <c r="AD1187" s="80" t="str">
        <f t="shared" si="200"/>
        <v>CLH2</v>
      </c>
      <c r="AE1187" s="80" t="str">
        <f t="shared" si="201"/>
        <v>LCOJ2</v>
      </c>
      <c r="AF1187" s="80" t="str">
        <f t="shared" si="202"/>
        <v>CLJ2</v>
      </c>
      <c r="AG1187" s="80" t="str">
        <f t="shared" si="203"/>
        <v>LCOK2</v>
      </c>
      <c r="AH1187" s="80" t="str">
        <f t="shared" si="204"/>
        <v>LCOM2</v>
      </c>
    </row>
    <row r="1188" spans="25:34" x14ac:dyDescent="0.35">
      <c r="Y1188" s="74">
        <f t="shared" si="205"/>
        <v>44591</v>
      </c>
      <c r="Z1188" s="74" t="e">
        <f t="shared" ca="1" si="196"/>
        <v>#N/A</v>
      </c>
      <c r="AA1188" s="80" t="str">
        <f t="shared" ca="1" si="197"/>
        <v>CLH2</v>
      </c>
      <c r="AB1188" s="74" t="e">
        <f t="shared" si="199"/>
        <v>#N/A</v>
      </c>
      <c r="AC1188" s="80" t="str">
        <f t="shared" si="198"/>
        <v>LCOH2</v>
      </c>
      <c r="AD1188" s="80" t="str">
        <f t="shared" si="200"/>
        <v>CLH2</v>
      </c>
      <c r="AE1188" s="80" t="str">
        <f t="shared" si="201"/>
        <v>LCOJ2</v>
      </c>
      <c r="AF1188" s="80" t="str">
        <f t="shared" si="202"/>
        <v>CLJ2</v>
      </c>
      <c r="AG1188" s="80" t="str">
        <f t="shared" si="203"/>
        <v>LCOK2</v>
      </c>
      <c r="AH1188" s="80" t="str">
        <f t="shared" si="204"/>
        <v>LCOM2</v>
      </c>
    </row>
    <row r="1189" spans="25:34" x14ac:dyDescent="0.35">
      <c r="Y1189" s="74">
        <f t="shared" si="205"/>
        <v>44592</v>
      </c>
      <c r="Z1189" s="74" t="e">
        <f t="shared" ca="1" si="196"/>
        <v>#N/A</v>
      </c>
      <c r="AA1189" s="80" t="str">
        <f t="shared" ca="1" si="197"/>
        <v>CLH2</v>
      </c>
      <c r="AB1189" s="74" t="e">
        <f t="shared" si="199"/>
        <v>#N/A</v>
      </c>
      <c r="AC1189" s="80" t="str">
        <f t="shared" si="198"/>
        <v>LCOH2</v>
      </c>
      <c r="AD1189" s="80" t="str">
        <f t="shared" si="200"/>
        <v>CLH2</v>
      </c>
      <c r="AE1189" s="80" t="str">
        <f t="shared" si="201"/>
        <v>LCOJ2</v>
      </c>
      <c r="AF1189" s="80" t="str">
        <f t="shared" si="202"/>
        <v>CLJ2</v>
      </c>
      <c r="AG1189" s="80" t="str">
        <f t="shared" si="203"/>
        <v>LCOK2</v>
      </c>
      <c r="AH1189" s="80" t="str">
        <f t="shared" si="204"/>
        <v>LCOM2</v>
      </c>
    </row>
    <row r="1190" spans="25:34" x14ac:dyDescent="0.35">
      <c r="Y1190" s="74">
        <f t="shared" si="205"/>
        <v>44593</v>
      </c>
      <c r="Z1190" s="74" t="e">
        <f t="shared" ca="1" si="196"/>
        <v>#N/A</v>
      </c>
      <c r="AA1190" s="80" t="str">
        <f t="shared" ca="1" si="197"/>
        <v>CLH2</v>
      </c>
      <c r="AB1190" s="74" t="e">
        <f t="shared" si="199"/>
        <v>#N/A</v>
      </c>
      <c r="AC1190" s="80" t="str">
        <f t="shared" si="198"/>
        <v>LCOJ2</v>
      </c>
      <c r="AD1190" s="80" t="str">
        <f t="shared" si="200"/>
        <v>CLJ2</v>
      </c>
      <c r="AE1190" s="80" t="str">
        <f t="shared" si="201"/>
        <v>LCOK2</v>
      </c>
      <c r="AF1190" s="80" t="str">
        <f t="shared" si="202"/>
        <v>CLK2</v>
      </c>
      <c r="AG1190" s="80" t="str">
        <f t="shared" si="203"/>
        <v>LCOM2</v>
      </c>
      <c r="AH1190" s="80" t="str">
        <f t="shared" si="204"/>
        <v>LCON2</v>
      </c>
    </row>
    <row r="1191" spans="25:34" x14ac:dyDescent="0.35">
      <c r="Y1191" s="74">
        <f t="shared" si="205"/>
        <v>44594</v>
      </c>
      <c r="Z1191" s="74" t="e">
        <f t="shared" ca="1" si="196"/>
        <v>#N/A</v>
      </c>
      <c r="AA1191" s="80" t="str">
        <f t="shared" ca="1" si="197"/>
        <v>CLH2</v>
      </c>
      <c r="AB1191" s="74" t="e">
        <f t="shared" si="199"/>
        <v>#N/A</v>
      </c>
      <c r="AC1191" s="80" t="str">
        <f t="shared" si="198"/>
        <v>LCOJ2</v>
      </c>
      <c r="AD1191" s="80" t="str">
        <f t="shared" si="200"/>
        <v>CLJ2</v>
      </c>
      <c r="AE1191" s="80" t="str">
        <f t="shared" si="201"/>
        <v>LCOK2</v>
      </c>
      <c r="AF1191" s="80" t="str">
        <f t="shared" si="202"/>
        <v>CLK2</v>
      </c>
      <c r="AG1191" s="80" t="str">
        <f t="shared" si="203"/>
        <v>LCOM2</v>
      </c>
      <c r="AH1191" s="80" t="str">
        <f t="shared" si="204"/>
        <v>LCON2</v>
      </c>
    </row>
    <row r="1192" spans="25:34" x14ac:dyDescent="0.35">
      <c r="Y1192" s="74">
        <f t="shared" si="205"/>
        <v>44595</v>
      </c>
      <c r="Z1192" s="74" t="e">
        <f t="shared" ca="1" si="196"/>
        <v>#N/A</v>
      </c>
      <c r="AA1192" s="80" t="str">
        <f t="shared" ca="1" si="197"/>
        <v>CLH2</v>
      </c>
      <c r="AB1192" s="74" t="e">
        <f t="shared" si="199"/>
        <v>#N/A</v>
      </c>
      <c r="AC1192" s="80" t="str">
        <f t="shared" si="198"/>
        <v>LCOJ2</v>
      </c>
      <c r="AD1192" s="80" t="str">
        <f t="shared" si="200"/>
        <v>CLJ2</v>
      </c>
      <c r="AE1192" s="80" t="str">
        <f t="shared" si="201"/>
        <v>LCOK2</v>
      </c>
      <c r="AF1192" s="80" t="str">
        <f t="shared" si="202"/>
        <v>CLK2</v>
      </c>
      <c r="AG1192" s="80" t="str">
        <f t="shared" si="203"/>
        <v>LCOM2</v>
      </c>
      <c r="AH1192" s="80" t="str">
        <f t="shared" si="204"/>
        <v>LCON2</v>
      </c>
    </row>
    <row r="1193" spans="25:34" x14ac:dyDescent="0.35">
      <c r="Y1193" s="74">
        <f t="shared" si="205"/>
        <v>44596</v>
      </c>
      <c r="Z1193" s="74" t="e">
        <f t="shared" ca="1" si="196"/>
        <v>#N/A</v>
      </c>
      <c r="AA1193" s="80" t="str">
        <f t="shared" ca="1" si="197"/>
        <v>CLH2</v>
      </c>
      <c r="AB1193" s="74" t="e">
        <f t="shared" si="199"/>
        <v>#N/A</v>
      </c>
      <c r="AC1193" s="80" t="str">
        <f t="shared" si="198"/>
        <v>LCOJ2</v>
      </c>
      <c r="AD1193" s="80" t="str">
        <f t="shared" si="200"/>
        <v>CLJ2</v>
      </c>
      <c r="AE1193" s="80" t="str">
        <f t="shared" si="201"/>
        <v>LCOK2</v>
      </c>
      <c r="AF1193" s="80" t="str">
        <f t="shared" si="202"/>
        <v>CLK2</v>
      </c>
      <c r="AG1193" s="80" t="str">
        <f t="shared" si="203"/>
        <v>LCOM2</v>
      </c>
      <c r="AH1193" s="80" t="str">
        <f t="shared" si="204"/>
        <v>LCON2</v>
      </c>
    </row>
    <row r="1194" spans="25:34" x14ac:dyDescent="0.35">
      <c r="Y1194" s="74">
        <f t="shared" si="205"/>
        <v>44597</v>
      </c>
      <c r="Z1194" s="74" t="e">
        <f t="shared" ca="1" si="196"/>
        <v>#N/A</v>
      </c>
      <c r="AA1194" s="80" t="str">
        <f t="shared" ca="1" si="197"/>
        <v>CLH2</v>
      </c>
      <c r="AB1194" s="74" t="e">
        <f t="shared" si="199"/>
        <v>#N/A</v>
      </c>
      <c r="AC1194" s="80" t="str">
        <f t="shared" si="198"/>
        <v>LCOJ2</v>
      </c>
      <c r="AD1194" s="80" t="str">
        <f t="shared" si="200"/>
        <v>CLJ2</v>
      </c>
      <c r="AE1194" s="80" t="str">
        <f t="shared" si="201"/>
        <v>LCOK2</v>
      </c>
      <c r="AF1194" s="80" t="str">
        <f t="shared" si="202"/>
        <v>CLK2</v>
      </c>
      <c r="AG1194" s="80" t="str">
        <f t="shared" si="203"/>
        <v>LCOM2</v>
      </c>
      <c r="AH1194" s="80" t="str">
        <f t="shared" si="204"/>
        <v>LCON2</v>
      </c>
    </row>
    <row r="1195" spans="25:34" x14ac:dyDescent="0.35">
      <c r="Y1195" s="74">
        <f t="shared" si="205"/>
        <v>44598</v>
      </c>
      <c r="Z1195" s="74" t="e">
        <f t="shared" ca="1" si="196"/>
        <v>#N/A</v>
      </c>
      <c r="AA1195" s="80" t="str">
        <f t="shared" ca="1" si="197"/>
        <v>CLH2</v>
      </c>
      <c r="AB1195" s="74" t="e">
        <f t="shared" si="199"/>
        <v>#N/A</v>
      </c>
      <c r="AC1195" s="80" t="str">
        <f t="shared" si="198"/>
        <v>LCOJ2</v>
      </c>
      <c r="AD1195" s="80" t="str">
        <f t="shared" si="200"/>
        <v>CLJ2</v>
      </c>
      <c r="AE1195" s="80" t="str">
        <f t="shared" si="201"/>
        <v>LCOK2</v>
      </c>
      <c r="AF1195" s="80" t="str">
        <f t="shared" si="202"/>
        <v>CLK2</v>
      </c>
      <c r="AG1195" s="80" t="str">
        <f t="shared" si="203"/>
        <v>LCOM2</v>
      </c>
      <c r="AH1195" s="80" t="str">
        <f t="shared" si="204"/>
        <v>LCON2</v>
      </c>
    </row>
    <row r="1196" spans="25:34" x14ac:dyDescent="0.35">
      <c r="Y1196" s="74">
        <f t="shared" si="205"/>
        <v>44599</v>
      </c>
      <c r="Z1196" s="74" t="e">
        <f t="shared" ca="1" si="196"/>
        <v>#N/A</v>
      </c>
      <c r="AA1196" s="80" t="str">
        <f t="shared" ca="1" si="197"/>
        <v>CLH2</v>
      </c>
      <c r="AB1196" s="74" t="e">
        <f t="shared" si="199"/>
        <v>#N/A</v>
      </c>
      <c r="AC1196" s="80" t="str">
        <f t="shared" si="198"/>
        <v>LCOJ2</v>
      </c>
      <c r="AD1196" s="80" t="str">
        <f t="shared" si="200"/>
        <v>CLJ2</v>
      </c>
      <c r="AE1196" s="80" t="str">
        <f t="shared" si="201"/>
        <v>LCOK2</v>
      </c>
      <c r="AF1196" s="80" t="str">
        <f t="shared" si="202"/>
        <v>CLK2</v>
      </c>
      <c r="AG1196" s="80" t="str">
        <f t="shared" si="203"/>
        <v>LCOM2</v>
      </c>
      <c r="AH1196" s="80" t="str">
        <f t="shared" si="204"/>
        <v>LCON2</v>
      </c>
    </row>
    <row r="1197" spans="25:34" x14ac:dyDescent="0.35">
      <c r="Y1197" s="74">
        <f t="shared" si="205"/>
        <v>44600</v>
      </c>
      <c r="Z1197" s="74" t="e">
        <f t="shared" ca="1" si="196"/>
        <v>#N/A</v>
      </c>
      <c r="AA1197" s="80" t="str">
        <f t="shared" ca="1" si="197"/>
        <v>CLH2</v>
      </c>
      <c r="AB1197" s="74" t="e">
        <f t="shared" si="199"/>
        <v>#N/A</v>
      </c>
      <c r="AC1197" s="80" t="str">
        <f t="shared" si="198"/>
        <v>LCOJ2</v>
      </c>
      <c r="AD1197" s="80" t="str">
        <f t="shared" si="200"/>
        <v>CLJ2</v>
      </c>
      <c r="AE1197" s="80" t="str">
        <f t="shared" si="201"/>
        <v>LCOK2</v>
      </c>
      <c r="AF1197" s="80" t="str">
        <f t="shared" si="202"/>
        <v>CLK2</v>
      </c>
      <c r="AG1197" s="80" t="str">
        <f t="shared" si="203"/>
        <v>LCOM2</v>
      </c>
      <c r="AH1197" s="80" t="str">
        <f t="shared" si="204"/>
        <v>LCON2</v>
      </c>
    </row>
    <row r="1198" spans="25:34" x14ac:dyDescent="0.35">
      <c r="Y1198" s="74">
        <f t="shared" si="205"/>
        <v>44601</v>
      </c>
      <c r="Z1198" s="74" t="e">
        <f t="shared" ca="1" si="196"/>
        <v>#N/A</v>
      </c>
      <c r="AA1198" s="80" t="str">
        <f t="shared" ca="1" si="197"/>
        <v>CLH2</v>
      </c>
      <c r="AB1198" s="74" t="e">
        <f t="shared" si="199"/>
        <v>#N/A</v>
      </c>
      <c r="AC1198" s="80" t="str">
        <f t="shared" si="198"/>
        <v>LCOJ2</v>
      </c>
      <c r="AD1198" s="80" t="str">
        <f t="shared" si="200"/>
        <v>CLJ2</v>
      </c>
      <c r="AE1198" s="80" t="str">
        <f t="shared" si="201"/>
        <v>LCOK2</v>
      </c>
      <c r="AF1198" s="80" t="str">
        <f t="shared" si="202"/>
        <v>CLK2</v>
      </c>
      <c r="AG1198" s="80" t="str">
        <f t="shared" si="203"/>
        <v>LCOM2</v>
      </c>
      <c r="AH1198" s="80" t="str">
        <f t="shared" si="204"/>
        <v>LCON2</v>
      </c>
    </row>
    <row r="1199" spans="25:34" x14ac:dyDescent="0.35">
      <c r="Y1199" s="74">
        <f t="shared" si="205"/>
        <v>44602</v>
      </c>
      <c r="Z1199" s="74" t="e">
        <f t="shared" ca="1" si="196"/>
        <v>#N/A</v>
      </c>
      <c r="AA1199" s="80" t="str">
        <f t="shared" ca="1" si="197"/>
        <v>CLH2</v>
      </c>
      <c r="AB1199" s="74" t="e">
        <f t="shared" si="199"/>
        <v>#N/A</v>
      </c>
      <c r="AC1199" s="80" t="str">
        <f t="shared" si="198"/>
        <v>LCOJ2</v>
      </c>
      <c r="AD1199" s="80" t="str">
        <f t="shared" si="200"/>
        <v>CLJ2</v>
      </c>
      <c r="AE1199" s="80" t="str">
        <f t="shared" si="201"/>
        <v>LCOK2</v>
      </c>
      <c r="AF1199" s="80" t="str">
        <f t="shared" si="202"/>
        <v>CLK2</v>
      </c>
      <c r="AG1199" s="80" t="str">
        <f t="shared" si="203"/>
        <v>LCOM2</v>
      </c>
      <c r="AH1199" s="80" t="str">
        <f t="shared" si="204"/>
        <v>LCON2</v>
      </c>
    </row>
    <row r="1200" spans="25:34" x14ac:dyDescent="0.35">
      <c r="Y1200" s="74">
        <f t="shared" si="205"/>
        <v>44603</v>
      </c>
      <c r="Z1200" s="74" t="e">
        <f t="shared" ca="1" si="196"/>
        <v>#N/A</v>
      </c>
      <c r="AA1200" s="80" t="str">
        <f t="shared" ca="1" si="197"/>
        <v>CLH2</v>
      </c>
      <c r="AB1200" s="74" t="e">
        <f t="shared" si="199"/>
        <v>#N/A</v>
      </c>
      <c r="AC1200" s="80" t="str">
        <f t="shared" si="198"/>
        <v>LCOJ2</v>
      </c>
      <c r="AD1200" s="80" t="str">
        <f t="shared" si="200"/>
        <v>CLJ2</v>
      </c>
      <c r="AE1200" s="80" t="str">
        <f t="shared" si="201"/>
        <v>LCOK2</v>
      </c>
      <c r="AF1200" s="80" t="str">
        <f t="shared" si="202"/>
        <v>CLK2</v>
      </c>
      <c r="AG1200" s="80" t="str">
        <f t="shared" si="203"/>
        <v>LCOM2</v>
      </c>
      <c r="AH1200" s="80" t="str">
        <f t="shared" si="204"/>
        <v>LCON2</v>
      </c>
    </row>
    <row r="1201" spans="25:34" x14ac:dyDescent="0.35">
      <c r="Y1201" s="74">
        <f t="shared" si="205"/>
        <v>44604</v>
      </c>
      <c r="Z1201" s="74" t="e">
        <f t="shared" ca="1" si="196"/>
        <v>#N/A</v>
      </c>
      <c r="AA1201" s="80" t="str">
        <f t="shared" ca="1" si="197"/>
        <v>CLH2</v>
      </c>
      <c r="AB1201" s="74" t="e">
        <f t="shared" si="199"/>
        <v>#N/A</v>
      </c>
      <c r="AC1201" s="80" t="str">
        <f t="shared" si="198"/>
        <v>LCOJ2</v>
      </c>
      <c r="AD1201" s="80" t="str">
        <f t="shared" si="200"/>
        <v>CLJ2</v>
      </c>
      <c r="AE1201" s="80" t="str">
        <f t="shared" si="201"/>
        <v>LCOK2</v>
      </c>
      <c r="AF1201" s="80" t="str">
        <f t="shared" si="202"/>
        <v>CLK2</v>
      </c>
      <c r="AG1201" s="80" t="str">
        <f t="shared" si="203"/>
        <v>LCOM2</v>
      </c>
      <c r="AH1201" s="80" t="str">
        <f t="shared" si="204"/>
        <v>LCON2</v>
      </c>
    </row>
    <row r="1202" spans="25:34" x14ac:dyDescent="0.35">
      <c r="Y1202" s="74">
        <f t="shared" si="205"/>
        <v>44605</v>
      </c>
      <c r="Z1202" s="74" t="e">
        <f t="shared" ca="1" si="196"/>
        <v>#N/A</v>
      </c>
      <c r="AA1202" s="80" t="str">
        <f t="shared" ca="1" si="197"/>
        <v>CLH2</v>
      </c>
      <c r="AB1202" s="74" t="e">
        <f t="shared" si="199"/>
        <v>#N/A</v>
      </c>
      <c r="AC1202" s="80" t="str">
        <f t="shared" si="198"/>
        <v>LCOJ2</v>
      </c>
      <c r="AD1202" s="80" t="str">
        <f t="shared" si="200"/>
        <v>CLJ2</v>
      </c>
      <c r="AE1202" s="80" t="str">
        <f t="shared" si="201"/>
        <v>LCOK2</v>
      </c>
      <c r="AF1202" s="80" t="str">
        <f t="shared" si="202"/>
        <v>CLK2</v>
      </c>
      <c r="AG1202" s="80" t="str">
        <f t="shared" si="203"/>
        <v>LCOM2</v>
      </c>
      <c r="AH1202" s="80" t="str">
        <f t="shared" si="204"/>
        <v>LCON2</v>
      </c>
    </row>
    <row r="1203" spans="25:34" x14ac:dyDescent="0.35">
      <c r="Y1203" s="74">
        <f t="shared" si="205"/>
        <v>44606</v>
      </c>
      <c r="Z1203" s="74" t="e">
        <f t="shared" ca="1" si="196"/>
        <v>#N/A</v>
      </c>
      <c r="AA1203" s="80" t="str">
        <f t="shared" ca="1" si="197"/>
        <v>CLH2</v>
      </c>
      <c r="AB1203" s="74" t="e">
        <f t="shared" si="199"/>
        <v>#N/A</v>
      </c>
      <c r="AC1203" s="80" t="str">
        <f t="shared" si="198"/>
        <v>LCOJ2</v>
      </c>
      <c r="AD1203" s="80" t="str">
        <f t="shared" si="200"/>
        <v>CLJ2</v>
      </c>
      <c r="AE1203" s="80" t="str">
        <f t="shared" si="201"/>
        <v>LCOK2</v>
      </c>
      <c r="AF1203" s="80" t="str">
        <f t="shared" si="202"/>
        <v>CLK2</v>
      </c>
      <c r="AG1203" s="80" t="str">
        <f t="shared" si="203"/>
        <v>LCOM2</v>
      </c>
      <c r="AH1203" s="80" t="str">
        <f t="shared" si="204"/>
        <v>LCON2</v>
      </c>
    </row>
    <row r="1204" spans="25:34" x14ac:dyDescent="0.35">
      <c r="Y1204" s="74">
        <f t="shared" si="205"/>
        <v>44607</v>
      </c>
      <c r="Z1204" s="74" t="e">
        <f t="shared" ca="1" si="196"/>
        <v>#N/A</v>
      </c>
      <c r="AA1204" s="80" t="str">
        <f t="shared" ca="1" si="197"/>
        <v>CLH2</v>
      </c>
      <c r="AB1204" s="74" t="e">
        <f t="shared" si="199"/>
        <v>#N/A</v>
      </c>
      <c r="AC1204" s="80" t="str">
        <f t="shared" si="198"/>
        <v>LCOJ2</v>
      </c>
      <c r="AD1204" s="80" t="str">
        <f t="shared" si="200"/>
        <v>CLJ2</v>
      </c>
      <c r="AE1204" s="80" t="str">
        <f t="shared" si="201"/>
        <v>LCOK2</v>
      </c>
      <c r="AF1204" s="80" t="str">
        <f t="shared" si="202"/>
        <v>CLK2</v>
      </c>
      <c r="AG1204" s="80" t="str">
        <f t="shared" si="203"/>
        <v>LCOM2</v>
      </c>
      <c r="AH1204" s="80" t="str">
        <f t="shared" si="204"/>
        <v>LCON2</v>
      </c>
    </row>
    <row r="1205" spans="25:34" x14ac:dyDescent="0.35">
      <c r="Y1205" s="74">
        <f t="shared" si="205"/>
        <v>44608</v>
      </c>
      <c r="Z1205" s="74" t="e">
        <f t="shared" ca="1" si="196"/>
        <v>#N/A</v>
      </c>
      <c r="AA1205" s="80" t="str">
        <f t="shared" ca="1" si="197"/>
        <v>CLH2</v>
      </c>
      <c r="AB1205" s="74" t="e">
        <f t="shared" si="199"/>
        <v>#N/A</v>
      </c>
      <c r="AC1205" s="80" t="str">
        <f t="shared" si="198"/>
        <v>LCOJ2</v>
      </c>
      <c r="AD1205" s="80" t="str">
        <f t="shared" si="200"/>
        <v>CLJ2</v>
      </c>
      <c r="AE1205" s="80" t="str">
        <f t="shared" si="201"/>
        <v>LCOK2</v>
      </c>
      <c r="AF1205" s="80" t="str">
        <f t="shared" si="202"/>
        <v>CLK2</v>
      </c>
      <c r="AG1205" s="80" t="str">
        <f t="shared" si="203"/>
        <v>LCOM2</v>
      </c>
      <c r="AH1205" s="80" t="str">
        <f t="shared" si="204"/>
        <v>LCON2</v>
      </c>
    </row>
    <row r="1206" spans="25:34" x14ac:dyDescent="0.35">
      <c r="Y1206" s="74">
        <f t="shared" si="205"/>
        <v>44609</v>
      </c>
      <c r="Z1206" s="74" t="e">
        <f t="shared" ca="1" si="196"/>
        <v>#N/A</v>
      </c>
      <c r="AA1206" s="80" t="str">
        <f t="shared" ca="1" si="197"/>
        <v>CLH2</v>
      </c>
      <c r="AB1206" s="74" t="e">
        <f t="shared" si="199"/>
        <v>#N/A</v>
      </c>
      <c r="AC1206" s="80" t="str">
        <f t="shared" si="198"/>
        <v>LCOJ2</v>
      </c>
      <c r="AD1206" s="80" t="str">
        <f t="shared" si="200"/>
        <v>CLJ2</v>
      </c>
      <c r="AE1206" s="80" t="str">
        <f t="shared" si="201"/>
        <v>LCOK2</v>
      </c>
      <c r="AF1206" s="80" t="str">
        <f t="shared" si="202"/>
        <v>CLK2</v>
      </c>
      <c r="AG1206" s="80" t="str">
        <f t="shared" si="203"/>
        <v>LCOM2</v>
      </c>
      <c r="AH1206" s="80" t="str">
        <f t="shared" si="204"/>
        <v>LCON2</v>
      </c>
    </row>
    <row r="1207" spans="25:34" x14ac:dyDescent="0.35">
      <c r="Y1207" s="74">
        <f t="shared" si="205"/>
        <v>44610</v>
      </c>
      <c r="Z1207" s="74" t="e">
        <f t="shared" ca="1" si="196"/>
        <v>#N/A</v>
      </c>
      <c r="AA1207" s="80" t="str">
        <f t="shared" ca="1" si="197"/>
        <v>CLH2</v>
      </c>
      <c r="AB1207" s="74" t="e">
        <f t="shared" si="199"/>
        <v>#N/A</v>
      </c>
      <c r="AC1207" s="80" t="str">
        <f t="shared" si="198"/>
        <v>LCOJ2</v>
      </c>
      <c r="AD1207" s="80" t="str">
        <f t="shared" si="200"/>
        <v>CLJ2</v>
      </c>
      <c r="AE1207" s="80" t="str">
        <f t="shared" si="201"/>
        <v>LCOK2</v>
      </c>
      <c r="AF1207" s="80" t="str">
        <f t="shared" si="202"/>
        <v>CLK2</v>
      </c>
      <c r="AG1207" s="80" t="str">
        <f t="shared" si="203"/>
        <v>LCOM2</v>
      </c>
      <c r="AH1207" s="80" t="str">
        <f t="shared" si="204"/>
        <v>LCON2</v>
      </c>
    </row>
    <row r="1208" spans="25:34" x14ac:dyDescent="0.35">
      <c r="Y1208" s="74">
        <f t="shared" si="205"/>
        <v>44611</v>
      </c>
      <c r="Z1208" s="74" t="e">
        <f t="shared" ca="1" si="196"/>
        <v>#N/A</v>
      </c>
      <c r="AA1208" s="80" t="str">
        <f t="shared" ca="1" si="197"/>
        <v>CLH2</v>
      </c>
      <c r="AB1208" s="74" t="e">
        <f t="shared" si="199"/>
        <v>#N/A</v>
      </c>
      <c r="AC1208" s="80" t="str">
        <f t="shared" si="198"/>
        <v>LCOJ2</v>
      </c>
      <c r="AD1208" s="80" t="str">
        <f t="shared" si="200"/>
        <v>CLJ2</v>
      </c>
      <c r="AE1208" s="80" t="str">
        <f t="shared" si="201"/>
        <v>LCOK2</v>
      </c>
      <c r="AF1208" s="80" t="str">
        <f t="shared" si="202"/>
        <v>CLK2</v>
      </c>
      <c r="AG1208" s="80" t="str">
        <f t="shared" si="203"/>
        <v>LCOM2</v>
      </c>
      <c r="AH1208" s="80" t="str">
        <f t="shared" si="204"/>
        <v>LCON2</v>
      </c>
    </row>
    <row r="1209" spans="25:34" x14ac:dyDescent="0.35">
      <c r="Y1209" s="74">
        <f t="shared" si="205"/>
        <v>44612</v>
      </c>
      <c r="Z1209" s="74" t="e">
        <f t="shared" ca="1" si="196"/>
        <v>#N/A</v>
      </c>
      <c r="AA1209" s="80" t="str">
        <f t="shared" ca="1" si="197"/>
        <v>CLH2</v>
      </c>
      <c r="AB1209" s="74" t="e">
        <f t="shared" si="199"/>
        <v>#N/A</v>
      </c>
      <c r="AC1209" s="80" t="str">
        <f t="shared" si="198"/>
        <v>LCOJ2</v>
      </c>
      <c r="AD1209" s="80" t="str">
        <f t="shared" si="200"/>
        <v>CLJ2</v>
      </c>
      <c r="AE1209" s="80" t="str">
        <f t="shared" si="201"/>
        <v>LCOK2</v>
      </c>
      <c r="AF1209" s="80" t="str">
        <f t="shared" si="202"/>
        <v>CLK2</v>
      </c>
      <c r="AG1209" s="80" t="str">
        <f t="shared" si="203"/>
        <v>LCOM2</v>
      </c>
      <c r="AH1209" s="80" t="str">
        <f t="shared" si="204"/>
        <v>LCON2</v>
      </c>
    </row>
    <row r="1210" spans="25:34" x14ac:dyDescent="0.35">
      <c r="Y1210" s="74">
        <f t="shared" si="205"/>
        <v>44613</v>
      </c>
      <c r="Z1210" s="74" t="e">
        <f t="shared" ca="1" si="196"/>
        <v>#N/A</v>
      </c>
      <c r="AA1210" s="80" t="str">
        <f t="shared" ca="1" si="197"/>
        <v>CLH2</v>
      </c>
      <c r="AB1210" s="74" t="e">
        <f t="shared" si="199"/>
        <v>#N/A</v>
      </c>
      <c r="AC1210" s="80" t="str">
        <f t="shared" si="198"/>
        <v>LCOJ2</v>
      </c>
      <c r="AD1210" s="80" t="str">
        <f t="shared" si="200"/>
        <v>CLJ2</v>
      </c>
      <c r="AE1210" s="80" t="str">
        <f t="shared" si="201"/>
        <v>LCOK2</v>
      </c>
      <c r="AF1210" s="80" t="str">
        <f t="shared" si="202"/>
        <v>CLK2</v>
      </c>
      <c r="AG1210" s="80" t="str">
        <f t="shared" si="203"/>
        <v>LCOM2</v>
      </c>
      <c r="AH1210" s="80" t="str">
        <f t="shared" si="204"/>
        <v>LCON2</v>
      </c>
    </row>
    <row r="1211" spans="25:34" x14ac:dyDescent="0.35">
      <c r="Y1211" s="74">
        <f t="shared" si="205"/>
        <v>44614</v>
      </c>
      <c r="Z1211" s="74" t="e">
        <f t="shared" ca="1" si="196"/>
        <v>#N/A</v>
      </c>
      <c r="AA1211" s="80" t="str">
        <f t="shared" ca="1" si="197"/>
        <v>CLH2</v>
      </c>
      <c r="AB1211" s="74" t="e">
        <f t="shared" si="199"/>
        <v>#N/A</v>
      </c>
      <c r="AC1211" s="80" t="str">
        <f t="shared" si="198"/>
        <v>LCOJ2</v>
      </c>
      <c r="AD1211" s="80" t="str">
        <f t="shared" si="200"/>
        <v>CLJ2</v>
      </c>
      <c r="AE1211" s="80" t="str">
        <f t="shared" si="201"/>
        <v>LCOK2</v>
      </c>
      <c r="AF1211" s="80" t="str">
        <f t="shared" si="202"/>
        <v>CLK2</v>
      </c>
      <c r="AG1211" s="80" t="str">
        <f t="shared" si="203"/>
        <v>LCOM2</v>
      </c>
      <c r="AH1211" s="80" t="str">
        <f t="shared" si="204"/>
        <v>LCON2</v>
      </c>
    </row>
    <row r="1212" spans="25:34" x14ac:dyDescent="0.35">
      <c r="Y1212" s="74">
        <f t="shared" si="205"/>
        <v>44615</v>
      </c>
      <c r="Z1212" s="74" t="e">
        <f t="shared" ca="1" si="196"/>
        <v>#N/A</v>
      </c>
      <c r="AA1212" s="80" t="str">
        <f t="shared" ca="1" si="197"/>
        <v>CLJ2</v>
      </c>
      <c r="AB1212" s="74" t="e">
        <f t="shared" si="199"/>
        <v>#N/A</v>
      </c>
      <c r="AC1212" s="80" t="str">
        <f t="shared" si="198"/>
        <v>LCOJ2</v>
      </c>
      <c r="AD1212" s="80" t="str">
        <f t="shared" si="200"/>
        <v>CLJ2</v>
      </c>
      <c r="AE1212" s="80" t="str">
        <f t="shared" si="201"/>
        <v>LCOK2</v>
      </c>
      <c r="AF1212" s="80" t="str">
        <f t="shared" si="202"/>
        <v>CLK2</v>
      </c>
      <c r="AG1212" s="80" t="str">
        <f t="shared" si="203"/>
        <v>LCOM2</v>
      </c>
      <c r="AH1212" s="80" t="str">
        <f t="shared" si="204"/>
        <v>LCON2</v>
      </c>
    </row>
    <row r="1213" spans="25:34" x14ac:dyDescent="0.35">
      <c r="Y1213" s="74">
        <f t="shared" si="205"/>
        <v>44616</v>
      </c>
      <c r="Z1213" s="74" t="e">
        <f t="shared" ca="1" si="196"/>
        <v>#N/A</v>
      </c>
      <c r="AA1213" s="80" t="str">
        <f t="shared" ca="1" si="197"/>
        <v>CLJ2</v>
      </c>
      <c r="AB1213" s="74" t="e">
        <f t="shared" si="199"/>
        <v>#N/A</v>
      </c>
      <c r="AC1213" s="80" t="str">
        <f t="shared" si="198"/>
        <v>LCOJ2</v>
      </c>
      <c r="AD1213" s="80" t="str">
        <f t="shared" si="200"/>
        <v>CLJ2</v>
      </c>
      <c r="AE1213" s="80" t="str">
        <f t="shared" si="201"/>
        <v>LCOK2</v>
      </c>
      <c r="AF1213" s="80" t="str">
        <f t="shared" si="202"/>
        <v>CLK2</v>
      </c>
      <c r="AG1213" s="80" t="str">
        <f t="shared" si="203"/>
        <v>LCOM2</v>
      </c>
      <c r="AH1213" s="80" t="str">
        <f t="shared" si="204"/>
        <v>LCON2</v>
      </c>
    </row>
    <row r="1214" spans="25:34" x14ac:dyDescent="0.35">
      <c r="Y1214" s="74">
        <f t="shared" si="205"/>
        <v>44617</v>
      </c>
      <c r="Z1214" s="74" t="e">
        <f t="shared" ca="1" si="196"/>
        <v>#N/A</v>
      </c>
      <c r="AA1214" s="80" t="str">
        <f t="shared" ca="1" si="197"/>
        <v>CLJ2</v>
      </c>
      <c r="AB1214" s="74" t="e">
        <f t="shared" si="199"/>
        <v>#N/A</v>
      </c>
      <c r="AC1214" s="80" t="str">
        <f t="shared" si="198"/>
        <v>LCOJ2</v>
      </c>
      <c r="AD1214" s="80" t="str">
        <f t="shared" si="200"/>
        <v>CLJ2</v>
      </c>
      <c r="AE1214" s="80" t="str">
        <f t="shared" si="201"/>
        <v>LCOK2</v>
      </c>
      <c r="AF1214" s="80" t="str">
        <f t="shared" si="202"/>
        <v>CLK2</v>
      </c>
      <c r="AG1214" s="80" t="str">
        <f t="shared" si="203"/>
        <v>LCOM2</v>
      </c>
      <c r="AH1214" s="80" t="str">
        <f t="shared" si="204"/>
        <v>LCON2</v>
      </c>
    </row>
    <row r="1215" spans="25:34" x14ac:dyDescent="0.35">
      <c r="Y1215" s="74">
        <f t="shared" si="205"/>
        <v>44618</v>
      </c>
      <c r="Z1215" s="74" t="e">
        <f t="shared" ca="1" si="196"/>
        <v>#N/A</v>
      </c>
      <c r="AA1215" s="80" t="str">
        <f t="shared" ca="1" si="197"/>
        <v>CLJ2</v>
      </c>
      <c r="AB1215" s="74" t="e">
        <f t="shared" si="199"/>
        <v>#N/A</v>
      </c>
      <c r="AC1215" s="80" t="str">
        <f t="shared" si="198"/>
        <v>LCOJ2</v>
      </c>
      <c r="AD1215" s="80" t="str">
        <f t="shared" si="200"/>
        <v>CLJ2</v>
      </c>
      <c r="AE1215" s="80" t="str">
        <f t="shared" si="201"/>
        <v>LCOK2</v>
      </c>
      <c r="AF1215" s="80" t="str">
        <f t="shared" si="202"/>
        <v>CLK2</v>
      </c>
      <c r="AG1215" s="80" t="str">
        <f t="shared" si="203"/>
        <v>LCOM2</v>
      </c>
      <c r="AH1215" s="80" t="str">
        <f t="shared" si="204"/>
        <v>LCON2</v>
      </c>
    </row>
    <row r="1216" spans="25:34" x14ac:dyDescent="0.35">
      <c r="Y1216" s="74">
        <f t="shared" si="205"/>
        <v>44619</v>
      </c>
      <c r="Z1216" s="74" t="e">
        <f t="shared" ca="1" si="196"/>
        <v>#N/A</v>
      </c>
      <c r="AA1216" s="80" t="str">
        <f t="shared" ca="1" si="197"/>
        <v>CLJ2</v>
      </c>
      <c r="AB1216" s="74" t="e">
        <f t="shared" si="199"/>
        <v>#N/A</v>
      </c>
      <c r="AC1216" s="80" t="str">
        <f t="shared" si="198"/>
        <v>LCOJ2</v>
      </c>
      <c r="AD1216" s="80" t="str">
        <f t="shared" si="200"/>
        <v>CLJ2</v>
      </c>
      <c r="AE1216" s="80" t="str">
        <f t="shared" si="201"/>
        <v>LCOK2</v>
      </c>
      <c r="AF1216" s="80" t="str">
        <f t="shared" si="202"/>
        <v>CLK2</v>
      </c>
      <c r="AG1216" s="80" t="str">
        <f t="shared" si="203"/>
        <v>LCOM2</v>
      </c>
      <c r="AH1216" s="80" t="str">
        <f t="shared" si="204"/>
        <v>LCON2</v>
      </c>
    </row>
    <row r="1217" spans="25:34" x14ac:dyDescent="0.35">
      <c r="Y1217" s="74">
        <f t="shared" si="205"/>
        <v>44620</v>
      </c>
      <c r="Z1217" s="74" t="e">
        <f t="shared" ca="1" si="196"/>
        <v>#N/A</v>
      </c>
      <c r="AA1217" s="80" t="str">
        <f t="shared" ca="1" si="197"/>
        <v>CLJ2</v>
      </c>
      <c r="AB1217" s="74" t="e">
        <f t="shared" si="199"/>
        <v>#N/A</v>
      </c>
      <c r="AC1217" s="80" t="str">
        <f t="shared" si="198"/>
        <v>LCOJ2</v>
      </c>
      <c r="AD1217" s="80" t="str">
        <f t="shared" si="200"/>
        <v>CLJ2</v>
      </c>
      <c r="AE1217" s="80" t="str">
        <f t="shared" si="201"/>
        <v>LCOK2</v>
      </c>
      <c r="AF1217" s="80" t="str">
        <f t="shared" si="202"/>
        <v>CLK2</v>
      </c>
      <c r="AG1217" s="80" t="str">
        <f t="shared" si="203"/>
        <v>LCOM2</v>
      </c>
      <c r="AH1217" s="80" t="str">
        <f t="shared" si="204"/>
        <v>LCON2</v>
      </c>
    </row>
    <row r="1218" spans="25:34" x14ac:dyDescent="0.35">
      <c r="Y1218" s="74">
        <f t="shared" si="205"/>
        <v>44621</v>
      </c>
      <c r="Z1218" s="74" t="e">
        <f t="shared" ref="Z1218:Z1281" ca="1" si="206">VLOOKUP(AA1218,$I$2:$K$39,3,FALSE)</f>
        <v>#N/A</v>
      </c>
      <c r="AA1218" s="80" t="str">
        <f t="shared" ref="AA1218:AA1281" ca="1" si="207">LOOKUP(2,1/($J$2:$J$700&lt;=$Y1218)/($K$2:$K$700&gt;=$Y1218),$L$2:$L$700)</f>
        <v>CLJ2</v>
      </c>
      <c r="AB1218" s="74" t="e">
        <f t="shared" si="199"/>
        <v>#N/A</v>
      </c>
      <c r="AC1218" s="80" t="str">
        <f t="shared" ref="AC1218:AC1281" si="208">LOOKUP(2,1/($R$2:$R$700&lt;=$Y1218)/($S$2:$S$700&gt;=$Y1218),$T$2:$T$700)</f>
        <v>LCOK2</v>
      </c>
      <c r="AD1218" s="80" t="str">
        <f t="shared" si="200"/>
        <v>CLK2</v>
      </c>
      <c r="AE1218" s="80" t="str">
        <f t="shared" si="201"/>
        <v>LCOM2</v>
      </c>
      <c r="AF1218" s="80" t="str">
        <f t="shared" si="202"/>
        <v>CLM2</v>
      </c>
      <c r="AG1218" s="80" t="str">
        <f t="shared" si="203"/>
        <v>LCON2</v>
      </c>
      <c r="AH1218" s="80" t="str">
        <f t="shared" si="204"/>
        <v>LCOQ2</v>
      </c>
    </row>
    <row r="1219" spans="25:34" x14ac:dyDescent="0.35">
      <c r="Y1219" s="74">
        <f t="shared" si="205"/>
        <v>44622</v>
      </c>
      <c r="Z1219" s="74" t="e">
        <f t="shared" ca="1" si="206"/>
        <v>#N/A</v>
      </c>
      <c r="AA1219" s="80" t="str">
        <f t="shared" ca="1" si="207"/>
        <v>CLJ2</v>
      </c>
      <c r="AB1219" s="74" t="e">
        <f t="shared" ref="AB1219:AB1282" si="209">VLOOKUP(AC1219,$Q$2:$S$39,3,FALSE)</f>
        <v>#N/A</v>
      </c>
      <c r="AC1219" s="80" t="str">
        <f t="shared" si="208"/>
        <v>LCOK2</v>
      </c>
      <c r="AD1219" s="80" t="str">
        <f t="shared" ref="AD1219:AD1282" si="210">CONCATENATE("CL",RIGHT(AC1219,2))</f>
        <v>CLK2</v>
      </c>
      <c r="AE1219" s="80" t="str">
        <f t="shared" ref="AE1219:AE1282" si="211">LOOKUP(2,1/($R$2:$R$700&lt;=$Y1219)/($S$2:$S$700&gt;=$Y1219),$U$2:$U$700)</f>
        <v>LCOM2</v>
      </c>
      <c r="AF1219" s="80" t="str">
        <f t="shared" ref="AF1219:AF1282" si="212">CONCATENATE("CL",RIGHT(AE1219,2))</f>
        <v>CLM2</v>
      </c>
      <c r="AG1219" s="80" t="str">
        <f t="shared" ref="AG1219:AG1282" si="213">LOOKUP(2,1/($R$2:$R$700&lt;=$Y1219)/($S$2:$S$700&gt;=$Y1219),$V$2:$V$700)</f>
        <v>LCON2</v>
      </c>
      <c r="AH1219" s="80" t="str">
        <f t="shared" ref="AH1219:AH1282" si="214">LOOKUP(2,1/($R$2:$R$700&lt;=$Y1219)/($S$2:$S$700&gt;=$Y1219),$W$2:$W$700)</f>
        <v>LCOQ2</v>
      </c>
    </row>
    <row r="1220" spans="25:34" x14ac:dyDescent="0.35">
      <c r="Y1220" s="74">
        <f t="shared" si="205"/>
        <v>44623</v>
      </c>
      <c r="Z1220" s="74" t="e">
        <f t="shared" ca="1" si="206"/>
        <v>#N/A</v>
      </c>
      <c r="AA1220" s="80" t="str">
        <f t="shared" ca="1" si="207"/>
        <v>CLJ2</v>
      </c>
      <c r="AB1220" s="74" t="e">
        <f t="shared" si="209"/>
        <v>#N/A</v>
      </c>
      <c r="AC1220" s="80" t="str">
        <f t="shared" si="208"/>
        <v>LCOK2</v>
      </c>
      <c r="AD1220" s="80" t="str">
        <f t="shared" si="210"/>
        <v>CLK2</v>
      </c>
      <c r="AE1220" s="80" t="str">
        <f t="shared" si="211"/>
        <v>LCOM2</v>
      </c>
      <c r="AF1220" s="80" t="str">
        <f t="shared" si="212"/>
        <v>CLM2</v>
      </c>
      <c r="AG1220" s="80" t="str">
        <f t="shared" si="213"/>
        <v>LCON2</v>
      </c>
      <c r="AH1220" s="80" t="str">
        <f t="shared" si="214"/>
        <v>LCOQ2</v>
      </c>
    </row>
    <row r="1221" spans="25:34" x14ac:dyDescent="0.35">
      <c r="Y1221" s="74">
        <f t="shared" si="205"/>
        <v>44624</v>
      </c>
      <c r="Z1221" s="74" t="e">
        <f t="shared" ca="1" si="206"/>
        <v>#N/A</v>
      </c>
      <c r="AA1221" s="80" t="str">
        <f t="shared" ca="1" si="207"/>
        <v>CLJ2</v>
      </c>
      <c r="AB1221" s="74" t="e">
        <f t="shared" si="209"/>
        <v>#N/A</v>
      </c>
      <c r="AC1221" s="80" t="str">
        <f t="shared" si="208"/>
        <v>LCOK2</v>
      </c>
      <c r="AD1221" s="80" t="str">
        <f t="shared" si="210"/>
        <v>CLK2</v>
      </c>
      <c r="AE1221" s="80" t="str">
        <f t="shared" si="211"/>
        <v>LCOM2</v>
      </c>
      <c r="AF1221" s="80" t="str">
        <f t="shared" si="212"/>
        <v>CLM2</v>
      </c>
      <c r="AG1221" s="80" t="str">
        <f t="shared" si="213"/>
        <v>LCON2</v>
      </c>
      <c r="AH1221" s="80" t="str">
        <f t="shared" si="214"/>
        <v>LCOQ2</v>
      </c>
    </row>
    <row r="1222" spans="25:34" x14ac:dyDescent="0.35">
      <c r="Y1222" s="74">
        <f t="shared" si="205"/>
        <v>44625</v>
      </c>
      <c r="Z1222" s="74" t="e">
        <f t="shared" ca="1" si="206"/>
        <v>#N/A</v>
      </c>
      <c r="AA1222" s="80" t="str">
        <f t="shared" ca="1" si="207"/>
        <v>CLJ2</v>
      </c>
      <c r="AB1222" s="74" t="e">
        <f t="shared" si="209"/>
        <v>#N/A</v>
      </c>
      <c r="AC1222" s="80" t="str">
        <f t="shared" si="208"/>
        <v>LCOK2</v>
      </c>
      <c r="AD1222" s="80" t="str">
        <f t="shared" si="210"/>
        <v>CLK2</v>
      </c>
      <c r="AE1222" s="80" t="str">
        <f t="shared" si="211"/>
        <v>LCOM2</v>
      </c>
      <c r="AF1222" s="80" t="str">
        <f t="shared" si="212"/>
        <v>CLM2</v>
      </c>
      <c r="AG1222" s="80" t="str">
        <f t="shared" si="213"/>
        <v>LCON2</v>
      </c>
      <c r="AH1222" s="80" t="str">
        <f t="shared" si="214"/>
        <v>LCOQ2</v>
      </c>
    </row>
    <row r="1223" spans="25:34" x14ac:dyDescent="0.35">
      <c r="Y1223" s="74">
        <f t="shared" si="205"/>
        <v>44626</v>
      </c>
      <c r="Z1223" s="74" t="e">
        <f t="shared" ca="1" si="206"/>
        <v>#N/A</v>
      </c>
      <c r="AA1223" s="80" t="str">
        <f t="shared" ca="1" si="207"/>
        <v>CLJ2</v>
      </c>
      <c r="AB1223" s="74" t="e">
        <f t="shared" si="209"/>
        <v>#N/A</v>
      </c>
      <c r="AC1223" s="80" t="str">
        <f t="shared" si="208"/>
        <v>LCOK2</v>
      </c>
      <c r="AD1223" s="80" t="str">
        <f t="shared" si="210"/>
        <v>CLK2</v>
      </c>
      <c r="AE1223" s="80" t="str">
        <f t="shared" si="211"/>
        <v>LCOM2</v>
      </c>
      <c r="AF1223" s="80" t="str">
        <f t="shared" si="212"/>
        <v>CLM2</v>
      </c>
      <c r="AG1223" s="80" t="str">
        <f t="shared" si="213"/>
        <v>LCON2</v>
      </c>
      <c r="AH1223" s="80" t="str">
        <f t="shared" si="214"/>
        <v>LCOQ2</v>
      </c>
    </row>
    <row r="1224" spans="25:34" x14ac:dyDescent="0.35">
      <c r="Y1224" s="74">
        <f t="shared" si="205"/>
        <v>44627</v>
      </c>
      <c r="Z1224" s="74" t="e">
        <f t="shared" ca="1" si="206"/>
        <v>#N/A</v>
      </c>
      <c r="AA1224" s="80" t="str">
        <f t="shared" ca="1" si="207"/>
        <v>CLJ2</v>
      </c>
      <c r="AB1224" s="74" t="e">
        <f t="shared" si="209"/>
        <v>#N/A</v>
      </c>
      <c r="AC1224" s="80" t="str">
        <f t="shared" si="208"/>
        <v>LCOK2</v>
      </c>
      <c r="AD1224" s="80" t="str">
        <f t="shared" si="210"/>
        <v>CLK2</v>
      </c>
      <c r="AE1224" s="80" t="str">
        <f t="shared" si="211"/>
        <v>LCOM2</v>
      </c>
      <c r="AF1224" s="80" t="str">
        <f t="shared" si="212"/>
        <v>CLM2</v>
      </c>
      <c r="AG1224" s="80" t="str">
        <f t="shared" si="213"/>
        <v>LCON2</v>
      </c>
      <c r="AH1224" s="80" t="str">
        <f t="shared" si="214"/>
        <v>LCOQ2</v>
      </c>
    </row>
    <row r="1225" spans="25:34" x14ac:dyDescent="0.35">
      <c r="Y1225" s="74">
        <f t="shared" si="205"/>
        <v>44628</v>
      </c>
      <c r="Z1225" s="74" t="e">
        <f t="shared" ca="1" si="206"/>
        <v>#N/A</v>
      </c>
      <c r="AA1225" s="80" t="str">
        <f t="shared" ca="1" si="207"/>
        <v>CLJ2</v>
      </c>
      <c r="AB1225" s="74" t="e">
        <f t="shared" si="209"/>
        <v>#N/A</v>
      </c>
      <c r="AC1225" s="80" t="str">
        <f t="shared" si="208"/>
        <v>LCOK2</v>
      </c>
      <c r="AD1225" s="80" t="str">
        <f t="shared" si="210"/>
        <v>CLK2</v>
      </c>
      <c r="AE1225" s="80" t="str">
        <f t="shared" si="211"/>
        <v>LCOM2</v>
      </c>
      <c r="AF1225" s="80" t="str">
        <f t="shared" si="212"/>
        <v>CLM2</v>
      </c>
      <c r="AG1225" s="80" t="str">
        <f t="shared" si="213"/>
        <v>LCON2</v>
      </c>
      <c r="AH1225" s="80" t="str">
        <f t="shared" si="214"/>
        <v>LCOQ2</v>
      </c>
    </row>
    <row r="1226" spans="25:34" x14ac:dyDescent="0.35">
      <c r="Y1226" s="74">
        <f t="shared" si="205"/>
        <v>44629</v>
      </c>
      <c r="Z1226" s="74" t="e">
        <f t="shared" ca="1" si="206"/>
        <v>#N/A</v>
      </c>
      <c r="AA1226" s="80" t="str">
        <f t="shared" ca="1" si="207"/>
        <v>CLJ2</v>
      </c>
      <c r="AB1226" s="74" t="e">
        <f t="shared" si="209"/>
        <v>#N/A</v>
      </c>
      <c r="AC1226" s="80" t="str">
        <f t="shared" si="208"/>
        <v>LCOK2</v>
      </c>
      <c r="AD1226" s="80" t="str">
        <f t="shared" si="210"/>
        <v>CLK2</v>
      </c>
      <c r="AE1226" s="80" t="str">
        <f t="shared" si="211"/>
        <v>LCOM2</v>
      </c>
      <c r="AF1226" s="80" t="str">
        <f t="shared" si="212"/>
        <v>CLM2</v>
      </c>
      <c r="AG1226" s="80" t="str">
        <f t="shared" si="213"/>
        <v>LCON2</v>
      </c>
      <c r="AH1226" s="80" t="str">
        <f t="shared" si="214"/>
        <v>LCOQ2</v>
      </c>
    </row>
    <row r="1227" spans="25:34" x14ac:dyDescent="0.35">
      <c r="Y1227" s="74">
        <f t="shared" si="205"/>
        <v>44630</v>
      </c>
      <c r="Z1227" s="74" t="e">
        <f t="shared" ca="1" si="206"/>
        <v>#N/A</v>
      </c>
      <c r="AA1227" s="80" t="str">
        <f t="shared" ca="1" si="207"/>
        <v>CLJ2</v>
      </c>
      <c r="AB1227" s="74" t="e">
        <f t="shared" si="209"/>
        <v>#N/A</v>
      </c>
      <c r="AC1227" s="80" t="str">
        <f t="shared" si="208"/>
        <v>LCOK2</v>
      </c>
      <c r="AD1227" s="80" t="str">
        <f t="shared" si="210"/>
        <v>CLK2</v>
      </c>
      <c r="AE1227" s="80" t="str">
        <f t="shared" si="211"/>
        <v>LCOM2</v>
      </c>
      <c r="AF1227" s="80" t="str">
        <f t="shared" si="212"/>
        <v>CLM2</v>
      </c>
      <c r="AG1227" s="80" t="str">
        <f t="shared" si="213"/>
        <v>LCON2</v>
      </c>
      <c r="AH1227" s="80" t="str">
        <f t="shared" si="214"/>
        <v>LCOQ2</v>
      </c>
    </row>
    <row r="1228" spans="25:34" x14ac:dyDescent="0.35">
      <c r="Y1228" s="74">
        <f t="shared" si="205"/>
        <v>44631</v>
      </c>
      <c r="Z1228" s="74" t="e">
        <f t="shared" ca="1" si="206"/>
        <v>#N/A</v>
      </c>
      <c r="AA1228" s="80" t="str">
        <f t="shared" ca="1" si="207"/>
        <v>CLJ2</v>
      </c>
      <c r="AB1228" s="74" t="e">
        <f t="shared" si="209"/>
        <v>#N/A</v>
      </c>
      <c r="AC1228" s="80" t="str">
        <f t="shared" si="208"/>
        <v>LCOK2</v>
      </c>
      <c r="AD1228" s="80" t="str">
        <f t="shared" si="210"/>
        <v>CLK2</v>
      </c>
      <c r="AE1228" s="80" t="str">
        <f t="shared" si="211"/>
        <v>LCOM2</v>
      </c>
      <c r="AF1228" s="80" t="str">
        <f t="shared" si="212"/>
        <v>CLM2</v>
      </c>
      <c r="AG1228" s="80" t="str">
        <f t="shared" si="213"/>
        <v>LCON2</v>
      </c>
      <c r="AH1228" s="80" t="str">
        <f t="shared" si="214"/>
        <v>LCOQ2</v>
      </c>
    </row>
    <row r="1229" spans="25:34" x14ac:dyDescent="0.35">
      <c r="Y1229" s="74">
        <f t="shared" si="205"/>
        <v>44632</v>
      </c>
      <c r="Z1229" s="74" t="e">
        <f t="shared" ca="1" si="206"/>
        <v>#N/A</v>
      </c>
      <c r="AA1229" s="80" t="str">
        <f t="shared" ca="1" si="207"/>
        <v>CLJ2</v>
      </c>
      <c r="AB1229" s="74" t="e">
        <f t="shared" si="209"/>
        <v>#N/A</v>
      </c>
      <c r="AC1229" s="80" t="str">
        <f t="shared" si="208"/>
        <v>LCOK2</v>
      </c>
      <c r="AD1229" s="80" t="str">
        <f t="shared" si="210"/>
        <v>CLK2</v>
      </c>
      <c r="AE1229" s="80" t="str">
        <f t="shared" si="211"/>
        <v>LCOM2</v>
      </c>
      <c r="AF1229" s="80" t="str">
        <f t="shared" si="212"/>
        <v>CLM2</v>
      </c>
      <c r="AG1229" s="80" t="str">
        <f t="shared" si="213"/>
        <v>LCON2</v>
      </c>
      <c r="AH1229" s="80" t="str">
        <f t="shared" si="214"/>
        <v>LCOQ2</v>
      </c>
    </row>
    <row r="1230" spans="25:34" x14ac:dyDescent="0.35">
      <c r="Y1230" s="74">
        <f t="shared" si="205"/>
        <v>44633</v>
      </c>
      <c r="Z1230" s="74" t="e">
        <f t="shared" ca="1" si="206"/>
        <v>#N/A</v>
      </c>
      <c r="AA1230" s="80" t="str">
        <f t="shared" ca="1" si="207"/>
        <v>CLJ2</v>
      </c>
      <c r="AB1230" s="74" t="e">
        <f t="shared" si="209"/>
        <v>#N/A</v>
      </c>
      <c r="AC1230" s="80" t="str">
        <f t="shared" si="208"/>
        <v>LCOK2</v>
      </c>
      <c r="AD1230" s="80" t="str">
        <f t="shared" si="210"/>
        <v>CLK2</v>
      </c>
      <c r="AE1230" s="80" t="str">
        <f t="shared" si="211"/>
        <v>LCOM2</v>
      </c>
      <c r="AF1230" s="80" t="str">
        <f t="shared" si="212"/>
        <v>CLM2</v>
      </c>
      <c r="AG1230" s="80" t="str">
        <f t="shared" si="213"/>
        <v>LCON2</v>
      </c>
      <c r="AH1230" s="80" t="str">
        <f t="shared" si="214"/>
        <v>LCOQ2</v>
      </c>
    </row>
    <row r="1231" spans="25:34" x14ac:dyDescent="0.35">
      <c r="Y1231" s="74">
        <f t="shared" si="205"/>
        <v>44634</v>
      </c>
      <c r="Z1231" s="74" t="e">
        <f t="shared" ca="1" si="206"/>
        <v>#N/A</v>
      </c>
      <c r="AA1231" s="80" t="str">
        <f t="shared" ca="1" si="207"/>
        <v>CLJ2</v>
      </c>
      <c r="AB1231" s="74" t="e">
        <f t="shared" si="209"/>
        <v>#N/A</v>
      </c>
      <c r="AC1231" s="80" t="str">
        <f t="shared" si="208"/>
        <v>LCOK2</v>
      </c>
      <c r="AD1231" s="80" t="str">
        <f t="shared" si="210"/>
        <v>CLK2</v>
      </c>
      <c r="AE1231" s="80" t="str">
        <f t="shared" si="211"/>
        <v>LCOM2</v>
      </c>
      <c r="AF1231" s="80" t="str">
        <f t="shared" si="212"/>
        <v>CLM2</v>
      </c>
      <c r="AG1231" s="80" t="str">
        <f t="shared" si="213"/>
        <v>LCON2</v>
      </c>
      <c r="AH1231" s="80" t="str">
        <f t="shared" si="214"/>
        <v>LCOQ2</v>
      </c>
    </row>
    <row r="1232" spans="25:34" x14ac:dyDescent="0.35">
      <c r="Y1232" s="74">
        <f t="shared" si="205"/>
        <v>44635</v>
      </c>
      <c r="Z1232" s="74" t="e">
        <f t="shared" ca="1" si="206"/>
        <v>#N/A</v>
      </c>
      <c r="AA1232" s="80" t="str">
        <f t="shared" ca="1" si="207"/>
        <v>CLJ2</v>
      </c>
      <c r="AB1232" s="74" t="e">
        <f t="shared" si="209"/>
        <v>#N/A</v>
      </c>
      <c r="AC1232" s="80" t="str">
        <f t="shared" si="208"/>
        <v>LCOK2</v>
      </c>
      <c r="AD1232" s="80" t="str">
        <f t="shared" si="210"/>
        <v>CLK2</v>
      </c>
      <c r="AE1232" s="80" t="str">
        <f t="shared" si="211"/>
        <v>LCOM2</v>
      </c>
      <c r="AF1232" s="80" t="str">
        <f t="shared" si="212"/>
        <v>CLM2</v>
      </c>
      <c r="AG1232" s="80" t="str">
        <f t="shared" si="213"/>
        <v>LCON2</v>
      </c>
      <c r="AH1232" s="80" t="str">
        <f t="shared" si="214"/>
        <v>LCOQ2</v>
      </c>
    </row>
    <row r="1233" spans="25:34" x14ac:dyDescent="0.35">
      <c r="Y1233" s="74">
        <f t="shared" si="205"/>
        <v>44636</v>
      </c>
      <c r="Z1233" s="74" t="e">
        <f t="shared" ca="1" si="206"/>
        <v>#N/A</v>
      </c>
      <c r="AA1233" s="80" t="str">
        <f t="shared" ca="1" si="207"/>
        <v>CLJ2</v>
      </c>
      <c r="AB1233" s="74" t="e">
        <f t="shared" si="209"/>
        <v>#N/A</v>
      </c>
      <c r="AC1233" s="80" t="str">
        <f t="shared" si="208"/>
        <v>LCOK2</v>
      </c>
      <c r="AD1233" s="80" t="str">
        <f t="shared" si="210"/>
        <v>CLK2</v>
      </c>
      <c r="AE1233" s="80" t="str">
        <f t="shared" si="211"/>
        <v>LCOM2</v>
      </c>
      <c r="AF1233" s="80" t="str">
        <f t="shared" si="212"/>
        <v>CLM2</v>
      </c>
      <c r="AG1233" s="80" t="str">
        <f t="shared" si="213"/>
        <v>LCON2</v>
      </c>
      <c r="AH1233" s="80" t="str">
        <f t="shared" si="214"/>
        <v>LCOQ2</v>
      </c>
    </row>
    <row r="1234" spans="25:34" x14ac:dyDescent="0.35">
      <c r="Y1234" s="74">
        <f t="shared" si="205"/>
        <v>44637</v>
      </c>
      <c r="Z1234" s="74" t="e">
        <f t="shared" ca="1" si="206"/>
        <v>#N/A</v>
      </c>
      <c r="AA1234" s="80" t="str">
        <f t="shared" ca="1" si="207"/>
        <v>CLJ2</v>
      </c>
      <c r="AB1234" s="74" t="e">
        <f t="shared" si="209"/>
        <v>#N/A</v>
      </c>
      <c r="AC1234" s="80" t="str">
        <f t="shared" si="208"/>
        <v>LCOK2</v>
      </c>
      <c r="AD1234" s="80" t="str">
        <f t="shared" si="210"/>
        <v>CLK2</v>
      </c>
      <c r="AE1234" s="80" t="str">
        <f t="shared" si="211"/>
        <v>LCOM2</v>
      </c>
      <c r="AF1234" s="80" t="str">
        <f t="shared" si="212"/>
        <v>CLM2</v>
      </c>
      <c r="AG1234" s="80" t="str">
        <f t="shared" si="213"/>
        <v>LCON2</v>
      </c>
      <c r="AH1234" s="80" t="str">
        <f t="shared" si="214"/>
        <v>LCOQ2</v>
      </c>
    </row>
    <row r="1235" spans="25:34" x14ac:dyDescent="0.35">
      <c r="Y1235" s="74">
        <f t="shared" si="205"/>
        <v>44638</v>
      </c>
      <c r="Z1235" s="74" t="e">
        <f t="shared" ca="1" si="206"/>
        <v>#N/A</v>
      </c>
      <c r="AA1235" s="80" t="str">
        <f t="shared" ca="1" si="207"/>
        <v>CLJ2</v>
      </c>
      <c r="AB1235" s="74" t="e">
        <f t="shared" si="209"/>
        <v>#N/A</v>
      </c>
      <c r="AC1235" s="80" t="str">
        <f t="shared" si="208"/>
        <v>LCOK2</v>
      </c>
      <c r="AD1235" s="80" t="str">
        <f t="shared" si="210"/>
        <v>CLK2</v>
      </c>
      <c r="AE1235" s="80" t="str">
        <f t="shared" si="211"/>
        <v>LCOM2</v>
      </c>
      <c r="AF1235" s="80" t="str">
        <f t="shared" si="212"/>
        <v>CLM2</v>
      </c>
      <c r="AG1235" s="80" t="str">
        <f t="shared" si="213"/>
        <v>LCON2</v>
      </c>
      <c r="AH1235" s="80" t="str">
        <f t="shared" si="214"/>
        <v>LCOQ2</v>
      </c>
    </row>
    <row r="1236" spans="25:34" x14ac:dyDescent="0.35">
      <c r="Y1236" s="74">
        <f t="shared" si="205"/>
        <v>44639</v>
      </c>
      <c r="Z1236" s="74" t="e">
        <f t="shared" ca="1" si="206"/>
        <v>#N/A</v>
      </c>
      <c r="AA1236" s="80" t="str">
        <f t="shared" ca="1" si="207"/>
        <v>CLJ2</v>
      </c>
      <c r="AB1236" s="74" t="e">
        <f t="shared" si="209"/>
        <v>#N/A</v>
      </c>
      <c r="AC1236" s="80" t="str">
        <f t="shared" si="208"/>
        <v>LCOK2</v>
      </c>
      <c r="AD1236" s="80" t="str">
        <f t="shared" si="210"/>
        <v>CLK2</v>
      </c>
      <c r="AE1236" s="80" t="str">
        <f t="shared" si="211"/>
        <v>LCOM2</v>
      </c>
      <c r="AF1236" s="80" t="str">
        <f t="shared" si="212"/>
        <v>CLM2</v>
      </c>
      <c r="AG1236" s="80" t="str">
        <f t="shared" si="213"/>
        <v>LCON2</v>
      </c>
      <c r="AH1236" s="80" t="str">
        <f t="shared" si="214"/>
        <v>LCOQ2</v>
      </c>
    </row>
    <row r="1237" spans="25:34" x14ac:dyDescent="0.35">
      <c r="Y1237" s="74">
        <f t="shared" si="205"/>
        <v>44640</v>
      </c>
      <c r="Z1237" s="74" t="e">
        <f t="shared" ca="1" si="206"/>
        <v>#N/A</v>
      </c>
      <c r="AA1237" s="80" t="str">
        <f t="shared" ca="1" si="207"/>
        <v>CLJ2</v>
      </c>
      <c r="AB1237" s="74" t="e">
        <f t="shared" si="209"/>
        <v>#N/A</v>
      </c>
      <c r="AC1237" s="80" t="str">
        <f t="shared" si="208"/>
        <v>LCOK2</v>
      </c>
      <c r="AD1237" s="80" t="str">
        <f t="shared" si="210"/>
        <v>CLK2</v>
      </c>
      <c r="AE1237" s="80" t="str">
        <f t="shared" si="211"/>
        <v>LCOM2</v>
      </c>
      <c r="AF1237" s="80" t="str">
        <f t="shared" si="212"/>
        <v>CLM2</v>
      </c>
      <c r="AG1237" s="80" t="str">
        <f t="shared" si="213"/>
        <v>LCON2</v>
      </c>
      <c r="AH1237" s="80" t="str">
        <f t="shared" si="214"/>
        <v>LCOQ2</v>
      </c>
    </row>
    <row r="1238" spans="25:34" x14ac:dyDescent="0.35">
      <c r="Y1238" s="74">
        <f t="shared" si="205"/>
        <v>44641</v>
      </c>
      <c r="Z1238" s="74" t="e">
        <f t="shared" ca="1" si="206"/>
        <v>#N/A</v>
      </c>
      <c r="AA1238" s="80" t="str">
        <f t="shared" ca="1" si="207"/>
        <v>CLJ2</v>
      </c>
      <c r="AB1238" s="74" t="e">
        <f t="shared" si="209"/>
        <v>#N/A</v>
      </c>
      <c r="AC1238" s="80" t="str">
        <f t="shared" si="208"/>
        <v>LCOK2</v>
      </c>
      <c r="AD1238" s="80" t="str">
        <f t="shared" si="210"/>
        <v>CLK2</v>
      </c>
      <c r="AE1238" s="80" t="str">
        <f t="shared" si="211"/>
        <v>LCOM2</v>
      </c>
      <c r="AF1238" s="80" t="str">
        <f t="shared" si="212"/>
        <v>CLM2</v>
      </c>
      <c r="AG1238" s="80" t="str">
        <f t="shared" si="213"/>
        <v>LCON2</v>
      </c>
      <c r="AH1238" s="80" t="str">
        <f t="shared" si="214"/>
        <v>LCOQ2</v>
      </c>
    </row>
    <row r="1239" spans="25:34" x14ac:dyDescent="0.35">
      <c r="Y1239" s="74">
        <f t="shared" si="205"/>
        <v>44642</v>
      </c>
      <c r="Z1239" s="74" t="e">
        <f t="shared" ca="1" si="206"/>
        <v>#N/A</v>
      </c>
      <c r="AA1239" s="80" t="str">
        <f t="shared" ca="1" si="207"/>
        <v>CLJ2</v>
      </c>
      <c r="AB1239" s="74" t="e">
        <f t="shared" si="209"/>
        <v>#N/A</v>
      </c>
      <c r="AC1239" s="80" t="str">
        <f t="shared" si="208"/>
        <v>LCOK2</v>
      </c>
      <c r="AD1239" s="80" t="str">
        <f t="shared" si="210"/>
        <v>CLK2</v>
      </c>
      <c r="AE1239" s="80" t="str">
        <f t="shared" si="211"/>
        <v>LCOM2</v>
      </c>
      <c r="AF1239" s="80" t="str">
        <f t="shared" si="212"/>
        <v>CLM2</v>
      </c>
      <c r="AG1239" s="80" t="str">
        <f t="shared" si="213"/>
        <v>LCON2</v>
      </c>
      <c r="AH1239" s="80" t="str">
        <f t="shared" si="214"/>
        <v>LCOQ2</v>
      </c>
    </row>
    <row r="1240" spans="25:34" x14ac:dyDescent="0.35">
      <c r="Y1240" s="74">
        <f t="shared" si="205"/>
        <v>44643</v>
      </c>
      <c r="Z1240" s="74" t="e">
        <f t="shared" ca="1" si="206"/>
        <v>#N/A</v>
      </c>
      <c r="AA1240" s="80" t="str">
        <f t="shared" ca="1" si="207"/>
        <v>CLK2</v>
      </c>
      <c r="AB1240" s="74" t="e">
        <f t="shared" si="209"/>
        <v>#N/A</v>
      </c>
      <c r="AC1240" s="80" t="str">
        <f t="shared" si="208"/>
        <v>LCOK2</v>
      </c>
      <c r="AD1240" s="80" t="str">
        <f t="shared" si="210"/>
        <v>CLK2</v>
      </c>
      <c r="AE1240" s="80" t="str">
        <f t="shared" si="211"/>
        <v>LCOM2</v>
      </c>
      <c r="AF1240" s="80" t="str">
        <f t="shared" si="212"/>
        <v>CLM2</v>
      </c>
      <c r="AG1240" s="80" t="str">
        <f t="shared" si="213"/>
        <v>LCON2</v>
      </c>
      <c r="AH1240" s="80" t="str">
        <f t="shared" si="214"/>
        <v>LCOQ2</v>
      </c>
    </row>
    <row r="1241" spans="25:34" x14ac:dyDescent="0.35">
      <c r="Y1241" s="74">
        <f t="shared" si="205"/>
        <v>44644</v>
      </c>
      <c r="Z1241" s="74" t="e">
        <f t="shared" ca="1" si="206"/>
        <v>#N/A</v>
      </c>
      <c r="AA1241" s="80" t="str">
        <f t="shared" ca="1" si="207"/>
        <v>CLK2</v>
      </c>
      <c r="AB1241" s="74" t="e">
        <f t="shared" si="209"/>
        <v>#N/A</v>
      </c>
      <c r="AC1241" s="80" t="str">
        <f t="shared" si="208"/>
        <v>LCOK2</v>
      </c>
      <c r="AD1241" s="80" t="str">
        <f t="shared" si="210"/>
        <v>CLK2</v>
      </c>
      <c r="AE1241" s="80" t="str">
        <f t="shared" si="211"/>
        <v>LCOM2</v>
      </c>
      <c r="AF1241" s="80" t="str">
        <f t="shared" si="212"/>
        <v>CLM2</v>
      </c>
      <c r="AG1241" s="80" t="str">
        <f t="shared" si="213"/>
        <v>LCON2</v>
      </c>
      <c r="AH1241" s="80" t="str">
        <f t="shared" si="214"/>
        <v>LCOQ2</v>
      </c>
    </row>
    <row r="1242" spans="25:34" x14ac:dyDescent="0.35">
      <c r="Y1242" s="74">
        <f t="shared" si="205"/>
        <v>44645</v>
      </c>
      <c r="Z1242" s="74" t="e">
        <f t="shared" ca="1" si="206"/>
        <v>#N/A</v>
      </c>
      <c r="AA1242" s="80" t="str">
        <f t="shared" ca="1" si="207"/>
        <v>CLK2</v>
      </c>
      <c r="AB1242" s="74" t="e">
        <f t="shared" si="209"/>
        <v>#N/A</v>
      </c>
      <c r="AC1242" s="80" t="str">
        <f t="shared" si="208"/>
        <v>LCOK2</v>
      </c>
      <c r="AD1242" s="80" t="str">
        <f t="shared" si="210"/>
        <v>CLK2</v>
      </c>
      <c r="AE1242" s="80" t="str">
        <f t="shared" si="211"/>
        <v>LCOM2</v>
      </c>
      <c r="AF1242" s="80" t="str">
        <f t="shared" si="212"/>
        <v>CLM2</v>
      </c>
      <c r="AG1242" s="80" t="str">
        <f t="shared" si="213"/>
        <v>LCON2</v>
      </c>
      <c r="AH1242" s="80" t="str">
        <f t="shared" si="214"/>
        <v>LCOQ2</v>
      </c>
    </row>
    <row r="1243" spans="25:34" x14ac:dyDescent="0.35">
      <c r="Y1243" s="74">
        <f t="shared" si="205"/>
        <v>44646</v>
      </c>
      <c r="Z1243" s="74" t="e">
        <f t="shared" ca="1" si="206"/>
        <v>#N/A</v>
      </c>
      <c r="AA1243" s="80" t="str">
        <f t="shared" ca="1" si="207"/>
        <v>CLK2</v>
      </c>
      <c r="AB1243" s="74" t="e">
        <f t="shared" si="209"/>
        <v>#N/A</v>
      </c>
      <c r="AC1243" s="80" t="str">
        <f t="shared" si="208"/>
        <v>LCOK2</v>
      </c>
      <c r="AD1243" s="80" t="str">
        <f t="shared" si="210"/>
        <v>CLK2</v>
      </c>
      <c r="AE1243" s="80" t="str">
        <f t="shared" si="211"/>
        <v>LCOM2</v>
      </c>
      <c r="AF1243" s="80" t="str">
        <f t="shared" si="212"/>
        <v>CLM2</v>
      </c>
      <c r="AG1243" s="80" t="str">
        <f t="shared" si="213"/>
        <v>LCON2</v>
      </c>
      <c r="AH1243" s="80" t="str">
        <f t="shared" si="214"/>
        <v>LCOQ2</v>
      </c>
    </row>
    <row r="1244" spans="25:34" x14ac:dyDescent="0.35">
      <c r="Y1244" s="74">
        <f t="shared" si="205"/>
        <v>44647</v>
      </c>
      <c r="Z1244" s="74" t="e">
        <f t="shared" ca="1" si="206"/>
        <v>#N/A</v>
      </c>
      <c r="AA1244" s="80" t="str">
        <f t="shared" ca="1" si="207"/>
        <v>CLK2</v>
      </c>
      <c r="AB1244" s="74" t="e">
        <f t="shared" si="209"/>
        <v>#N/A</v>
      </c>
      <c r="AC1244" s="80" t="str">
        <f t="shared" si="208"/>
        <v>LCOK2</v>
      </c>
      <c r="AD1244" s="80" t="str">
        <f t="shared" si="210"/>
        <v>CLK2</v>
      </c>
      <c r="AE1244" s="80" t="str">
        <f t="shared" si="211"/>
        <v>LCOM2</v>
      </c>
      <c r="AF1244" s="80" t="str">
        <f t="shared" si="212"/>
        <v>CLM2</v>
      </c>
      <c r="AG1244" s="80" t="str">
        <f t="shared" si="213"/>
        <v>LCON2</v>
      </c>
      <c r="AH1244" s="80" t="str">
        <f t="shared" si="214"/>
        <v>LCOQ2</v>
      </c>
    </row>
    <row r="1245" spans="25:34" x14ac:dyDescent="0.35">
      <c r="Y1245" s="74">
        <f t="shared" si="205"/>
        <v>44648</v>
      </c>
      <c r="Z1245" s="74" t="e">
        <f t="shared" ca="1" si="206"/>
        <v>#N/A</v>
      </c>
      <c r="AA1245" s="80" t="str">
        <f t="shared" ca="1" si="207"/>
        <v>CLK2</v>
      </c>
      <c r="AB1245" s="74" t="e">
        <f t="shared" si="209"/>
        <v>#N/A</v>
      </c>
      <c r="AC1245" s="80" t="str">
        <f t="shared" si="208"/>
        <v>LCOK2</v>
      </c>
      <c r="AD1245" s="80" t="str">
        <f t="shared" si="210"/>
        <v>CLK2</v>
      </c>
      <c r="AE1245" s="80" t="str">
        <f t="shared" si="211"/>
        <v>LCOM2</v>
      </c>
      <c r="AF1245" s="80" t="str">
        <f t="shared" si="212"/>
        <v>CLM2</v>
      </c>
      <c r="AG1245" s="80" t="str">
        <f t="shared" si="213"/>
        <v>LCON2</v>
      </c>
      <c r="AH1245" s="80" t="str">
        <f t="shared" si="214"/>
        <v>LCOQ2</v>
      </c>
    </row>
    <row r="1246" spans="25:34" x14ac:dyDescent="0.35">
      <c r="Y1246" s="74">
        <f t="shared" si="205"/>
        <v>44649</v>
      </c>
      <c r="Z1246" s="74" t="e">
        <f t="shared" ca="1" si="206"/>
        <v>#N/A</v>
      </c>
      <c r="AA1246" s="80" t="str">
        <f t="shared" ca="1" si="207"/>
        <v>CLK2</v>
      </c>
      <c r="AB1246" s="74" t="e">
        <f t="shared" si="209"/>
        <v>#N/A</v>
      </c>
      <c r="AC1246" s="80" t="str">
        <f t="shared" si="208"/>
        <v>LCOK2</v>
      </c>
      <c r="AD1246" s="80" t="str">
        <f t="shared" si="210"/>
        <v>CLK2</v>
      </c>
      <c r="AE1246" s="80" t="str">
        <f t="shared" si="211"/>
        <v>LCOM2</v>
      </c>
      <c r="AF1246" s="80" t="str">
        <f t="shared" si="212"/>
        <v>CLM2</v>
      </c>
      <c r="AG1246" s="80" t="str">
        <f t="shared" si="213"/>
        <v>LCON2</v>
      </c>
      <c r="AH1246" s="80" t="str">
        <f t="shared" si="214"/>
        <v>LCOQ2</v>
      </c>
    </row>
    <row r="1247" spans="25:34" x14ac:dyDescent="0.35">
      <c r="Y1247" s="74">
        <f t="shared" si="205"/>
        <v>44650</v>
      </c>
      <c r="Z1247" s="74" t="e">
        <f t="shared" ca="1" si="206"/>
        <v>#N/A</v>
      </c>
      <c r="AA1247" s="80" t="str">
        <f t="shared" ca="1" si="207"/>
        <v>CLK2</v>
      </c>
      <c r="AB1247" s="74" t="e">
        <f t="shared" si="209"/>
        <v>#N/A</v>
      </c>
      <c r="AC1247" s="80" t="str">
        <f t="shared" si="208"/>
        <v>LCOK2</v>
      </c>
      <c r="AD1247" s="80" t="str">
        <f t="shared" si="210"/>
        <v>CLK2</v>
      </c>
      <c r="AE1247" s="80" t="str">
        <f t="shared" si="211"/>
        <v>LCOM2</v>
      </c>
      <c r="AF1247" s="80" t="str">
        <f t="shared" si="212"/>
        <v>CLM2</v>
      </c>
      <c r="AG1247" s="80" t="str">
        <f t="shared" si="213"/>
        <v>LCON2</v>
      </c>
      <c r="AH1247" s="80" t="str">
        <f t="shared" si="214"/>
        <v>LCOQ2</v>
      </c>
    </row>
    <row r="1248" spans="25:34" x14ac:dyDescent="0.35">
      <c r="Y1248" s="74">
        <f t="shared" si="205"/>
        <v>44651</v>
      </c>
      <c r="Z1248" s="74" t="e">
        <f t="shared" ca="1" si="206"/>
        <v>#N/A</v>
      </c>
      <c r="AA1248" s="80" t="str">
        <f t="shared" ca="1" si="207"/>
        <v>CLK2</v>
      </c>
      <c r="AB1248" s="74" t="e">
        <f t="shared" si="209"/>
        <v>#N/A</v>
      </c>
      <c r="AC1248" s="80" t="str">
        <f t="shared" si="208"/>
        <v>LCOK2</v>
      </c>
      <c r="AD1248" s="80" t="str">
        <f t="shared" si="210"/>
        <v>CLK2</v>
      </c>
      <c r="AE1248" s="80" t="str">
        <f t="shared" si="211"/>
        <v>LCOM2</v>
      </c>
      <c r="AF1248" s="80" t="str">
        <f t="shared" si="212"/>
        <v>CLM2</v>
      </c>
      <c r="AG1248" s="80" t="str">
        <f t="shared" si="213"/>
        <v>LCON2</v>
      </c>
      <c r="AH1248" s="80" t="str">
        <f t="shared" si="214"/>
        <v>LCOQ2</v>
      </c>
    </row>
    <row r="1249" spans="25:34" x14ac:dyDescent="0.35">
      <c r="Y1249" s="74">
        <f t="shared" ref="Y1249:Y1312" si="215">Y1248+1</f>
        <v>44652</v>
      </c>
      <c r="Z1249" s="74" t="e">
        <f t="shared" ca="1" si="206"/>
        <v>#N/A</v>
      </c>
      <c r="AA1249" s="80" t="str">
        <f t="shared" ca="1" si="207"/>
        <v>CLK2</v>
      </c>
      <c r="AB1249" s="74" t="e">
        <f t="shared" si="209"/>
        <v>#N/A</v>
      </c>
      <c r="AC1249" s="80" t="str">
        <f t="shared" si="208"/>
        <v>LCOM2</v>
      </c>
      <c r="AD1249" s="80" t="str">
        <f t="shared" si="210"/>
        <v>CLM2</v>
      </c>
      <c r="AE1249" s="80" t="str">
        <f t="shared" si="211"/>
        <v>LCON2</v>
      </c>
      <c r="AF1249" s="80" t="str">
        <f t="shared" si="212"/>
        <v>CLN2</v>
      </c>
      <c r="AG1249" s="80" t="str">
        <f t="shared" si="213"/>
        <v>LCOQ2</v>
      </c>
      <c r="AH1249" s="80" t="str">
        <f t="shared" si="214"/>
        <v>LCOU2</v>
      </c>
    </row>
    <row r="1250" spans="25:34" x14ac:dyDescent="0.35">
      <c r="Y1250" s="74">
        <f t="shared" si="215"/>
        <v>44653</v>
      </c>
      <c r="Z1250" s="74" t="e">
        <f t="shared" ca="1" si="206"/>
        <v>#N/A</v>
      </c>
      <c r="AA1250" s="80" t="str">
        <f t="shared" ca="1" si="207"/>
        <v>CLK2</v>
      </c>
      <c r="AB1250" s="74" t="e">
        <f t="shared" si="209"/>
        <v>#N/A</v>
      </c>
      <c r="AC1250" s="80" t="str">
        <f t="shared" si="208"/>
        <v>LCOM2</v>
      </c>
      <c r="AD1250" s="80" t="str">
        <f t="shared" si="210"/>
        <v>CLM2</v>
      </c>
      <c r="AE1250" s="80" t="str">
        <f t="shared" si="211"/>
        <v>LCON2</v>
      </c>
      <c r="AF1250" s="80" t="str">
        <f t="shared" si="212"/>
        <v>CLN2</v>
      </c>
      <c r="AG1250" s="80" t="str">
        <f t="shared" si="213"/>
        <v>LCOQ2</v>
      </c>
      <c r="AH1250" s="80" t="str">
        <f t="shared" si="214"/>
        <v>LCOU2</v>
      </c>
    </row>
    <row r="1251" spans="25:34" x14ac:dyDescent="0.35">
      <c r="Y1251" s="74">
        <f t="shared" si="215"/>
        <v>44654</v>
      </c>
      <c r="Z1251" s="74" t="e">
        <f t="shared" ca="1" si="206"/>
        <v>#N/A</v>
      </c>
      <c r="AA1251" s="80" t="str">
        <f t="shared" ca="1" si="207"/>
        <v>CLK2</v>
      </c>
      <c r="AB1251" s="74" t="e">
        <f t="shared" si="209"/>
        <v>#N/A</v>
      </c>
      <c r="AC1251" s="80" t="str">
        <f t="shared" si="208"/>
        <v>LCOM2</v>
      </c>
      <c r="AD1251" s="80" t="str">
        <f t="shared" si="210"/>
        <v>CLM2</v>
      </c>
      <c r="AE1251" s="80" t="str">
        <f t="shared" si="211"/>
        <v>LCON2</v>
      </c>
      <c r="AF1251" s="80" t="str">
        <f t="shared" si="212"/>
        <v>CLN2</v>
      </c>
      <c r="AG1251" s="80" t="str">
        <f t="shared" si="213"/>
        <v>LCOQ2</v>
      </c>
      <c r="AH1251" s="80" t="str">
        <f t="shared" si="214"/>
        <v>LCOU2</v>
      </c>
    </row>
    <row r="1252" spans="25:34" x14ac:dyDescent="0.35">
      <c r="Y1252" s="74">
        <f t="shared" si="215"/>
        <v>44655</v>
      </c>
      <c r="Z1252" s="74" t="e">
        <f t="shared" ca="1" si="206"/>
        <v>#N/A</v>
      </c>
      <c r="AA1252" s="80" t="str">
        <f t="shared" ca="1" si="207"/>
        <v>CLK2</v>
      </c>
      <c r="AB1252" s="74" t="e">
        <f t="shared" si="209"/>
        <v>#N/A</v>
      </c>
      <c r="AC1252" s="80" t="str">
        <f t="shared" si="208"/>
        <v>LCOM2</v>
      </c>
      <c r="AD1252" s="80" t="str">
        <f t="shared" si="210"/>
        <v>CLM2</v>
      </c>
      <c r="AE1252" s="80" t="str">
        <f t="shared" si="211"/>
        <v>LCON2</v>
      </c>
      <c r="AF1252" s="80" t="str">
        <f t="shared" si="212"/>
        <v>CLN2</v>
      </c>
      <c r="AG1252" s="80" t="str">
        <f t="shared" si="213"/>
        <v>LCOQ2</v>
      </c>
      <c r="AH1252" s="80" t="str">
        <f t="shared" si="214"/>
        <v>LCOU2</v>
      </c>
    </row>
    <row r="1253" spans="25:34" x14ac:dyDescent="0.35">
      <c r="Y1253" s="74">
        <f t="shared" si="215"/>
        <v>44656</v>
      </c>
      <c r="Z1253" s="74" t="e">
        <f t="shared" ca="1" si="206"/>
        <v>#N/A</v>
      </c>
      <c r="AA1253" s="80" t="str">
        <f t="shared" ca="1" si="207"/>
        <v>CLK2</v>
      </c>
      <c r="AB1253" s="74" t="e">
        <f t="shared" si="209"/>
        <v>#N/A</v>
      </c>
      <c r="AC1253" s="80" t="str">
        <f t="shared" si="208"/>
        <v>LCOM2</v>
      </c>
      <c r="AD1253" s="80" t="str">
        <f t="shared" si="210"/>
        <v>CLM2</v>
      </c>
      <c r="AE1253" s="80" t="str">
        <f t="shared" si="211"/>
        <v>LCON2</v>
      </c>
      <c r="AF1253" s="80" t="str">
        <f t="shared" si="212"/>
        <v>CLN2</v>
      </c>
      <c r="AG1253" s="80" t="str">
        <f t="shared" si="213"/>
        <v>LCOQ2</v>
      </c>
      <c r="AH1253" s="80" t="str">
        <f t="shared" si="214"/>
        <v>LCOU2</v>
      </c>
    </row>
    <row r="1254" spans="25:34" x14ac:dyDescent="0.35">
      <c r="Y1254" s="74">
        <f t="shared" si="215"/>
        <v>44657</v>
      </c>
      <c r="Z1254" s="74" t="e">
        <f t="shared" ca="1" si="206"/>
        <v>#N/A</v>
      </c>
      <c r="AA1254" s="80" t="str">
        <f t="shared" ca="1" si="207"/>
        <v>CLK2</v>
      </c>
      <c r="AB1254" s="74" t="e">
        <f t="shared" si="209"/>
        <v>#N/A</v>
      </c>
      <c r="AC1254" s="80" t="str">
        <f t="shared" si="208"/>
        <v>LCOM2</v>
      </c>
      <c r="AD1254" s="80" t="str">
        <f t="shared" si="210"/>
        <v>CLM2</v>
      </c>
      <c r="AE1254" s="80" t="str">
        <f t="shared" si="211"/>
        <v>LCON2</v>
      </c>
      <c r="AF1254" s="80" t="str">
        <f t="shared" si="212"/>
        <v>CLN2</v>
      </c>
      <c r="AG1254" s="80" t="str">
        <f t="shared" si="213"/>
        <v>LCOQ2</v>
      </c>
      <c r="AH1254" s="80" t="str">
        <f t="shared" si="214"/>
        <v>LCOU2</v>
      </c>
    </row>
    <row r="1255" spans="25:34" x14ac:dyDescent="0.35">
      <c r="Y1255" s="74">
        <f t="shared" si="215"/>
        <v>44658</v>
      </c>
      <c r="Z1255" s="74" t="e">
        <f t="shared" ca="1" si="206"/>
        <v>#N/A</v>
      </c>
      <c r="AA1255" s="80" t="str">
        <f t="shared" ca="1" si="207"/>
        <v>CLK2</v>
      </c>
      <c r="AB1255" s="74" t="e">
        <f t="shared" si="209"/>
        <v>#N/A</v>
      </c>
      <c r="AC1255" s="80" t="str">
        <f t="shared" si="208"/>
        <v>LCOM2</v>
      </c>
      <c r="AD1255" s="80" t="str">
        <f t="shared" si="210"/>
        <v>CLM2</v>
      </c>
      <c r="AE1255" s="80" t="str">
        <f t="shared" si="211"/>
        <v>LCON2</v>
      </c>
      <c r="AF1255" s="80" t="str">
        <f t="shared" si="212"/>
        <v>CLN2</v>
      </c>
      <c r="AG1255" s="80" t="str">
        <f t="shared" si="213"/>
        <v>LCOQ2</v>
      </c>
      <c r="AH1255" s="80" t="str">
        <f t="shared" si="214"/>
        <v>LCOU2</v>
      </c>
    </row>
    <row r="1256" spans="25:34" x14ac:dyDescent="0.35">
      <c r="Y1256" s="74">
        <f t="shared" si="215"/>
        <v>44659</v>
      </c>
      <c r="Z1256" s="74" t="e">
        <f t="shared" ca="1" si="206"/>
        <v>#N/A</v>
      </c>
      <c r="AA1256" s="80" t="str">
        <f t="shared" ca="1" si="207"/>
        <v>CLK2</v>
      </c>
      <c r="AB1256" s="74" t="e">
        <f t="shared" si="209"/>
        <v>#N/A</v>
      </c>
      <c r="AC1256" s="80" t="str">
        <f t="shared" si="208"/>
        <v>LCOM2</v>
      </c>
      <c r="AD1256" s="80" t="str">
        <f t="shared" si="210"/>
        <v>CLM2</v>
      </c>
      <c r="AE1256" s="80" t="str">
        <f t="shared" si="211"/>
        <v>LCON2</v>
      </c>
      <c r="AF1256" s="80" t="str">
        <f t="shared" si="212"/>
        <v>CLN2</v>
      </c>
      <c r="AG1256" s="80" t="str">
        <f t="shared" si="213"/>
        <v>LCOQ2</v>
      </c>
      <c r="AH1256" s="80" t="str">
        <f t="shared" si="214"/>
        <v>LCOU2</v>
      </c>
    </row>
    <row r="1257" spans="25:34" x14ac:dyDescent="0.35">
      <c r="Y1257" s="74">
        <f t="shared" si="215"/>
        <v>44660</v>
      </c>
      <c r="Z1257" s="74" t="e">
        <f t="shared" ca="1" si="206"/>
        <v>#N/A</v>
      </c>
      <c r="AA1257" s="80" t="str">
        <f t="shared" ca="1" si="207"/>
        <v>CLK2</v>
      </c>
      <c r="AB1257" s="74" t="e">
        <f t="shared" si="209"/>
        <v>#N/A</v>
      </c>
      <c r="AC1257" s="80" t="str">
        <f t="shared" si="208"/>
        <v>LCOM2</v>
      </c>
      <c r="AD1257" s="80" t="str">
        <f t="shared" si="210"/>
        <v>CLM2</v>
      </c>
      <c r="AE1257" s="80" t="str">
        <f t="shared" si="211"/>
        <v>LCON2</v>
      </c>
      <c r="AF1257" s="80" t="str">
        <f t="shared" si="212"/>
        <v>CLN2</v>
      </c>
      <c r="AG1257" s="80" t="str">
        <f t="shared" si="213"/>
        <v>LCOQ2</v>
      </c>
      <c r="AH1257" s="80" t="str">
        <f t="shared" si="214"/>
        <v>LCOU2</v>
      </c>
    </row>
    <row r="1258" spans="25:34" x14ac:dyDescent="0.35">
      <c r="Y1258" s="74">
        <f t="shared" si="215"/>
        <v>44661</v>
      </c>
      <c r="Z1258" s="74" t="e">
        <f t="shared" ca="1" si="206"/>
        <v>#N/A</v>
      </c>
      <c r="AA1258" s="80" t="str">
        <f t="shared" ca="1" si="207"/>
        <v>CLK2</v>
      </c>
      <c r="AB1258" s="74" t="e">
        <f t="shared" si="209"/>
        <v>#N/A</v>
      </c>
      <c r="AC1258" s="80" t="str">
        <f t="shared" si="208"/>
        <v>LCOM2</v>
      </c>
      <c r="AD1258" s="80" t="str">
        <f t="shared" si="210"/>
        <v>CLM2</v>
      </c>
      <c r="AE1258" s="80" t="str">
        <f t="shared" si="211"/>
        <v>LCON2</v>
      </c>
      <c r="AF1258" s="80" t="str">
        <f t="shared" si="212"/>
        <v>CLN2</v>
      </c>
      <c r="AG1258" s="80" t="str">
        <f t="shared" si="213"/>
        <v>LCOQ2</v>
      </c>
      <c r="AH1258" s="80" t="str">
        <f t="shared" si="214"/>
        <v>LCOU2</v>
      </c>
    </row>
    <row r="1259" spans="25:34" x14ac:dyDescent="0.35">
      <c r="Y1259" s="74">
        <f t="shared" si="215"/>
        <v>44662</v>
      </c>
      <c r="Z1259" s="74" t="e">
        <f t="shared" ca="1" si="206"/>
        <v>#N/A</v>
      </c>
      <c r="AA1259" s="80" t="str">
        <f t="shared" ca="1" si="207"/>
        <v>CLK2</v>
      </c>
      <c r="AB1259" s="74" t="e">
        <f t="shared" si="209"/>
        <v>#N/A</v>
      </c>
      <c r="AC1259" s="80" t="str">
        <f t="shared" si="208"/>
        <v>LCOM2</v>
      </c>
      <c r="AD1259" s="80" t="str">
        <f t="shared" si="210"/>
        <v>CLM2</v>
      </c>
      <c r="AE1259" s="80" t="str">
        <f t="shared" si="211"/>
        <v>LCON2</v>
      </c>
      <c r="AF1259" s="80" t="str">
        <f t="shared" si="212"/>
        <v>CLN2</v>
      </c>
      <c r="AG1259" s="80" t="str">
        <f t="shared" si="213"/>
        <v>LCOQ2</v>
      </c>
      <c r="AH1259" s="80" t="str">
        <f t="shared" si="214"/>
        <v>LCOU2</v>
      </c>
    </row>
    <row r="1260" spans="25:34" x14ac:dyDescent="0.35">
      <c r="Y1260" s="74">
        <f t="shared" si="215"/>
        <v>44663</v>
      </c>
      <c r="Z1260" s="74" t="e">
        <f t="shared" ca="1" si="206"/>
        <v>#N/A</v>
      </c>
      <c r="AA1260" s="80" t="str">
        <f t="shared" ca="1" si="207"/>
        <v>CLK2</v>
      </c>
      <c r="AB1260" s="74" t="e">
        <f t="shared" si="209"/>
        <v>#N/A</v>
      </c>
      <c r="AC1260" s="80" t="str">
        <f t="shared" si="208"/>
        <v>LCOM2</v>
      </c>
      <c r="AD1260" s="80" t="str">
        <f t="shared" si="210"/>
        <v>CLM2</v>
      </c>
      <c r="AE1260" s="80" t="str">
        <f t="shared" si="211"/>
        <v>LCON2</v>
      </c>
      <c r="AF1260" s="80" t="str">
        <f t="shared" si="212"/>
        <v>CLN2</v>
      </c>
      <c r="AG1260" s="80" t="str">
        <f t="shared" si="213"/>
        <v>LCOQ2</v>
      </c>
      <c r="AH1260" s="80" t="str">
        <f t="shared" si="214"/>
        <v>LCOU2</v>
      </c>
    </row>
    <row r="1261" spans="25:34" x14ac:dyDescent="0.35">
      <c r="Y1261" s="74">
        <f t="shared" si="215"/>
        <v>44664</v>
      </c>
      <c r="Z1261" s="74" t="e">
        <f t="shared" ca="1" si="206"/>
        <v>#N/A</v>
      </c>
      <c r="AA1261" s="80" t="str">
        <f t="shared" ca="1" si="207"/>
        <v>CLK2</v>
      </c>
      <c r="AB1261" s="74" t="e">
        <f t="shared" si="209"/>
        <v>#N/A</v>
      </c>
      <c r="AC1261" s="80" t="str">
        <f t="shared" si="208"/>
        <v>LCOM2</v>
      </c>
      <c r="AD1261" s="80" t="str">
        <f t="shared" si="210"/>
        <v>CLM2</v>
      </c>
      <c r="AE1261" s="80" t="str">
        <f t="shared" si="211"/>
        <v>LCON2</v>
      </c>
      <c r="AF1261" s="80" t="str">
        <f t="shared" si="212"/>
        <v>CLN2</v>
      </c>
      <c r="AG1261" s="80" t="str">
        <f t="shared" si="213"/>
        <v>LCOQ2</v>
      </c>
      <c r="AH1261" s="80" t="str">
        <f t="shared" si="214"/>
        <v>LCOU2</v>
      </c>
    </row>
    <row r="1262" spans="25:34" x14ac:dyDescent="0.35">
      <c r="Y1262" s="74">
        <f t="shared" si="215"/>
        <v>44665</v>
      </c>
      <c r="Z1262" s="74" t="e">
        <f t="shared" ca="1" si="206"/>
        <v>#N/A</v>
      </c>
      <c r="AA1262" s="80" t="str">
        <f t="shared" ca="1" si="207"/>
        <v>CLK2</v>
      </c>
      <c r="AB1262" s="74" t="e">
        <f t="shared" si="209"/>
        <v>#N/A</v>
      </c>
      <c r="AC1262" s="80" t="str">
        <f t="shared" si="208"/>
        <v>LCOM2</v>
      </c>
      <c r="AD1262" s="80" t="str">
        <f t="shared" si="210"/>
        <v>CLM2</v>
      </c>
      <c r="AE1262" s="80" t="str">
        <f t="shared" si="211"/>
        <v>LCON2</v>
      </c>
      <c r="AF1262" s="80" t="str">
        <f t="shared" si="212"/>
        <v>CLN2</v>
      </c>
      <c r="AG1262" s="80" t="str">
        <f t="shared" si="213"/>
        <v>LCOQ2</v>
      </c>
      <c r="AH1262" s="80" t="str">
        <f t="shared" si="214"/>
        <v>LCOU2</v>
      </c>
    </row>
    <row r="1263" spans="25:34" x14ac:dyDescent="0.35">
      <c r="Y1263" s="74">
        <f t="shared" si="215"/>
        <v>44666</v>
      </c>
      <c r="Z1263" s="74" t="e">
        <f t="shared" ca="1" si="206"/>
        <v>#N/A</v>
      </c>
      <c r="AA1263" s="80" t="str">
        <f t="shared" ca="1" si="207"/>
        <v>CLK2</v>
      </c>
      <c r="AB1263" s="74" t="e">
        <f t="shared" si="209"/>
        <v>#N/A</v>
      </c>
      <c r="AC1263" s="80" t="str">
        <f t="shared" si="208"/>
        <v>LCOM2</v>
      </c>
      <c r="AD1263" s="80" t="str">
        <f t="shared" si="210"/>
        <v>CLM2</v>
      </c>
      <c r="AE1263" s="80" t="str">
        <f t="shared" si="211"/>
        <v>LCON2</v>
      </c>
      <c r="AF1263" s="80" t="str">
        <f t="shared" si="212"/>
        <v>CLN2</v>
      </c>
      <c r="AG1263" s="80" t="str">
        <f t="shared" si="213"/>
        <v>LCOQ2</v>
      </c>
      <c r="AH1263" s="80" t="str">
        <f t="shared" si="214"/>
        <v>LCOU2</v>
      </c>
    </row>
    <row r="1264" spans="25:34" x14ac:dyDescent="0.35">
      <c r="Y1264" s="74">
        <f t="shared" si="215"/>
        <v>44667</v>
      </c>
      <c r="Z1264" s="74" t="e">
        <f t="shared" ca="1" si="206"/>
        <v>#N/A</v>
      </c>
      <c r="AA1264" s="80" t="str">
        <f t="shared" ca="1" si="207"/>
        <v>CLK2</v>
      </c>
      <c r="AB1264" s="74" t="e">
        <f t="shared" si="209"/>
        <v>#N/A</v>
      </c>
      <c r="AC1264" s="80" t="str">
        <f t="shared" si="208"/>
        <v>LCOM2</v>
      </c>
      <c r="AD1264" s="80" t="str">
        <f t="shared" si="210"/>
        <v>CLM2</v>
      </c>
      <c r="AE1264" s="80" t="str">
        <f t="shared" si="211"/>
        <v>LCON2</v>
      </c>
      <c r="AF1264" s="80" t="str">
        <f t="shared" si="212"/>
        <v>CLN2</v>
      </c>
      <c r="AG1264" s="80" t="str">
        <f t="shared" si="213"/>
        <v>LCOQ2</v>
      </c>
      <c r="AH1264" s="80" t="str">
        <f t="shared" si="214"/>
        <v>LCOU2</v>
      </c>
    </row>
    <row r="1265" spans="25:34" x14ac:dyDescent="0.35">
      <c r="Y1265" s="74">
        <f t="shared" si="215"/>
        <v>44668</v>
      </c>
      <c r="Z1265" s="74" t="e">
        <f t="shared" ca="1" si="206"/>
        <v>#N/A</v>
      </c>
      <c r="AA1265" s="80" t="str">
        <f t="shared" ca="1" si="207"/>
        <v>CLK2</v>
      </c>
      <c r="AB1265" s="74" t="e">
        <f t="shared" si="209"/>
        <v>#N/A</v>
      </c>
      <c r="AC1265" s="80" t="str">
        <f t="shared" si="208"/>
        <v>LCOM2</v>
      </c>
      <c r="AD1265" s="80" t="str">
        <f t="shared" si="210"/>
        <v>CLM2</v>
      </c>
      <c r="AE1265" s="80" t="str">
        <f t="shared" si="211"/>
        <v>LCON2</v>
      </c>
      <c r="AF1265" s="80" t="str">
        <f t="shared" si="212"/>
        <v>CLN2</v>
      </c>
      <c r="AG1265" s="80" t="str">
        <f t="shared" si="213"/>
        <v>LCOQ2</v>
      </c>
      <c r="AH1265" s="80" t="str">
        <f t="shared" si="214"/>
        <v>LCOU2</v>
      </c>
    </row>
    <row r="1266" spans="25:34" x14ac:dyDescent="0.35">
      <c r="Y1266" s="74">
        <f t="shared" si="215"/>
        <v>44669</v>
      </c>
      <c r="Z1266" s="74" t="e">
        <f t="shared" ca="1" si="206"/>
        <v>#N/A</v>
      </c>
      <c r="AA1266" s="80" t="str">
        <f t="shared" ca="1" si="207"/>
        <v>CLK2</v>
      </c>
      <c r="AB1266" s="74" t="e">
        <f t="shared" si="209"/>
        <v>#N/A</v>
      </c>
      <c r="AC1266" s="80" t="str">
        <f t="shared" si="208"/>
        <v>LCOM2</v>
      </c>
      <c r="AD1266" s="80" t="str">
        <f t="shared" si="210"/>
        <v>CLM2</v>
      </c>
      <c r="AE1266" s="80" t="str">
        <f t="shared" si="211"/>
        <v>LCON2</v>
      </c>
      <c r="AF1266" s="80" t="str">
        <f t="shared" si="212"/>
        <v>CLN2</v>
      </c>
      <c r="AG1266" s="80" t="str">
        <f t="shared" si="213"/>
        <v>LCOQ2</v>
      </c>
      <c r="AH1266" s="80" t="str">
        <f t="shared" si="214"/>
        <v>LCOU2</v>
      </c>
    </row>
    <row r="1267" spans="25:34" x14ac:dyDescent="0.35">
      <c r="Y1267" s="74">
        <f t="shared" si="215"/>
        <v>44670</v>
      </c>
      <c r="Z1267" s="74" t="e">
        <f t="shared" ca="1" si="206"/>
        <v>#N/A</v>
      </c>
      <c r="AA1267" s="80" t="str">
        <f t="shared" ca="1" si="207"/>
        <v>CLK2</v>
      </c>
      <c r="AB1267" s="74" t="e">
        <f t="shared" si="209"/>
        <v>#N/A</v>
      </c>
      <c r="AC1267" s="80" t="str">
        <f t="shared" si="208"/>
        <v>LCOM2</v>
      </c>
      <c r="AD1267" s="80" t="str">
        <f t="shared" si="210"/>
        <v>CLM2</v>
      </c>
      <c r="AE1267" s="80" t="str">
        <f t="shared" si="211"/>
        <v>LCON2</v>
      </c>
      <c r="AF1267" s="80" t="str">
        <f t="shared" si="212"/>
        <v>CLN2</v>
      </c>
      <c r="AG1267" s="80" t="str">
        <f t="shared" si="213"/>
        <v>LCOQ2</v>
      </c>
      <c r="AH1267" s="80" t="str">
        <f t="shared" si="214"/>
        <v>LCOU2</v>
      </c>
    </row>
    <row r="1268" spans="25:34" x14ac:dyDescent="0.35">
      <c r="Y1268" s="74">
        <f t="shared" si="215"/>
        <v>44671</v>
      </c>
      <c r="Z1268" s="74" t="e">
        <f t="shared" ca="1" si="206"/>
        <v>#N/A</v>
      </c>
      <c r="AA1268" s="80" t="str">
        <f t="shared" ca="1" si="207"/>
        <v>CLK2</v>
      </c>
      <c r="AB1268" s="74" t="e">
        <f t="shared" si="209"/>
        <v>#N/A</v>
      </c>
      <c r="AC1268" s="80" t="str">
        <f t="shared" si="208"/>
        <v>LCOM2</v>
      </c>
      <c r="AD1268" s="80" t="str">
        <f t="shared" si="210"/>
        <v>CLM2</v>
      </c>
      <c r="AE1268" s="80" t="str">
        <f t="shared" si="211"/>
        <v>LCON2</v>
      </c>
      <c r="AF1268" s="80" t="str">
        <f t="shared" si="212"/>
        <v>CLN2</v>
      </c>
      <c r="AG1268" s="80" t="str">
        <f t="shared" si="213"/>
        <v>LCOQ2</v>
      </c>
      <c r="AH1268" s="80" t="str">
        <f t="shared" si="214"/>
        <v>LCOU2</v>
      </c>
    </row>
    <row r="1269" spans="25:34" x14ac:dyDescent="0.35">
      <c r="Y1269" s="74">
        <f t="shared" si="215"/>
        <v>44672</v>
      </c>
      <c r="Z1269" s="74" t="e">
        <f t="shared" ca="1" si="206"/>
        <v>#N/A</v>
      </c>
      <c r="AA1269" s="80" t="str">
        <f t="shared" ca="1" si="207"/>
        <v>CLM2</v>
      </c>
      <c r="AB1269" s="74" t="e">
        <f t="shared" si="209"/>
        <v>#N/A</v>
      </c>
      <c r="AC1269" s="80" t="str">
        <f t="shared" si="208"/>
        <v>LCOM2</v>
      </c>
      <c r="AD1269" s="80" t="str">
        <f t="shared" si="210"/>
        <v>CLM2</v>
      </c>
      <c r="AE1269" s="80" t="str">
        <f t="shared" si="211"/>
        <v>LCON2</v>
      </c>
      <c r="AF1269" s="80" t="str">
        <f t="shared" si="212"/>
        <v>CLN2</v>
      </c>
      <c r="AG1269" s="80" t="str">
        <f t="shared" si="213"/>
        <v>LCOQ2</v>
      </c>
      <c r="AH1269" s="80" t="str">
        <f t="shared" si="214"/>
        <v>LCOU2</v>
      </c>
    </row>
    <row r="1270" spans="25:34" x14ac:dyDescent="0.35">
      <c r="Y1270" s="74">
        <f t="shared" si="215"/>
        <v>44673</v>
      </c>
      <c r="Z1270" s="74" t="e">
        <f t="shared" ca="1" si="206"/>
        <v>#N/A</v>
      </c>
      <c r="AA1270" s="80" t="str">
        <f t="shared" ca="1" si="207"/>
        <v>CLM2</v>
      </c>
      <c r="AB1270" s="74" t="e">
        <f t="shared" si="209"/>
        <v>#N/A</v>
      </c>
      <c r="AC1270" s="80" t="str">
        <f t="shared" si="208"/>
        <v>LCOM2</v>
      </c>
      <c r="AD1270" s="80" t="str">
        <f t="shared" si="210"/>
        <v>CLM2</v>
      </c>
      <c r="AE1270" s="80" t="str">
        <f t="shared" si="211"/>
        <v>LCON2</v>
      </c>
      <c r="AF1270" s="80" t="str">
        <f t="shared" si="212"/>
        <v>CLN2</v>
      </c>
      <c r="AG1270" s="80" t="str">
        <f t="shared" si="213"/>
        <v>LCOQ2</v>
      </c>
      <c r="AH1270" s="80" t="str">
        <f t="shared" si="214"/>
        <v>LCOU2</v>
      </c>
    </row>
    <row r="1271" spans="25:34" x14ac:dyDescent="0.35">
      <c r="Y1271" s="74">
        <f t="shared" si="215"/>
        <v>44674</v>
      </c>
      <c r="Z1271" s="74" t="e">
        <f t="shared" ca="1" si="206"/>
        <v>#N/A</v>
      </c>
      <c r="AA1271" s="80" t="str">
        <f t="shared" ca="1" si="207"/>
        <v>CLM2</v>
      </c>
      <c r="AB1271" s="74" t="e">
        <f t="shared" si="209"/>
        <v>#N/A</v>
      </c>
      <c r="AC1271" s="80" t="str">
        <f t="shared" si="208"/>
        <v>LCOM2</v>
      </c>
      <c r="AD1271" s="80" t="str">
        <f t="shared" si="210"/>
        <v>CLM2</v>
      </c>
      <c r="AE1271" s="80" t="str">
        <f t="shared" si="211"/>
        <v>LCON2</v>
      </c>
      <c r="AF1271" s="80" t="str">
        <f t="shared" si="212"/>
        <v>CLN2</v>
      </c>
      <c r="AG1271" s="80" t="str">
        <f t="shared" si="213"/>
        <v>LCOQ2</v>
      </c>
      <c r="AH1271" s="80" t="str">
        <f t="shared" si="214"/>
        <v>LCOU2</v>
      </c>
    </row>
    <row r="1272" spans="25:34" x14ac:dyDescent="0.35">
      <c r="Y1272" s="74">
        <f t="shared" si="215"/>
        <v>44675</v>
      </c>
      <c r="Z1272" s="74" t="e">
        <f t="shared" ca="1" si="206"/>
        <v>#N/A</v>
      </c>
      <c r="AA1272" s="80" t="str">
        <f t="shared" ca="1" si="207"/>
        <v>CLM2</v>
      </c>
      <c r="AB1272" s="74" t="e">
        <f t="shared" si="209"/>
        <v>#N/A</v>
      </c>
      <c r="AC1272" s="80" t="str">
        <f t="shared" si="208"/>
        <v>LCOM2</v>
      </c>
      <c r="AD1272" s="80" t="str">
        <f t="shared" si="210"/>
        <v>CLM2</v>
      </c>
      <c r="AE1272" s="80" t="str">
        <f t="shared" si="211"/>
        <v>LCON2</v>
      </c>
      <c r="AF1272" s="80" t="str">
        <f t="shared" si="212"/>
        <v>CLN2</v>
      </c>
      <c r="AG1272" s="80" t="str">
        <f t="shared" si="213"/>
        <v>LCOQ2</v>
      </c>
      <c r="AH1272" s="80" t="str">
        <f t="shared" si="214"/>
        <v>LCOU2</v>
      </c>
    </row>
    <row r="1273" spans="25:34" x14ac:dyDescent="0.35">
      <c r="Y1273" s="74">
        <f t="shared" si="215"/>
        <v>44676</v>
      </c>
      <c r="Z1273" s="74" t="e">
        <f t="shared" ca="1" si="206"/>
        <v>#N/A</v>
      </c>
      <c r="AA1273" s="80" t="str">
        <f t="shared" ca="1" si="207"/>
        <v>CLM2</v>
      </c>
      <c r="AB1273" s="74" t="e">
        <f t="shared" si="209"/>
        <v>#N/A</v>
      </c>
      <c r="AC1273" s="80" t="str">
        <f t="shared" si="208"/>
        <v>LCOM2</v>
      </c>
      <c r="AD1273" s="80" t="str">
        <f t="shared" si="210"/>
        <v>CLM2</v>
      </c>
      <c r="AE1273" s="80" t="str">
        <f t="shared" si="211"/>
        <v>LCON2</v>
      </c>
      <c r="AF1273" s="80" t="str">
        <f t="shared" si="212"/>
        <v>CLN2</v>
      </c>
      <c r="AG1273" s="80" t="str">
        <f t="shared" si="213"/>
        <v>LCOQ2</v>
      </c>
      <c r="AH1273" s="80" t="str">
        <f t="shared" si="214"/>
        <v>LCOU2</v>
      </c>
    </row>
    <row r="1274" spans="25:34" x14ac:dyDescent="0.35">
      <c r="Y1274" s="74">
        <f t="shared" si="215"/>
        <v>44677</v>
      </c>
      <c r="Z1274" s="74" t="e">
        <f t="shared" ca="1" si="206"/>
        <v>#N/A</v>
      </c>
      <c r="AA1274" s="80" t="str">
        <f t="shared" ca="1" si="207"/>
        <v>CLM2</v>
      </c>
      <c r="AB1274" s="74" t="e">
        <f t="shared" si="209"/>
        <v>#N/A</v>
      </c>
      <c r="AC1274" s="80" t="str">
        <f t="shared" si="208"/>
        <v>LCOM2</v>
      </c>
      <c r="AD1274" s="80" t="str">
        <f t="shared" si="210"/>
        <v>CLM2</v>
      </c>
      <c r="AE1274" s="80" t="str">
        <f t="shared" si="211"/>
        <v>LCON2</v>
      </c>
      <c r="AF1274" s="80" t="str">
        <f t="shared" si="212"/>
        <v>CLN2</v>
      </c>
      <c r="AG1274" s="80" t="str">
        <f t="shared" si="213"/>
        <v>LCOQ2</v>
      </c>
      <c r="AH1274" s="80" t="str">
        <f t="shared" si="214"/>
        <v>LCOU2</v>
      </c>
    </row>
    <row r="1275" spans="25:34" x14ac:dyDescent="0.35">
      <c r="Y1275" s="74">
        <f t="shared" si="215"/>
        <v>44678</v>
      </c>
      <c r="Z1275" s="74" t="e">
        <f t="shared" ca="1" si="206"/>
        <v>#N/A</v>
      </c>
      <c r="AA1275" s="80" t="str">
        <f t="shared" ca="1" si="207"/>
        <v>CLM2</v>
      </c>
      <c r="AB1275" s="74" t="e">
        <f t="shared" si="209"/>
        <v>#N/A</v>
      </c>
      <c r="AC1275" s="80" t="str">
        <f t="shared" si="208"/>
        <v>LCOM2</v>
      </c>
      <c r="AD1275" s="80" t="str">
        <f t="shared" si="210"/>
        <v>CLM2</v>
      </c>
      <c r="AE1275" s="80" t="str">
        <f t="shared" si="211"/>
        <v>LCON2</v>
      </c>
      <c r="AF1275" s="80" t="str">
        <f t="shared" si="212"/>
        <v>CLN2</v>
      </c>
      <c r="AG1275" s="80" t="str">
        <f t="shared" si="213"/>
        <v>LCOQ2</v>
      </c>
      <c r="AH1275" s="80" t="str">
        <f t="shared" si="214"/>
        <v>LCOU2</v>
      </c>
    </row>
    <row r="1276" spans="25:34" x14ac:dyDescent="0.35">
      <c r="Y1276" s="74">
        <f t="shared" si="215"/>
        <v>44679</v>
      </c>
      <c r="Z1276" s="74" t="e">
        <f t="shared" ca="1" si="206"/>
        <v>#N/A</v>
      </c>
      <c r="AA1276" s="80" t="str">
        <f t="shared" ca="1" si="207"/>
        <v>CLM2</v>
      </c>
      <c r="AB1276" s="74" t="e">
        <f t="shared" si="209"/>
        <v>#N/A</v>
      </c>
      <c r="AC1276" s="80" t="str">
        <f t="shared" si="208"/>
        <v>LCOM2</v>
      </c>
      <c r="AD1276" s="80" t="str">
        <f t="shared" si="210"/>
        <v>CLM2</v>
      </c>
      <c r="AE1276" s="80" t="str">
        <f t="shared" si="211"/>
        <v>LCON2</v>
      </c>
      <c r="AF1276" s="80" t="str">
        <f t="shared" si="212"/>
        <v>CLN2</v>
      </c>
      <c r="AG1276" s="80" t="str">
        <f t="shared" si="213"/>
        <v>LCOQ2</v>
      </c>
      <c r="AH1276" s="80" t="str">
        <f t="shared" si="214"/>
        <v>LCOU2</v>
      </c>
    </row>
    <row r="1277" spans="25:34" x14ac:dyDescent="0.35">
      <c r="Y1277" s="74">
        <f t="shared" si="215"/>
        <v>44680</v>
      </c>
      <c r="Z1277" s="74" t="e">
        <f t="shared" ca="1" si="206"/>
        <v>#N/A</v>
      </c>
      <c r="AA1277" s="80" t="str">
        <f t="shared" ca="1" si="207"/>
        <v>CLM2</v>
      </c>
      <c r="AB1277" s="74" t="e">
        <f t="shared" si="209"/>
        <v>#N/A</v>
      </c>
      <c r="AC1277" s="80" t="str">
        <f t="shared" si="208"/>
        <v>LCOM2</v>
      </c>
      <c r="AD1277" s="80" t="str">
        <f t="shared" si="210"/>
        <v>CLM2</v>
      </c>
      <c r="AE1277" s="80" t="str">
        <f t="shared" si="211"/>
        <v>LCON2</v>
      </c>
      <c r="AF1277" s="80" t="str">
        <f t="shared" si="212"/>
        <v>CLN2</v>
      </c>
      <c r="AG1277" s="80" t="str">
        <f t="shared" si="213"/>
        <v>LCOQ2</v>
      </c>
      <c r="AH1277" s="80" t="str">
        <f t="shared" si="214"/>
        <v>LCOU2</v>
      </c>
    </row>
    <row r="1278" spans="25:34" x14ac:dyDescent="0.35">
      <c r="Y1278" s="74">
        <f t="shared" si="215"/>
        <v>44681</v>
      </c>
      <c r="Z1278" s="74" t="e">
        <f t="shared" ca="1" si="206"/>
        <v>#N/A</v>
      </c>
      <c r="AA1278" s="80" t="str">
        <f t="shared" ca="1" si="207"/>
        <v>CLM2</v>
      </c>
      <c r="AB1278" s="74" t="e">
        <f t="shared" si="209"/>
        <v>#N/A</v>
      </c>
      <c r="AC1278" s="80" t="str">
        <f t="shared" si="208"/>
        <v>LCON2</v>
      </c>
      <c r="AD1278" s="80" t="str">
        <f t="shared" si="210"/>
        <v>CLN2</v>
      </c>
      <c r="AE1278" s="80" t="str">
        <f t="shared" si="211"/>
        <v>LCOQ2</v>
      </c>
      <c r="AF1278" s="80" t="str">
        <f t="shared" si="212"/>
        <v>CLQ2</v>
      </c>
      <c r="AG1278" s="80" t="str">
        <f t="shared" si="213"/>
        <v>LCOU2</v>
      </c>
      <c r="AH1278" s="80" t="str">
        <f t="shared" si="214"/>
        <v>LCOV2</v>
      </c>
    </row>
    <row r="1279" spans="25:34" x14ac:dyDescent="0.35">
      <c r="Y1279" s="74">
        <f t="shared" si="215"/>
        <v>44682</v>
      </c>
      <c r="Z1279" s="74" t="e">
        <f t="shared" ca="1" si="206"/>
        <v>#N/A</v>
      </c>
      <c r="AA1279" s="80" t="str">
        <f t="shared" ca="1" si="207"/>
        <v>CLM2</v>
      </c>
      <c r="AB1279" s="74" t="e">
        <f t="shared" si="209"/>
        <v>#N/A</v>
      </c>
      <c r="AC1279" s="80" t="str">
        <f t="shared" si="208"/>
        <v>LCON2</v>
      </c>
      <c r="AD1279" s="80" t="str">
        <f t="shared" si="210"/>
        <v>CLN2</v>
      </c>
      <c r="AE1279" s="80" t="str">
        <f t="shared" si="211"/>
        <v>LCOQ2</v>
      </c>
      <c r="AF1279" s="80" t="str">
        <f t="shared" si="212"/>
        <v>CLQ2</v>
      </c>
      <c r="AG1279" s="80" t="str">
        <f t="shared" si="213"/>
        <v>LCOU2</v>
      </c>
      <c r="AH1279" s="80" t="str">
        <f t="shared" si="214"/>
        <v>LCOV2</v>
      </c>
    </row>
    <row r="1280" spans="25:34" x14ac:dyDescent="0.35">
      <c r="Y1280" s="74">
        <f t="shared" si="215"/>
        <v>44683</v>
      </c>
      <c r="Z1280" s="74" t="e">
        <f t="shared" ca="1" si="206"/>
        <v>#N/A</v>
      </c>
      <c r="AA1280" s="80" t="str">
        <f t="shared" ca="1" si="207"/>
        <v>CLM2</v>
      </c>
      <c r="AB1280" s="74" t="e">
        <f t="shared" si="209"/>
        <v>#N/A</v>
      </c>
      <c r="AC1280" s="80" t="str">
        <f t="shared" si="208"/>
        <v>LCON2</v>
      </c>
      <c r="AD1280" s="80" t="str">
        <f t="shared" si="210"/>
        <v>CLN2</v>
      </c>
      <c r="AE1280" s="80" t="str">
        <f t="shared" si="211"/>
        <v>LCOQ2</v>
      </c>
      <c r="AF1280" s="80" t="str">
        <f t="shared" si="212"/>
        <v>CLQ2</v>
      </c>
      <c r="AG1280" s="80" t="str">
        <f t="shared" si="213"/>
        <v>LCOU2</v>
      </c>
      <c r="AH1280" s="80" t="str">
        <f t="shared" si="214"/>
        <v>LCOV2</v>
      </c>
    </row>
    <row r="1281" spans="25:34" x14ac:dyDescent="0.35">
      <c r="Y1281" s="74">
        <f t="shared" si="215"/>
        <v>44684</v>
      </c>
      <c r="Z1281" s="74" t="e">
        <f t="shared" ca="1" si="206"/>
        <v>#N/A</v>
      </c>
      <c r="AA1281" s="80" t="str">
        <f t="shared" ca="1" si="207"/>
        <v>CLM2</v>
      </c>
      <c r="AB1281" s="74" t="e">
        <f t="shared" si="209"/>
        <v>#N/A</v>
      </c>
      <c r="AC1281" s="80" t="str">
        <f t="shared" si="208"/>
        <v>LCON2</v>
      </c>
      <c r="AD1281" s="80" t="str">
        <f t="shared" si="210"/>
        <v>CLN2</v>
      </c>
      <c r="AE1281" s="80" t="str">
        <f t="shared" si="211"/>
        <v>LCOQ2</v>
      </c>
      <c r="AF1281" s="80" t="str">
        <f t="shared" si="212"/>
        <v>CLQ2</v>
      </c>
      <c r="AG1281" s="80" t="str">
        <f t="shared" si="213"/>
        <v>LCOU2</v>
      </c>
      <c r="AH1281" s="80" t="str">
        <f t="shared" si="214"/>
        <v>LCOV2</v>
      </c>
    </row>
    <row r="1282" spans="25:34" x14ac:dyDescent="0.35">
      <c r="Y1282" s="74">
        <f t="shared" si="215"/>
        <v>44685</v>
      </c>
      <c r="Z1282" s="74" t="e">
        <f t="shared" ref="Z1282:Z1345" ca="1" si="216">VLOOKUP(AA1282,$I$2:$K$39,3,FALSE)</f>
        <v>#N/A</v>
      </c>
      <c r="AA1282" s="80" t="str">
        <f t="shared" ref="AA1282:AA1345" ca="1" si="217">LOOKUP(2,1/($J$2:$J$700&lt;=$Y1282)/($K$2:$K$700&gt;=$Y1282),$L$2:$L$700)</f>
        <v>CLM2</v>
      </c>
      <c r="AB1282" s="74" t="e">
        <f t="shared" si="209"/>
        <v>#N/A</v>
      </c>
      <c r="AC1282" s="80" t="str">
        <f t="shared" ref="AC1282:AC1345" si="218">LOOKUP(2,1/($R$2:$R$700&lt;=$Y1282)/($S$2:$S$700&gt;=$Y1282),$T$2:$T$700)</f>
        <v>LCON2</v>
      </c>
      <c r="AD1282" s="80" t="str">
        <f t="shared" si="210"/>
        <v>CLN2</v>
      </c>
      <c r="AE1282" s="80" t="str">
        <f t="shared" si="211"/>
        <v>LCOQ2</v>
      </c>
      <c r="AF1282" s="80" t="str">
        <f t="shared" si="212"/>
        <v>CLQ2</v>
      </c>
      <c r="AG1282" s="80" t="str">
        <f t="shared" si="213"/>
        <v>LCOU2</v>
      </c>
      <c r="AH1282" s="80" t="str">
        <f t="shared" si="214"/>
        <v>LCOV2</v>
      </c>
    </row>
    <row r="1283" spans="25:34" x14ac:dyDescent="0.35">
      <c r="Y1283" s="74">
        <f t="shared" si="215"/>
        <v>44686</v>
      </c>
      <c r="Z1283" s="74" t="e">
        <f t="shared" ca="1" si="216"/>
        <v>#N/A</v>
      </c>
      <c r="AA1283" s="80" t="str">
        <f t="shared" ca="1" si="217"/>
        <v>CLM2</v>
      </c>
      <c r="AB1283" s="74" t="e">
        <f t="shared" ref="AB1283:AB1346" si="219">VLOOKUP(AC1283,$Q$2:$S$39,3,FALSE)</f>
        <v>#N/A</v>
      </c>
      <c r="AC1283" s="80" t="str">
        <f t="shared" si="218"/>
        <v>LCON2</v>
      </c>
      <c r="AD1283" s="80" t="str">
        <f t="shared" ref="AD1283:AD1346" si="220">CONCATENATE("CL",RIGHT(AC1283,2))</f>
        <v>CLN2</v>
      </c>
      <c r="AE1283" s="80" t="str">
        <f t="shared" ref="AE1283:AE1346" si="221">LOOKUP(2,1/($R$2:$R$700&lt;=$Y1283)/($S$2:$S$700&gt;=$Y1283),$U$2:$U$700)</f>
        <v>LCOQ2</v>
      </c>
      <c r="AF1283" s="80" t="str">
        <f t="shared" ref="AF1283:AF1346" si="222">CONCATENATE("CL",RIGHT(AE1283,2))</f>
        <v>CLQ2</v>
      </c>
      <c r="AG1283" s="80" t="str">
        <f t="shared" ref="AG1283:AG1346" si="223">LOOKUP(2,1/($R$2:$R$700&lt;=$Y1283)/($S$2:$S$700&gt;=$Y1283),$V$2:$V$700)</f>
        <v>LCOU2</v>
      </c>
      <c r="AH1283" s="80" t="str">
        <f t="shared" ref="AH1283:AH1346" si="224">LOOKUP(2,1/($R$2:$R$700&lt;=$Y1283)/($S$2:$S$700&gt;=$Y1283),$W$2:$W$700)</f>
        <v>LCOV2</v>
      </c>
    </row>
    <row r="1284" spans="25:34" x14ac:dyDescent="0.35">
      <c r="Y1284" s="74">
        <f t="shared" si="215"/>
        <v>44687</v>
      </c>
      <c r="Z1284" s="74" t="e">
        <f t="shared" ca="1" si="216"/>
        <v>#N/A</v>
      </c>
      <c r="AA1284" s="80" t="str">
        <f t="shared" ca="1" si="217"/>
        <v>CLM2</v>
      </c>
      <c r="AB1284" s="74" t="e">
        <f t="shared" si="219"/>
        <v>#N/A</v>
      </c>
      <c r="AC1284" s="80" t="str">
        <f t="shared" si="218"/>
        <v>LCON2</v>
      </c>
      <c r="AD1284" s="80" t="str">
        <f t="shared" si="220"/>
        <v>CLN2</v>
      </c>
      <c r="AE1284" s="80" t="str">
        <f t="shared" si="221"/>
        <v>LCOQ2</v>
      </c>
      <c r="AF1284" s="80" t="str">
        <f t="shared" si="222"/>
        <v>CLQ2</v>
      </c>
      <c r="AG1284" s="80" t="str">
        <f t="shared" si="223"/>
        <v>LCOU2</v>
      </c>
      <c r="AH1284" s="80" t="str">
        <f t="shared" si="224"/>
        <v>LCOV2</v>
      </c>
    </row>
    <row r="1285" spans="25:34" x14ac:dyDescent="0.35">
      <c r="Y1285" s="74">
        <f t="shared" si="215"/>
        <v>44688</v>
      </c>
      <c r="Z1285" s="74" t="e">
        <f t="shared" ca="1" si="216"/>
        <v>#N/A</v>
      </c>
      <c r="AA1285" s="80" t="str">
        <f t="shared" ca="1" si="217"/>
        <v>CLM2</v>
      </c>
      <c r="AB1285" s="74" t="e">
        <f t="shared" si="219"/>
        <v>#N/A</v>
      </c>
      <c r="AC1285" s="80" t="str">
        <f t="shared" si="218"/>
        <v>LCON2</v>
      </c>
      <c r="AD1285" s="80" t="str">
        <f t="shared" si="220"/>
        <v>CLN2</v>
      </c>
      <c r="AE1285" s="80" t="str">
        <f t="shared" si="221"/>
        <v>LCOQ2</v>
      </c>
      <c r="AF1285" s="80" t="str">
        <f t="shared" si="222"/>
        <v>CLQ2</v>
      </c>
      <c r="AG1285" s="80" t="str">
        <f t="shared" si="223"/>
        <v>LCOU2</v>
      </c>
      <c r="AH1285" s="80" t="str">
        <f t="shared" si="224"/>
        <v>LCOV2</v>
      </c>
    </row>
    <row r="1286" spans="25:34" x14ac:dyDescent="0.35">
      <c r="Y1286" s="74">
        <f t="shared" si="215"/>
        <v>44689</v>
      </c>
      <c r="Z1286" s="74" t="e">
        <f t="shared" ca="1" si="216"/>
        <v>#N/A</v>
      </c>
      <c r="AA1286" s="80" t="str">
        <f t="shared" ca="1" si="217"/>
        <v>CLM2</v>
      </c>
      <c r="AB1286" s="74" t="e">
        <f t="shared" si="219"/>
        <v>#N/A</v>
      </c>
      <c r="AC1286" s="80" t="str">
        <f t="shared" si="218"/>
        <v>LCON2</v>
      </c>
      <c r="AD1286" s="80" t="str">
        <f t="shared" si="220"/>
        <v>CLN2</v>
      </c>
      <c r="AE1286" s="80" t="str">
        <f t="shared" si="221"/>
        <v>LCOQ2</v>
      </c>
      <c r="AF1286" s="80" t="str">
        <f t="shared" si="222"/>
        <v>CLQ2</v>
      </c>
      <c r="AG1286" s="80" t="str">
        <f t="shared" si="223"/>
        <v>LCOU2</v>
      </c>
      <c r="AH1286" s="80" t="str">
        <f t="shared" si="224"/>
        <v>LCOV2</v>
      </c>
    </row>
    <row r="1287" spans="25:34" x14ac:dyDescent="0.35">
      <c r="Y1287" s="74">
        <f t="shared" si="215"/>
        <v>44690</v>
      </c>
      <c r="Z1287" s="74" t="e">
        <f t="shared" ca="1" si="216"/>
        <v>#N/A</v>
      </c>
      <c r="AA1287" s="80" t="str">
        <f t="shared" ca="1" si="217"/>
        <v>CLM2</v>
      </c>
      <c r="AB1287" s="74" t="e">
        <f t="shared" si="219"/>
        <v>#N/A</v>
      </c>
      <c r="AC1287" s="80" t="str">
        <f t="shared" si="218"/>
        <v>LCON2</v>
      </c>
      <c r="AD1287" s="80" t="str">
        <f t="shared" si="220"/>
        <v>CLN2</v>
      </c>
      <c r="AE1287" s="80" t="str">
        <f t="shared" si="221"/>
        <v>LCOQ2</v>
      </c>
      <c r="AF1287" s="80" t="str">
        <f t="shared" si="222"/>
        <v>CLQ2</v>
      </c>
      <c r="AG1287" s="80" t="str">
        <f t="shared" si="223"/>
        <v>LCOU2</v>
      </c>
      <c r="AH1287" s="80" t="str">
        <f t="shared" si="224"/>
        <v>LCOV2</v>
      </c>
    </row>
    <row r="1288" spans="25:34" x14ac:dyDescent="0.35">
      <c r="Y1288" s="74">
        <f t="shared" si="215"/>
        <v>44691</v>
      </c>
      <c r="Z1288" s="74" t="e">
        <f t="shared" ca="1" si="216"/>
        <v>#N/A</v>
      </c>
      <c r="AA1288" s="80" t="str">
        <f t="shared" ca="1" si="217"/>
        <v>CLM2</v>
      </c>
      <c r="AB1288" s="74" t="e">
        <f t="shared" si="219"/>
        <v>#N/A</v>
      </c>
      <c r="AC1288" s="80" t="str">
        <f t="shared" si="218"/>
        <v>LCON2</v>
      </c>
      <c r="AD1288" s="80" t="str">
        <f t="shared" si="220"/>
        <v>CLN2</v>
      </c>
      <c r="AE1288" s="80" t="str">
        <f t="shared" si="221"/>
        <v>LCOQ2</v>
      </c>
      <c r="AF1288" s="80" t="str">
        <f t="shared" si="222"/>
        <v>CLQ2</v>
      </c>
      <c r="AG1288" s="80" t="str">
        <f t="shared" si="223"/>
        <v>LCOU2</v>
      </c>
      <c r="AH1288" s="80" t="str">
        <f t="shared" si="224"/>
        <v>LCOV2</v>
      </c>
    </row>
    <row r="1289" spans="25:34" x14ac:dyDescent="0.35">
      <c r="Y1289" s="74">
        <f t="shared" si="215"/>
        <v>44692</v>
      </c>
      <c r="Z1289" s="74" t="e">
        <f t="shared" ca="1" si="216"/>
        <v>#N/A</v>
      </c>
      <c r="AA1289" s="80" t="str">
        <f t="shared" ca="1" si="217"/>
        <v>CLM2</v>
      </c>
      <c r="AB1289" s="74" t="e">
        <f t="shared" si="219"/>
        <v>#N/A</v>
      </c>
      <c r="AC1289" s="80" t="str">
        <f t="shared" si="218"/>
        <v>LCON2</v>
      </c>
      <c r="AD1289" s="80" t="str">
        <f t="shared" si="220"/>
        <v>CLN2</v>
      </c>
      <c r="AE1289" s="80" t="str">
        <f t="shared" si="221"/>
        <v>LCOQ2</v>
      </c>
      <c r="AF1289" s="80" t="str">
        <f t="shared" si="222"/>
        <v>CLQ2</v>
      </c>
      <c r="AG1289" s="80" t="str">
        <f t="shared" si="223"/>
        <v>LCOU2</v>
      </c>
      <c r="AH1289" s="80" t="str">
        <f t="shared" si="224"/>
        <v>LCOV2</v>
      </c>
    </row>
    <row r="1290" spans="25:34" x14ac:dyDescent="0.35">
      <c r="Y1290" s="74">
        <f t="shared" si="215"/>
        <v>44693</v>
      </c>
      <c r="Z1290" s="74" t="e">
        <f t="shared" ca="1" si="216"/>
        <v>#N/A</v>
      </c>
      <c r="AA1290" s="80" t="str">
        <f t="shared" ca="1" si="217"/>
        <v>CLM2</v>
      </c>
      <c r="AB1290" s="74" t="e">
        <f t="shared" si="219"/>
        <v>#N/A</v>
      </c>
      <c r="AC1290" s="80" t="str">
        <f t="shared" si="218"/>
        <v>LCON2</v>
      </c>
      <c r="AD1290" s="80" t="str">
        <f t="shared" si="220"/>
        <v>CLN2</v>
      </c>
      <c r="AE1290" s="80" t="str">
        <f t="shared" si="221"/>
        <v>LCOQ2</v>
      </c>
      <c r="AF1290" s="80" t="str">
        <f t="shared" si="222"/>
        <v>CLQ2</v>
      </c>
      <c r="AG1290" s="80" t="str">
        <f t="shared" si="223"/>
        <v>LCOU2</v>
      </c>
      <c r="AH1290" s="80" t="str">
        <f t="shared" si="224"/>
        <v>LCOV2</v>
      </c>
    </row>
    <row r="1291" spans="25:34" x14ac:dyDescent="0.35">
      <c r="Y1291" s="74">
        <f t="shared" si="215"/>
        <v>44694</v>
      </c>
      <c r="Z1291" s="74" t="e">
        <f t="shared" ca="1" si="216"/>
        <v>#N/A</v>
      </c>
      <c r="AA1291" s="80" t="str">
        <f t="shared" ca="1" si="217"/>
        <v>CLM2</v>
      </c>
      <c r="AB1291" s="74" t="e">
        <f t="shared" si="219"/>
        <v>#N/A</v>
      </c>
      <c r="AC1291" s="80" t="str">
        <f t="shared" si="218"/>
        <v>LCON2</v>
      </c>
      <c r="AD1291" s="80" t="str">
        <f t="shared" si="220"/>
        <v>CLN2</v>
      </c>
      <c r="AE1291" s="80" t="str">
        <f t="shared" si="221"/>
        <v>LCOQ2</v>
      </c>
      <c r="AF1291" s="80" t="str">
        <f t="shared" si="222"/>
        <v>CLQ2</v>
      </c>
      <c r="AG1291" s="80" t="str">
        <f t="shared" si="223"/>
        <v>LCOU2</v>
      </c>
      <c r="AH1291" s="80" t="str">
        <f t="shared" si="224"/>
        <v>LCOV2</v>
      </c>
    </row>
    <row r="1292" spans="25:34" x14ac:dyDescent="0.35">
      <c r="Y1292" s="74">
        <f t="shared" si="215"/>
        <v>44695</v>
      </c>
      <c r="Z1292" s="74" t="e">
        <f t="shared" ca="1" si="216"/>
        <v>#N/A</v>
      </c>
      <c r="AA1292" s="80" t="str">
        <f t="shared" ca="1" si="217"/>
        <v>CLM2</v>
      </c>
      <c r="AB1292" s="74" t="e">
        <f t="shared" si="219"/>
        <v>#N/A</v>
      </c>
      <c r="AC1292" s="80" t="str">
        <f t="shared" si="218"/>
        <v>LCON2</v>
      </c>
      <c r="AD1292" s="80" t="str">
        <f t="shared" si="220"/>
        <v>CLN2</v>
      </c>
      <c r="AE1292" s="80" t="str">
        <f t="shared" si="221"/>
        <v>LCOQ2</v>
      </c>
      <c r="AF1292" s="80" t="str">
        <f t="shared" si="222"/>
        <v>CLQ2</v>
      </c>
      <c r="AG1292" s="80" t="str">
        <f t="shared" si="223"/>
        <v>LCOU2</v>
      </c>
      <c r="AH1292" s="80" t="str">
        <f t="shared" si="224"/>
        <v>LCOV2</v>
      </c>
    </row>
    <row r="1293" spans="25:34" x14ac:dyDescent="0.35">
      <c r="Y1293" s="74">
        <f t="shared" si="215"/>
        <v>44696</v>
      </c>
      <c r="Z1293" s="74" t="e">
        <f t="shared" ca="1" si="216"/>
        <v>#N/A</v>
      </c>
      <c r="AA1293" s="80" t="str">
        <f t="shared" ca="1" si="217"/>
        <v>CLM2</v>
      </c>
      <c r="AB1293" s="74" t="e">
        <f t="shared" si="219"/>
        <v>#N/A</v>
      </c>
      <c r="AC1293" s="80" t="str">
        <f t="shared" si="218"/>
        <v>LCON2</v>
      </c>
      <c r="AD1293" s="80" t="str">
        <f t="shared" si="220"/>
        <v>CLN2</v>
      </c>
      <c r="AE1293" s="80" t="str">
        <f t="shared" si="221"/>
        <v>LCOQ2</v>
      </c>
      <c r="AF1293" s="80" t="str">
        <f t="shared" si="222"/>
        <v>CLQ2</v>
      </c>
      <c r="AG1293" s="80" t="str">
        <f t="shared" si="223"/>
        <v>LCOU2</v>
      </c>
      <c r="AH1293" s="80" t="str">
        <f t="shared" si="224"/>
        <v>LCOV2</v>
      </c>
    </row>
    <row r="1294" spans="25:34" x14ac:dyDescent="0.35">
      <c r="Y1294" s="74">
        <f t="shared" si="215"/>
        <v>44697</v>
      </c>
      <c r="Z1294" s="74" t="e">
        <f t="shared" ca="1" si="216"/>
        <v>#N/A</v>
      </c>
      <c r="AA1294" s="80" t="str">
        <f t="shared" ca="1" si="217"/>
        <v>CLM2</v>
      </c>
      <c r="AB1294" s="74" t="e">
        <f t="shared" si="219"/>
        <v>#N/A</v>
      </c>
      <c r="AC1294" s="80" t="str">
        <f t="shared" si="218"/>
        <v>LCON2</v>
      </c>
      <c r="AD1294" s="80" t="str">
        <f t="shared" si="220"/>
        <v>CLN2</v>
      </c>
      <c r="AE1294" s="80" t="str">
        <f t="shared" si="221"/>
        <v>LCOQ2</v>
      </c>
      <c r="AF1294" s="80" t="str">
        <f t="shared" si="222"/>
        <v>CLQ2</v>
      </c>
      <c r="AG1294" s="80" t="str">
        <f t="shared" si="223"/>
        <v>LCOU2</v>
      </c>
      <c r="AH1294" s="80" t="str">
        <f t="shared" si="224"/>
        <v>LCOV2</v>
      </c>
    </row>
    <row r="1295" spans="25:34" x14ac:dyDescent="0.35">
      <c r="Y1295" s="74">
        <f t="shared" si="215"/>
        <v>44698</v>
      </c>
      <c r="Z1295" s="74" t="e">
        <f t="shared" ca="1" si="216"/>
        <v>#N/A</v>
      </c>
      <c r="AA1295" s="80" t="str">
        <f t="shared" ca="1" si="217"/>
        <v>CLM2</v>
      </c>
      <c r="AB1295" s="74" t="e">
        <f t="shared" si="219"/>
        <v>#N/A</v>
      </c>
      <c r="AC1295" s="80" t="str">
        <f t="shared" si="218"/>
        <v>LCON2</v>
      </c>
      <c r="AD1295" s="80" t="str">
        <f t="shared" si="220"/>
        <v>CLN2</v>
      </c>
      <c r="AE1295" s="80" t="str">
        <f t="shared" si="221"/>
        <v>LCOQ2</v>
      </c>
      <c r="AF1295" s="80" t="str">
        <f t="shared" si="222"/>
        <v>CLQ2</v>
      </c>
      <c r="AG1295" s="80" t="str">
        <f t="shared" si="223"/>
        <v>LCOU2</v>
      </c>
      <c r="AH1295" s="80" t="str">
        <f t="shared" si="224"/>
        <v>LCOV2</v>
      </c>
    </row>
    <row r="1296" spans="25:34" x14ac:dyDescent="0.35">
      <c r="Y1296" s="74">
        <f t="shared" si="215"/>
        <v>44699</v>
      </c>
      <c r="Z1296" s="74" t="e">
        <f t="shared" ca="1" si="216"/>
        <v>#N/A</v>
      </c>
      <c r="AA1296" s="80" t="str">
        <f t="shared" ca="1" si="217"/>
        <v>CLM2</v>
      </c>
      <c r="AB1296" s="74" t="e">
        <f t="shared" si="219"/>
        <v>#N/A</v>
      </c>
      <c r="AC1296" s="80" t="str">
        <f t="shared" si="218"/>
        <v>LCON2</v>
      </c>
      <c r="AD1296" s="80" t="str">
        <f t="shared" si="220"/>
        <v>CLN2</v>
      </c>
      <c r="AE1296" s="80" t="str">
        <f t="shared" si="221"/>
        <v>LCOQ2</v>
      </c>
      <c r="AF1296" s="80" t="str">
        <f t="shared" si="222"/>
        <v>CLQ2</v>
      </c>
      <c r="AG1296" s="80" t="str">
        <f t="shared" si="223"/>
        <v>LCOU2</v>
      </c>
      <c r="AH1296" s="80" t="str">
        <f t="shared" si="224"/>
        <v>LCOV2</v>
      </c>
    </row>
    <row r="1297" spans="25:34" x14ac:dyDescent="0.35">
      <c r="Y1297" s="74">
        <f t="shared" si="215"/>
        <v>44700</v>
      </c>
      <c r="Z1297" s="74" t="e">
        <f t="shared" ca="1" si="216"/>
        <v>#N/A</v>
      </c>
      <c r="AA1297" s="80" t="str">
        <f t="shared" ca="1" si="217"/>
        <v>CLM2</v>
      </c>
      <c r="AB1297" s="74" t="e">
        <f t="shared" si="219"/>
        <v>#N/A</v>
      </c>
      <c r="AC1297" s="80" t="str">
        <f t="shared" si="218"/>
        <v>LCON2</v>
      </c>
      <c r="AD1297" s="80" t="str">
        <f t="shared" si="220"/>
        <v>CLN2</v>
      </c>
      <c r="AE1297" s="80" t="str">
        <f t="shared" si="221"/>
        <v>LCOQ2</v>
      </c>
      <c r="AF1297" s="80" t="str">
        <f t="shared" si="222"/>
        <v>CLQ2</v>
      </c>
      <c r="AG1297" s="80" t="str">
        <f t="shared" si="223"/>
        <v>LCOU2</v>
      </c>
      <c r="AH1297" s="80" t="str">
        <f t="shared" si="224"/>
        <v>LCOV2</v>
      </c>
    </row>
    <row r="1298" spans="25:34" x14ac:dyDescent="0.35">
      <c r="Y1298" s="74">
        <f t="shared" si="215"/>
        <v>44701</v>
      </c>
      <c r="Z1298" s="74" t="e">
        <f t="shared" ca="1" si="216"/>
        <v>#N/A</v>
      </c>
      <c r="AA1298" s="80" t="str">
        <f t="shared" ca="1" si="217"/>
        <v>CLM2</v>
      </c>
      <c r="AB1298" s="74" t="e">
        <f t="shared" si="219"/>
        <v>#N/A</v>
      </c>
      <c r="AC1298" s="80" t="str">
        <f t="shared" si="218"/>
        <v>LCON2</v>
      </c>
      <c r="AD1298" s="80" t="str">
        <f t="shared" si="220"/>
        <v>CLN2</v>
      </c>
      <c r="AE1298" s="80" t="str">
        <f t="shared" si="221"/>
        <v>LCOQ2</v>
      </c>
      <c r="AF1298" s="80" t="str">
        <f t="shared" si="222"/>
        <v>CLQ2</v>
      </c>
      <c r="AG1298" s="80" t="str">
        <f t="shared" si="223"/>
        <v>LCOU2</v>
      </c>
      <c r="AH1298" s="80" t="str">
        <f t="shared" si="224"/>
        <v>LCOV2</v>
      </c>
    </row>
    <row r="1299" spans="25:34" x14ac:dyDescent="0.35">
      <c r="Y1299" s="74">
        <f t="shared" si="215"/>
        <v>44702</v>
      </c>
      <c r="Z1299" s="74" t="e">
        <f t="shared" ca="1" si="216"/>
        <v>#N/A</v>
      </c>
      <c r="AA1299" s="80" t="str">
        <f t="shared" ca="1" si="217"/>
        <v>CLN2</v>
      </c>
      <c r="AB1299" s="74" t="e">
        <f t="shared" si="219"/>
        <v>#N/A</v>
      </c>
      <c r="AC1299" s="80" t="str">
        <f t="shared" si="218"/>
        <v>LCON2</v>
      </c>
      <c r="AD1299" s="80" t="str">
        <f t="shared" si="220"/>
        <v>CLN2</v>
      </c>
      <c r="AE1299" s="80" t="str">
        <f t="shared" si="221"/>
        <v>LCOQ2</v>
      </c>
      <c r="AF1299" s="80" t="str">
        <f t="shared" si="222"/>
        <v>CLQ2</v>
      </c>
      <c r="AG1299" s="80" t="str">
        <f t="shared" si="223"/>
        <v>LCOU2</v>
      </c>
      <c r="AH1299" s="80" t="str">
        <f t="shared" si="224"/>
        <v>LCOV2</v>
      </c>
    </row>
    <row r="1300" spans="25:34" x14ac:dyDescent="0.35">
      <c r="Y1300" s="74">
        <f t="shared" si="215"/>
        <v>44703</v>
      </c>
      <c r="Z1300" s="74" t="e">
        <f t="shared" ca="1" si="216"/>
        <v>#N/A</v>
      </c>
      <c r="AA1300" s="80" t="str">
        <f t="shared" ca="1" si="217"/>
        <v>CLN2</v>
      </c>
      <c r="AB1300" s="74" t="e">
        <f t="shared" si="219"/>
        <v>#N/A</v>
      </c>
      <c r="AC1300" s="80" t="str">
        <f t="shared" si="218"/>
        <v>LCON2</v>
      </c>
      <c r="AD1300" s="80" t="str">
        <f t="shared" si="220"/>
        <v>CLN2</v>
      </c>
      <c r="AE1300" s="80" t="str">
        <f t="shared" si="221"/>
        <v>LCOQ2</v>
      </c>
      <c r="AF1300" s="80" t="str">
        <f t="shared" si="222"/>
        <v>CLQ2</v>
      </c>
      <c r="AG1300" s="80" t="str">
        <f t="shared" si="223"/>
        <v>LCOU2</v>
      </c>
      <c r="AH1300" s="80" t="str">
        <f t="shared" si="224"/>
        <v>LCOV2</v>
      </c>
    </row>
    <row r="1301" spans="25:34" x14ac:dyDescent="0.35">
      <c r="Y1301" s="74">
        <f t="shared" si="215"/>
        <v>44704</v>
      </c>
      <c r="Z1301" s="74" t="e">
        <f t="shared" ca="1" si="216"/>
        <v>#N/A</v>
      </c>
      <c r="AA1301" s="80" t="str">
        <f t="shared" ca="1" si="217"/>
        <v>CLN2</v>
      </c>
      <c r="AB1301" s="74" t="e">
        <f t="shared" si="219"/>
        <v>#N/A</v>
      </c>
      <c r="AC1301" s="80" t="str">
        <f t="shared" si="218"/>
        <v>LCON2</v>
      </c>
      <c r="AD1301" s="80" t="str">
        <f t="shared" si="220"/>
        <v>CLN2</v>
      </c>
      <c r="AE1301" s="80" t="str">
        <f t="shared" si="221"/>
        <v>LCOQ2</v>
      </c>
      <c r="AF1301" s="80" t="str">
        <f t="shared" si="222"/>
        <v>CLQ2</v>
      </c>
      <c r="AG1301" s="80" t="str">
        <f t="shared" si="223"/>
        <v>LCOU2</v>
      </c>
      <c r="AH1301" s="80" t="str">
        <f t="shared" si="224"/>
        <v>LCOV2</v>
      </c>
    </row>
    <row r="1302" spans="25:34" x14ac:dyDescent="0.35">
      <c r="Y1302" s="74">
        <f t="shared" si="215"/>
        <v>44705</v>
      </c>
      <c r="Z1302" s="74" t="e">
        <f t="shared" ca="1" si="216"/>
        <v>#N/A</v>
      </c>
      <c r="AA1302" s="80" t="str">
        <f t="shared" ca="1" si="217"/>
        <v>CLN2</v>
      </c>
      <c r="AB1302" s="74" t="e">
        <f t="shared" si="219"/>
        <v>#N/A</v>
      </c>
      <c r="AC1302" s="80" t="str">
        <f t="shared" si="218"/>
        <v>LCON2</v>
      </c>
      <c r="AD1302" s="80" t="str">
        <f t="shared" si="220"/>
        <v>CLN2</v>
      </c>
      <c r="AE1302" s="80" t="str">
        <f t="shared" si="221"/>
        <v>LCOQ2</v>
      </c>
      <c r="AF1302" s="80" t="str">
        <f t="shared" si="222"/>
        <v>CLQ2</v>
      </c>
      <c r="AG1302" s="80" t="str">
        <f t="shared" si="223"/>
        <v>LCOU2</v>
      </c>
      <c r="AH1302" s="80" t="str">
        <f t="shared" si="224"/>
        <v>LCOV2</v>
      </c>
    </row>
    <row r="1303" spans="25:34" x14ac:dyDescent="0.35">
      <c r="Y1303" s="74">
        <f t="shared" si="215"/>
        <v>44706</v>
      </c>
      <c r="Z1303" s="74" t="e">
        <f t="shared" ca="1" si="216"/>
        <v>#N/A</v>
      </c>
      <c r="AA1303" s="80" t="str">
        <f t="shared" ca="1" si="217"/>
        <v>CLN2</v>
      </c>
      <c r="AB1303" s="74" t="e">
        <f t="shared" si="219"/>
        <v>#N/A</v>
      </c>
      <c r="AC1303" s="80" t="str">
        <f t="shared" si="218"/>
        <v>LCON2</v>
      </c>
      <c r="AD1303" s="80" t="str">
        <f t="shared" si="220"/>
        <v>CLN2</v>
      </c>
      <c r="AE1303" s="80" t="str">
        <f t="shared" si="221"/>
        <v>LCOQ2</v>
      </c>
      <c r="AF1303" s="80" t="str">
        <f t="shared" si="222"/>
        <v>CLQ2</v>
      </c>
      <c r="AG1303" s="80" t="str">
        <f t="shared" si="223"/>
        <v>LCOU2</v>
      </c>
      <c r="AH1303" s="80" t="str">
        <f t="shared" si="224"/>
        <v>LCOV2</v>
      </c>
    </row>
    <row r="1304" spans="25:34" x14ac:dyDescent="0.35">
      <c r="Y1304" s="74">
        <f t="shared" si="215"/>
        <v>44707</v>
      </c>
      <c r="Z1304" s="74" t="e">
        <f t="shared" ca="1" si="216"/>
        <v>#N/A</v>
      </c>
      <c r="AA1304" s="80" t="str">
        <f t="shared" ca="1" si="217"/>
        <v>CLN2</v>
      </c>
      <c r="AB1304" s="74" t="e">
        <f t="shared" si="219"/>
        <v>#N/A</v>
      </c>
      <c r="AC1304" s="80" t="str">
        <f t="shared" si="218"/>
        <v>LCON2</v>
      </c>
      <c r="AD1304" s="80" t="str">
        <f t="shared" si="220"/>
        <v>CLN2</v>
      </c>
      <c r="AE1304" s="80" t="str">
        <f t="shared" si="221"/>
        <v>LCOQ2</v>
      </c>
      <c r="AF1304" s="80" t="str">
        <f t="shared" si="222"/>
        <v>CLQ2</v>
      </c>
      <c r="AG1304" s="80" t="str">
        <f t="shared" si="223"/>
        <v>LCOU2</v>
      </c>
      <c r="AH1304" s="80" t="str">
        <f t="shared" si="224"/>
        <v>LCOV2</v>
      </c>
    </row>
    <row r="1305" spans="25:34" x14ac:dyDescent="0.35">
      <c r="Y1305" s="74">
        <f t="shared" si="215"/>
        <v>44708</v>
      </c>
      <c r="Z1305" s="74" t="e">
        <f t="shared" ca="1" si="216"/>
        <v>#N/A</v>
      </c>
      <c r="AA1305" s="80" t="str">
        <f t="shared" ca="1" si="217"/>
        <v>CLN2</v>
      </c>
      <c r="AB1305" s="74" t="e">
        <f t="shared" si="219"/>
        <v>#N/A</v>
      </c>
      <c r="AC1305" s="80" t="str">
        <f t="shared" si="218"/>
        <v>LCON2</v>
      </c>
      <c r="AD1305" s="80" t="str">
        <f t="shared" si="220"/>
        <v>CLN2</v>
      </c>
      <c r="AE1305" s="80" t="str">
        <f t="shared" si="221"/>
        <v>LCOQ2</v>
      </c>
      <c r="AF1305" s="80" t="str">
        <f t="shared" si="222"/>
        <v>CLQ2</v>
      </c>
      <c r="AG1305" s="80" t="str">
        <f t="shared" si="223"/>
        <v>LCOU2</v>
      </c>
      <c r="AH1305" s="80" t="str">
        <f t="shared" si="224"/>
        <v>LCOV2</v>
      </c>
    </row>
    <row r="1306" spans="25:34" x14ac:dyDescent="0.35">
      <c r="Y1306" s="74">
        <f t="shared" si="215"/>
        <v>44709</v>
      </c>
      <c r="Z1306" s="74" t="e">
        <f t="shared" ca="1" si="216"/>
        <v>#N/A</v>
      </c>
      <c r="AA1306" s="80" t="str">
        <f t="shared" ca="1" si="217"/>
        <v>CLN2</v>
      </c>
      <c r="AB1306" s="74" t="e">
        <f t="shared" si="219"/>
        <v>#N/A</v>
      </c>
      <c r="AC1306" s="80" t="str">
        <f t="shared" si="218"/>
        <v>LCON2</v>
      </c>
      <c r="AD1306" s="80" t="str">
        <f t="shared" si="220"/>
        <v>CLN2</v>
      </c>
      <c r="AE1306" s="80" t="str">
        <f t="shared" si="221"/>
        <v>LCOQ2</v>
      </c>
      <c r="AF1306" s="80" t="str">
        <f t="shared" si="222"/>
        <v>CLQ2</v>
      </c>
      <c r="AG1306" s="80" t="str">
        <f t="shared" si="223"/>
        <v>LCOU2</v>
      </c>
      <c r="AH1306" s="80" t="str">
        <f t="shared" si="224"/>
        <v>LCOV2</v>
      </c>
    </row>
    <row r="1307" spans="25:34" x14ac:dyDescent="0.35">
      <c r="Y1307" s="74">
        <f t="shared" si="215"/>
        <v>44710</v>
      </c>
      <c r="Z1307" s="74" t="e">
        <f t="shared" ca="1" si="216"/>
        <v>#N/A</v>
      </c>
      <c r="AA1307" s="80" t="str">
        <f t="shared" ca="1" si="217"/>
        <v>CLN2</v>
      </c>
      <c r="AB1307" s="74" t="e">
        <f t="shared" si="219"/>
        <v>#N/A</v>
      </c>
      <c r="AC1307" s="80" t="str">
        <f t="shared" si="218"/>
        <v>LCON2</v>
      </c>
      <c r="AD1307" s="80" t="str">
        <f t="shared" si="220"/>
        <v>CLN2</v>
      </c>
      <c r="AE1307" s="80" t="str">
        <f t="shared" si="221"/>
        <v>LCOQ2</v>
      </c>
      <c r="AF1307" s="80" t="str">
        <f t="shared" si="222"/>
        <v>CLQ2</v>
      </c>
      <c r="AG1307" s="80" t="str">
        <f t="shared" si="223"/>
        <v>LCOU2</v>
      </c>
      <c r="AH1307" s="80" t="str">
        <f t="shared" si="224"/>
        <v>LCOV2</v>
      </c>
    </row>
    <row r="1308" spans="25:34" x14ac:dyDescent="0.35">
      <c r="Y1308" s="74">
        <f t="shared" si="215"/>
        <v>44711</v>
      </c>
      <c r="Z1308" s="74" t="e">
        <f t="shared" ca="1" si="216"/>
        <v>#N/A</v>
      </c>
      <c r="AA1308" s="80" t="str">
        <f t="shared" ca="1" si="217"/>
        <v>CLN2</v>
      </c>
      <c r="AB1308" s="74" t="e">
        <f t="shared" si="219"/>
        <v>#N/A</v>
      </c>
      <c r="AC1308" s="80" t="str">
        <f t="shared" si="218"/>
        <v>LCON2</v>
      </c>
      <c r="AD1308" s="80" t="str">
        <f t="shared" si="220"/>
        <v>CLN2</v>
      </c>
      <c r="AE1308" s="80" t="str">
        <f t="shared" si="221"/>
        <v>LCOQ2</v>
      </c>
      <c r="AF1308" s="80" t="str">
        <f t="shared" si="222"/>
        <v>CLQ2</v>
      </c>
      <c r="AG1308" s="80" t="str">
        <f t="shared" si="223"/>
        <v>LCOU2</v>
      </c>
      <c r="AH1308" s="80" t="str">
        <f t="shared" si="224"/>
        <v>LCOV2</v>
      </c>
    </row>
    <row r="1309" spans="25:34" x14ac:dyDescent="0.35">
      <c r="Y1309" s="74">
        <f t="shared" si="215"/>
        <v>44712</v>
      </c>
      <c r="Z1309" s="74" t="e">
        <f t="shared" ca="1" si="216"/>
        <v>#N/A</v>
      </c>
      <c r="AA1309" s="80" t="str">
        <f t="shared" ca="1" si="217"/>
        <v>CLN2</v>
      </c>
      <c r="AB1309" s="74" t="e">
        <f t="shared" si="219"/>
        <v>#N/A</v>
      </c>
      <c r="AC1309" s="80" t="str">
        <f t="shared" si="218"/>
        <v>LCON2</v>
      </c>
      <c r="AD1309" s="80" t="str">
        <f t="shared" si="220"/>
        <v>CLN2</v>
      </c>
      <c r="AE1309" s="80" t="str">
        <f t="shared" si="221"/>
        <v>LCOQ2</v>
      </c>
      <c r="AF1309" s="80" t="str">
        <f t="shared" si="222"/>
        <v>CLQ2</v>
      </c>
      <c r="AG1309" s="80" t="str">
        <f t="shared" si="223"/>
        <v>LCOU2</v>
      </c>
      <c r="AH1309" s="80" t="str">
        <f t="shared" si="224"/>
        <v>LCOV2</v>
      </c>
    </row>
    <row r="1310" spans="25:34" x14ac:dyDescent="0.35">
      <c r="Y1310" s="74">
        <f t="shared" si="215"/>
        <v>44713</v>
      </c>
      <c r="Z1310" s="74" t="e">
        <f t="shared" ca="1" si="216"/>
        <v>#N/A</v>
      </c>
      <c r="AA1310" s="80" t="str">
        <f t="shared" ca="1" si="217"/>
        <v>CLN2</v>
      </c>
      <c r="AB1310" s="74" t="e">
        <f t="shared" si="219"/>
        <v>#N/A</v>
      </c>
      <c r="AC1310" s="80" t="str">
        <f t="shared" si="218"/>
        <v>LCOQ2</v>
      </c>
      <c r="AD1310" s="80" t="str">
        <f t="shared" si="220"/>
        <v>CLQ2</v>
      </c>
      <c r="AE1310" s="80" t="str">
        <f t="shared" si="221"/>
        <v>LCOU2</v>
      </c>
      <c r="AF1310" s="80" t="str">
        <f t="shared" si="222"/>
        <v>CLU2</v>
      </c>
      <c r="AG1310" s="80" t="str">
        <f t="shared" si="223"/>
        <v>LCOV2</v>
      </c>
      <c r="AH1310" s="80" t="str">
        <f t="shared" si="224"/>
        <v>LCOX2</v>
      </c>
    </row>
    <row r="1311" spans="25:34" x14ac:dyDescent="0.35">
      <c r="Y1311" s="74">
        <f t="shared" si="215"/>
        <v>44714</v>
      </c>
      <c r="Z1311" s="74" t="e">
        <f t="shared" ca="1" si="216"/>
        <v>#N/A</v>
      </c>
      <c r="AA1311" s="80" t="str">
        <f t="shared" ca="1" si="217"/>
        <v>CLN2</v>
      </c>
      <c r="AB1311" s="74" t="e">
        <f t="shared" si="219"/>
        <v>#N/A</v>
      </c>
      <c r="AC1311" s="80" t="str">
        <f t="shared" si="218"/>
        <v>LCOQ2</v>
      </c>
      <c r="AD1311" s="80" t="str">
        <f t="shared" si="220"/>
        <v>CLQ2</v>
      </c>
      <c r="AE1311" s="80" t="str">
        <f t="shared" si="221"/>
        <v>LCOU2</v>
      </c>
      <c r="AF1311" s="80" t="str">
        <f t="shared" si="222"/>
        <v>CLU2</v>
      </c>
      <c r="AG1311" s="80" t="str">
        <f t="shared" si="223"/>
        <v>LCOV2</v>
      </c>
      <c r="AH1311" s="80" t="str">
        <f t="shared" si="224"/>
        <v>LCOX2</v>
      </c>
    </row>
    <row r="1312" spans="25:34" x14ac:dyDescent="0.35">
      <c r="Y1312" s="74">
        <f t="shared" si="215"/>
        <v>44715</v>
      </c>
      <c r="Z1312" s="74" t="e">
        <f t="shared" ca="1" si="216"/>
        <v>#N/A</v>
      </c>
      <c r="AA1312" s="80" t="str">
        <f t="shared" ca="1" si="217"/>
        <v>CLN2</v>
      </c>
      <c r="AB1312" s="74" t="e">
        <f t="shared" si="219"/>
        <v>#N/A</v>
      </c>
      <c r="AC1312" s="80" t="str">
        <f t="shared" si="218"/>
        <v>LCOQ2</v>
      </c>
      <c r="AD1312" s="80" t="str">
        <f t="shared" si="220"/>
        <v>CLQ2</v>
      </c>
      <c r="AE1312" s="80" t="str">
        <f t="shared" si="221"/>
        <v>LCOU2</v>
      </c>
      <c r="AF1312" s="80" t="str">
        <f t="shared" si="222"/>
        <v>CLU2</v>
      </c>
      <c r="AG1312" s="80" t="str">
        <f t="shared" si="223"/>
        <v>LCOV2</v>
      </c>
      <c r="AH1312" s="80" t="str">
        <f t="shared" si="224"/>
        <v>LCOX2</v>
      </c>
    </row>
    <row r="1313" spans="25:34" x14ac:dyDescent="0.35">
      <c r="Y1313" s="74">
        <f t="shared" ref="Y1313:Y1376" si="225">Y1312+1</f>
        <v>44716</v>
      </c>
      <c r="Z1313" s="74" t="e">
        <f t="shared" ca="1" si="216"/>
        <v>#N/A</v>
      </c>
      <c r="AA1313" s="80" t="str">
        <f t="shared" ca="1" si="217"/>
        <v>CLN2</v>
      </c>
      <c r="AB1313" s="74" t="e">
        <f t="shared" si="219"/>
        <v>#N/A</v>
      </c>
      <c r="AC1313" s="80" t="str">
        <f t="shared" si="218"/>
        <v>LCOQ2</v>
      </c>
      <c r="AD1313" s="80" t="str">
        <f t="shared" si="220"/>
        <v>CLQ2</v>
      </c>
      <c r="AE1313" s="80" t="str">
        <f t="shared" si="221"/>
        <v>LCOU2</v>
      </c>
      <c r="AF1313" s="80" t="str">
        <f t="shared" si="222"/>
        <v>CLU2</v>
      </c>
      <c r="AG1313" s="80" t="str">
        <f t="shared" si="223"/>
        <v>LCOV2</v>
      </c>
      <c r="AH1313" s="80" t="str">
        <f t="shared" si="224"/>
        <v>LCOX2</v>
      </c>
    </row>
    <row r="1314" spans="25:34" x14ac:dyDescent="0.35">
      <c r="Y1314" s="74">
        <f t="shared" si="225"/>
        <v>44717</v>
      </c>
      <c r="Z1314" s="74" t="e">
        <f t="shared" ca="1" si="216"/>
        <v>#N/A</v>
      </c>
      <c r="AA1314" s="80" t="str">
        <f t="shared" ca="1" si="217"/>
        <v>CLN2</v>
      </c>
      <c r="AB1314" s="74" t="e">
        <f t="shared" si="219"/>
        <v>#N/A</v>
      </c>
      <c r="AC1314" s="80" t="str">
        <f t="shared" si="218"/>
        <v>LCOQ2</v>
      </c>
      <c r="AD1314" s="80" t="str">
        <f t="shared" si="220"/>
        <v>CLQ2</v>
      </c>
      <c r="AE1314" s="80" t="str">
        <f t="shared" si="221"/>
        <v>LCOU2</v>
      </c>
      <c r="AF1314" s="80" t="str">
        <f t="shared" si="222"/>
        <v>CLU2</v>
      </c>
      <c r="AG1314" s="80" t="str">
        <f t="shared" si="223"/>
        <v>LCOV2</v>
      </c>
      <c r="AH1314" s="80" t="str">
        <f t="shared" si="224"/>
        <v>LCOX2</v>
      </c>
    </row>
    <row r="1315" spans="25:34" x14ac:dyDescent="0.35">
      <c r="Y1315" s="74">
        <f t="shared" si="225"/>
        <v>44718</v>
      </c>
      <c r="Z1315" s="74" t="e">
        <f t="shared" ca="1" si="216"/>
        <v>#N/A</v>
      </c>
      <c r="AA1315" s="80" t="str">
        <f t="shared" ca="1" si="217"/>
        <v>CLN2</v>
      </c>
      <c r="AB1315" s="74" t="e">
        <f t="shared" si="219"/>
        <v>#N/A</v>
      </c>
      <c r="AC1315" s="80" t="str">
        <f t="shared" si="218"/>
        <v>LCOQ2</v>
      </c>
      <c r="AD1315" s="80" t="str">
        <f t="shared" si="220"/>
        <v>CLQ2</v>
      </c>
      <c r="AE1315" s="80" t="str">
        <f t="shared" si="221"/>
        <v>LCOU2</v>
      </c>
      <c r="AF1315" s="80" t="str">
        <f t="shared" si="222"/>
        <v>CLU2</v>
      </c>
      <c r="AG1315" s="80" t="str">
        <f t="shared" si="223"/>
        <v>LCOV2</v>
      </c>
      <c r="AH1315" s="80" t="str">
        <f t="shared" si="224"/>
        <v>LCOX2</v>
      </c>
    </row>
    <row r="1316" spans="25:34" x14ac:dyDescent="0.35">
      <c r="Y1316" s="74">
        <f t="shared" si="225"/>
        <v>44719</v>
      </c>
      <c r="Z1316" s="74" t="e">
        <f t="shared" ca="1" si="216"/>
        <v>#N/A</v>
      </c>
      <c r="AA1316" s="80" t="str">
        <f t="shared" ca="1" si="217"/>
        <v>CLN2</v>
      </c>
      <c r="AB1316" s="74" t="e">
        <f t="shared" si="219"/>
        <v>#N/A</v>
      </c>
      <c r="AC1316" s="80" t="str">
        <f t="shared" si="218"/>
        <v>LCOQ2</v>
      </c>
      <c r="AD1316" s="80" t="str">
        <f t="shared" si="220"/>
        <v>CLQ2</v>
      </c>
      <c r="AE1316" s="80" t="str">
        <f t="shared" si="221"/>
        <v>LCOU2</v>
      </c>
      <c r="AF1316" s="80" t="str">
        <f t="shared" si="222"/>
        <v>CLU2</v>
      </c>
      <c r="AG1316" s="80" t="str">
        <f t="shared" si="223"/>
        <v>LCOV2</v>
      </c>
      <c r="AH1316" s="80" t="str">
        <f t="shared" si="224"/>
        <v>LCOX2</v>
      </c>
    </row>
    <row r="1317" spans="25:34" x14ac:dyDescent="0.35">
      <c r="Y1317" s="74">
        <f t="shared" si="225"/>
        <v>44720</v>
      </c>
      <c r="Z1317" s="74" t="e">
        <f t="shared" ca="1" si="216"/>
        <v>#N/A</v>
      </c>
      <c r="AA1317" s="80" t="str">
        <f t="shared" ca="1" si="217"/>
        <v>CLN2</v>
      </c>
      <c r="AB1317" s="74" t="e">
        <f t="shared" si="219"/>
        <v>#N/A</v>
      </c>
      <c r="AC1317" s="80" t="str">
        <f t="shared" si="218"/>
        <v>LCOQ2</v>
      </c>
      <c r="AD1317" s="80" t="str">
        <f t="shared" si="220"/>
        <v>CLQ2</v>
      </c>
      <c r="AE1317" s="80" t="str">
        <f t="shared" si="221"/>
        <v>LCOU2</v>
      </c>
      <c r="AF1317" s="80" t="str">
        <f t="shared" si="222"/>
        <v>CLU2</v>
      </c>
      <c r="AG1317" s="80" t="str">
        <f t="shared" si="223"/>
        <v>LCOV2</v>
      </c>
      <c r="AH1317" s="80" t="str">
        <f t="shared" si="224"/>
        <v>LCOX2</v>
      </c>
    </row>
    <row r="1318" spans="25:34" x14ac:dyDescent="0.35">
      <c r="Y1318" s="74">
        <f t="shared" si="225"/>
        <v>44721</v>
      </c>
      <c r="Z1318" s="74" t="e">
        <f t="shared" ca="1" si="216"/>
        <v>#N/A</v>
      </c>
      <c r="AA1318" s="80" t="str">
        <f t="shared" ca="1" si="217"/>
        <v>CLN2</v>
      </c>
      <c r="AB1318" s="74" t="e">
        <f t="shared" si="219"/>
        <v>#N/A</v>
      </c>
      <c r="AC1318" s="80" t="str">
        <f t="shared" si="218"/>
        <v>LCOQ2</v>
      </c>
      <c r="AD1318" s="80" t="str">
        <f t="shared" si="220"/>
        <v>CLQ2</v>
      </c>
      <c r="AE1318" s="80" t="str">
        <f t="shared" si="221"/>
        <v>LCOU2</v>
      </c>
      <c r="AF1318" s="80" t="str">
        <f t="shared" si="222"/>
        <v>CLU2</v>
      </c>
      <c r="AG1318" s="80" t="str">
        <f t="shared" si="223"/>
        <v>LCOV2</v>
      </c>
      <c r="AH1318" s="80" t="str">
        <f t="shared" si="224"/>
        <v>LCOX2</v>
      </c>
    </row>
    <row r="1319" spans="25:34" x14ac:dyDescent="0.35">
      <c r="Y1319" s="74">
        <f t="shared" si="225"/>
        <v>44722</v>
      </c>
      <c r="Z1319" s="74" t="e">
        <f t="shared" ca="1" si="216"/>
        <v>#N/A</v>
      </c>
      <c r="AA1319" s="80" t="str">
        <f t="shared" ca="1" si="217"/>
        <v>CLN2</v>
      </c>
      <c r="AB1319" s="74" t="e">
        <f t="shared" si="219"/>
        <v>#N/A</v>
      </c>
      <c r="AC1319" s="80" t="str">
        <f t="shared" si="218"/>
        <v>LCOQ2</v>
      </c>
      <c r="AD1319" s="80" t="str">
        <f t="shared" si="220"/>
        <v>CLQ2</v>
      </c>
      <c r="AE1319" s="80" t="str">
        <f t="shared" si="221"/>
        <v>LCOU2</v>
      </c>
      <c r="AF1319" s="80" t="str">
        <f t="shared" si="222"/>
        <v>CLU2</v>
      </c>
      <c r="AG1319" s="80" t="str">
        <f t="shared" si="223"/>
        <v>LCOV2</v>
      </c>
      <c r="AH1319" s="80" t="str">
        <f t="shared" si="224"/>
        <v>LCOX2</v>
      </c>
    </row>
    <row r="1320" spans="25:34" x14ac:dyDescent="0.35">
      <c r="Y1320" s="74">
        <f t="shared" si="225"/>
        <v>44723</v>
      </c>
      <c r="Z1320" s="74" t="e">
        <f t="shared" ca="1" si="216"/>
        <v>#N/A</v>
      </c>
      <c r="AA1320" s="80" t="str">
        <f t="shared" ca="1" si="217"/>
        <v>CLN2</v>
      </c>
      <c r="AB1320" s="74" t="e">
        <f t="shared" si="219"/>
        <v>#N/A</v>
      </c>
      <c r="AC1320" s="80" t="str">
        <f t="shared" si="218"/>
        <v>LCOQ2</v>
      </c>
      <c r="AD1320" s="80" t="str">
        <f t="shared" si="220"/>
        <v>CLQ2</v>
      </c>
      <c r="AE1320" s="80" t="str">
        <f t="shared" si="221"/>
        <v>LCOU2</v>
      </c>
      <c r="AF1320" s="80" t="str">
        <f t="shared" si="222"/>
        <v>CLU2</v>
      </c>
      <c r="AG1320" s="80" t="str">
        <f t="shared" si="223"/>
        <v>LCOV2</v>
      </c>
      <c r="AH1320" s="80" t="str">
        <f t="shared" si="224"/>
        <v>LCOX2</v>
      </c>
    </row>
    <row r="1321" spans="25:34" x14ac:dyDescent="0.35">
      <c r="Y1321" s="74">
        <f t="shared" si="225"/>
        <v>44724</v>
      </c>
      <c r="Z1321" s="74" t="e">
        <f t="shared" ca="1" si="216"/>
        <v>#N/A</v>
      </c>
      <c r="AA1321" s="80" t="str">
        <f t="shared" ca="1" si="217"/>
        <v>CLN2</v>
      </c>
      <c r="AB1321" s="74" t="e">
        <f t="shared" si="219"/>
        <v>#N/A</v>
      </c>
      <c r="AC1321" s="80" t="str">
        <f t="shared" si="218"/>
        <v>LCOQ2</v>
      </c>
      <c r="AD1321" s="80" t="str">
        <f t="shared" si="220"/>
        <v>CLQ2</v>
      </c>
      <c r="AE1321" s="80" t="str">
        <f t="shared" si="221"/>
        <v>LCOU2</v>
      </c>
      <c r="AF1321" s="80" t="str">
        <f t="shared" si="222"/>
        <v>CLU2</v>
      </c>
      <c r="AG1321" s="80" t="str">
        <f t="shared" si="223"/>
        <v>LCOV2</v>
      </c>
      <c r="AH1321" s="80" t="str">
        <f t="shared" si="224"/>
        <v>LCOX2</v>
      </c>
    </row>
    <row r="1322" spans="25:34" x14ac:dyDescent="0.35">
      <c r="Y1322" s="74">
        <f t="shared" si="225"/>
        <v>44725</v>
      </c>
      <c r="Z1322" s="74" t="e">
        <f t="shared" ca="1" si="216"/>
        <v>#N/A</v>
      </c>
      <c r="AA1322" s="80" t="str">
        <f t="shared" ca="1" si="217"/>
        <v>CLN2</v>
      </c>
      <c r="AB1322" s="74" t="e">
        <f t="shared" si="219"/>
        <v>#N/A</v>
      </c>
      <c r="AC1322" s="80" t="str">
        <f t="shared" si="218"/>
        <v>LCOQ2</v>
      </c>
      <c r="AD1322" s="80" t="str">
        <f t="shared" si="220"/>
        <v>CLQ2</v>
      </c>
      <c r="AE1322" s="80" t="str">
        <f t="shared" si="221"/>
        <v>LCOU2</v>
      </c>
      <c r="AF1322" s="80" t="str">
        <f t="shared" si="222"/>
        <v>CLU2</v>
      </c>
      <c r="AG1322" s="80" t="str">
        <f t="shared" si="223"/>
        <v>LCOV2</v>
      </c>
      <c r="AH1322" s="80" t="str">
        <f t="shared" si="224"/>
        <v>LCOX2</v>
      </c>
    </row>
    <row r="1323" spans="25:34" x14ac:dyDescent="0.35">
      <c r="Y1323" s="74">
        <f t="shared" si="225"/>
        <v>44726</v>
      </c>
      <c r="Z1323" s="74" t="e">
        <f t="shared" ca="1" si="216"/>
        <v>#N/A</v>
      </c>
      <c r="AA1323" s="80" t="str">
        <f t="shared" ca="1" si="217"/>
        <v>CLN2</v>
      </c>
      <c r="AB1323" s="74" t="e">
        <f t="shared" si="219"/>
        <v>#N/A</v>
      </c>
      <c r="AC1323" s="80" t="str">
        <f t="shared" si="218"/>
        <v>LCOQ2</v>
      </c>
      <c r="AD1323" s="80" t="str">
        <f t="shared" si="220"/>
        <v>CLQ2</v>
      </c>
      <c r="AE1323" s="80" t="str">
        <f t="shared" si="221"/>
        <v>LCOU2</v>
      </c>
      <c r="AF1323" s="80" t="str">
        <f t="shared" si="222"/>
        <v>CLU2</v>
      </c>
      <c r="AG1323" s="80" t="str">
        <f t="shared" si="223"/>
        <v>LCOV2</v>
      </c>
      <c r="AH1323" s="80" t="str">
        <f t="shared" si="224"/>
        <v>LCOX2</v>
      </c>
    </row>
    <row r="1324" spans="25:34" x14ac:dyDescent="0.35">
      <c r="Y1324" s="74">
        <f t="shared" si="225"/>
        <v>44727</v>
      </c>
      <c r="Z1324" s="74" t="e">
        <f t="shared" ca="1" si="216"/>
        <v>#N/A</v>
      </c>
      <c r="AA1324" s="80" t="str">
        <f t="shared" ca="1" si="217"/>
        <v>CLN2</v>
      </c>
      <c r="AB1324" s="74" t="e">
        <f t="shared" si="219"/>
        <v>#N/A</v>
      </c>
      <c r="AC1324" s="80" t="str">
        <f t="shared" si="218"/>
        <v>LCOQ2</v>
      </c>
      <c r="AD1324" s="80" t="str">
        <f t="shared" si="220"/>
        <v>CLQ2</v>
      </c>
      <c r="AE1324" s="80" t="str">
        <f t="shared" si="221"/>
        <v>LCOU2</v>
      </c>
      <c r="AF1324" s="80" t="str">
        <f t="shared" si="222"/>
        <v>CLU2</v>
      </c>
      <c r="AG1324" s="80" t="str">
        <f t="shared" si="223"/>
        <v>LCOV2</v>
      </c>
      <c r="AH1324" s="80" t="str">
        <f t="shared" si="224"/>
        <v>LCOX2</v>
      </c>
    </row>
    <row r="1325" spans="25:34" x14ac:dyDescent="0.35">
      <c r="Y1325" s="74">
        <f t="shared" si="225"/>
        <v>44728</v>
      </c>
      <c r="Z1325" s="74" t="e">
        <f t="shared" ca="1" si="216"/>
        <v>#N/A</v>
      </c>
      <c r="AA1325" s="80" t="str">
        <f t="shared" ca="1" si="217"/>
        <v>CLN2</v>
      </c>
      <c r="AB1325" s="74" t="e">
        <f t="shared" si="219"/>
        <v>#N/A</v>
      </c>
      <c r="AC1325" s="80" t="str">
        <f t="shared" si="218"/>
        <v>LCOQ2</v>
      </c>
      <c r="AD1325" s="80" t="str">
        <f t="shared" si="220"/>
        <v>CLQ2</v>
      </c>
      <c r="AE1325" s="80" t="str">
        <f t="shared" si="221"/>
        <v>LCOU2</v>
      </c>
      <c r="AF1325" s="80" t="str">
        <f t="shared" si="222"/>
        <v>CLU2</v>
      </c>
      <c r="AG1325" s="80" t="str">
        <f t="shared" si="223"/>
        <v>LCOV2</v>
      </c>
      <c r="AH1325" s="80" t="str">
        <f t="shared" si="224"/>
        <v>LCOX2</v>
      </c>
    </row>
    <row r="1326" spans="25:34" x14ac:dyDescent="0.35">
      <c r="Y1326" s="74">
        <f t="shared" si="225"/>
        <v>44729</v>
      </c>
      <c r="Z1326" s="74" t="e">
        <f t="shared" ca="1" si="216"/>
        <v>#N/A</v>
      </c>
      <c r="AA1326" s="80" t="str">
        <f t="shared" ca="1" si="217"/>
        <v>CLN2</v>
      </c>
      <c r="AB1326" s="74" t="e">
        <f t="shared" si="219"/>
        <v>#N/A</v>
      </c>
      <c r="AC1326" s="80" t="str">
        <f t="shared" si="218"/>
        <v>LCOQ2</v>
      </c>
      <c r="AD1326" s="80" t="str">
        <f t="shared" si="220"/>
        <v>CLQ2</v>
      </c>
      <c r="AE1326" s="80" t="str">
        <f t="shared" si="221"/>
        <v>LCOU2</v>
      </c>
      <c r="AF1326" s="80" t="str">
        <f t="shared" si="222"/>
        <v>CLU2</v>
      </c>
      <c r="AG1326" s="80" t="str">
        <f t="shared" si="223"/>
        <v>LCOV2</v>
      </c>
      <c r="AH1326" s="80" t="str">
        <f t="shared" si="224"/>
        <v>LCOX2</v>
      </c>
    </row>
    <row r="1327" spans="25:34" x14ac:dyDescent="0.35">
      <c r="Y1327" s="74">
        <f t="shared" si="225"/>
        <v>44730</v>
      </c>
      <c r="Z1327" s="74" t="e">
        <f t="shared" ca="1" si="216"/>
        <v>#N/A</v>
      </c>
      <c r="AA1327" s="80" t="str">
        <f t="shared" ca="1" si="217"/>
        <v>CLN2</v>
      </c>
      <c r="AB1327" s="74" t="e">
        <f t="shared" si="219"/>
        <v>#N/A</v>
      </c>
      <c r="AC1327" s="80" t="str">
        <f t="shared" si="218"/>
        <v>LCOQ2</v>
      </c>
      <c r="AD1327" s="80" t="str">
        <f t="shared" si="220"/>
        <v>CLQ2</v>
      </c>
      <c r="AE1327" s="80" t="str">
        <f t="shared" si="221"/>
        <v>LCOU2</v>
      </c>
      <c r="AF1327" s="80" t="str">
        <f t="shared" si="222"/>
        <v>CLU2</v>
      </c>
      <c r="AG1327" s="80" t="str">
        <f t="shared" si="223"/>
        <v>LCOV2</v>
      </c>
      <c r="AH1327" s="80" t="str">
        <f t="shared" si="224"/>
        <v>LCOX2</v>
      </c>
    </row>
    <row r="1328" spans="25:34" x14ac:dyDescent="0.35">
      <c r="Y1328" s="74">
        <f t="shared" si="225"/>
        <v>44731</v>
      </c>
      <c r="Z1328" s="74" t="e">
        <f t="shared" ca="1" si="216"/>
        <v>#N/A</v>
      </c>
      <c r="AA1328" s="80" t="str">
        <f t="shared" ca="1" si="217"/>
        <v>CLN2</v>
      </c>
      <c r="AB1328" s="74" t="e">
        <f t="shared" si="219"/>
        <v>#N/A</v>
      </c>
      <c r="AC1328" s="80" t="str">
        <f t="shared" si="218"/>
        <v>LCOQ2</v>
      </c>
      <c r="AD1328" s="80" t="str">
        <f t="shared" si="220"/>
        <v>CLQ2</v>
      </c>
      <c r="AE1328" s="80" t="str">
        <f t="shared" si="221"/>
        <v>LCOU2</v>
      </c>
      <c r="AF1328" s="80" t="str">
        <f t="shared" si="222"/>
        <v>CLU2</v>
      </c>
      <c r="AG1328" s="80" t="str">
        <f t="shared" si="223"/>
        <v>LCOV2</v>
      </c>
      <c r="AH1328" s="80" t="str">
        <f t="shared" si="224"/>
        <v>LCOX2</v>
      </c>
    </row>
    <row r="1329" spans="25:34" x14ac:dyDescent="0.35">
      <c r="Y1329" s="74">
        <f t="shared" si="225"/>
        <v>44732</v>
      </c>
      <c r="Z1329" s="74" t="e">
        <f t="shared" ca="1" si="216"/>
        <v>#N/A</v>
      </c>
      <c r="AA1329" s="80" t="str">
        <f t="shared" ca="1" si="217"/>
        <v>CLN2</v>
      </c>
      <c r="AB1329" s="74" t="e">
        <f t="shared" si="219"/>
        <v>#N/A</v>
      </c>
      <c r="AC1329" s="80" t="str">
        <f t="shared" si="218"/>
        <v>LCOQ2</v>
      </c>
      <c r="AD1329" s="80" t="str">
        <f t="shared" si="220"/>
        <v>CLQ2</v>
      </c>
      <c r="AE1329" s="80" t="str">
        <f t="shared" si="221"/>
        <v>LCOU2</v>
      </c>
      <c r="AF1329" s="80" t="str">
        <f t="shared" si="222"/>
        <v>CLU2</v>
      </c>
      <c r="AG1329" s="80" t="str">
        <f t="shared" si="223"/>
        <v>LCOV2</v>
      </c>
      <c r="AH1329" s="80" t="str">
        <f t="shared" si="224"/>
        <v>LCOX2</v>
      </c>
    </row>
    <row r="1330" spans="25:34" x14ac:dyDescent="0.35">
      <c r="Y1330" s="74">
        <f t="shared" si="225"/>
        <v>44733</v>
      </c>
      <c r="Z1330" s="74" t="e">
        <f t="shared" ca="1" si="216"/>
        <v>#N/A</v>
      </c>
      <c r="AA1330" s="80" t="str">
        <f t="shared" ca="1" si="217"/>
        <v>CLN2</v>
      </c>
      <c r="AB1330" s="74" t="e">
        <f t="shared" si="219"/>
        <v>#N/A</v>
      </c>
      <c r="AC1330" s="80" t="str">
        <f t="shared" si="218"/>
        <v>LCOQ2</v>
      </c>
      <c r="AD1330" s="80" t="str">
        <f t="shared" si="220"/>
        <v>CLQ2</v>
      </c>
      <c r="AE1330" s="80" t="str">
        <f t="shared" si="221"/>
        <v>LCOU2</v>
      </c>
      <c r="AF1330" s="80" t="str">
        <f t="shared" si="222"/>
        <v>CLU2</v>
      </c>
      <c r="AG1330" s="80" t="str">
        <f t="shared" si="223"/>
        <v>LCOV2</v>
      </c>
      <c r="AH1330" s="80" t="str">
        <f t="shared" si="224"/>
        <v>LCOX2</v>
      </c>
    </row>
    <row r="1331" spans="25:34" x14ac:dyDescent="0.35">
      <c r="Y1331" s="74">
        <f t="shared" si="225"/>
        <v>44734</v>
      </c>
      <c r="Z1331" s="74" t="e">
        <f t="shared" ca="1" si="216"/>
        <v>#N/A</v>
      </c>
      <c r="AA1331" s="80" t="str">
        <f t="shared" ca="1" si="217"/>
        <v>CLQ2</v>
      </c>
      <c r="AB1331" s="74" t="e">
        <f t="shared" si="219"/>
        <v>#N/A</v>
      </c>
      <c r="AC1331" s="80" t="str">
        <f t="shared" si="218"/>
        <v>LCOQ2</v>
      </c>
      <c r="AD1331" s="80" t="str">
        <f t="shared" si="220"/>
        <v>CLQ2</v>
      </c>
      <c r="AE1331" s="80" t="str">
        <f t="shared" si="221"/>
        <v>LCOU2</v>
      </c>
      <c r="AF1331" s="80" t="str">
        <f t="shared" si="222"/>
        <v>CLU2</v>
      </c>
      <c r="AG1331" s="80" t="str">
        <f t="shared" si="223"/>
        <v>LCOV2</v>
      </c>
      <c r="AH1331" s="80" t="str">
        <f t="shared" si="224"/>
        <v>LCOX2</v>
      </c>
    </row>
    <row r="1332" spans="25:34" x14ac:dyDescent="0.35">
      <c r="Y1332" s="74">
        <f t="shared" si="225"/>
        <v>44735</v>
      </c>
      <c r="Z1332" s="74" t="e">
        <f t="shared" ca="1" si="216"/>
        <v>#N/A</v>
      </c>
      <c r="AA1332" s="80" t="str">
        <f t="shared" ca="1" si="217"/>
        <v>CLQ2</v>
      </c>
      <c r="AB1332" s="74" t="e">
        <f t="shared" si="219"/>
        <v>#N/A</v>
      </c>
      <c r="AC1332" s="80" t="str">
        <f t="shared" si="218"/>
        <v>LCOQ2</v>
      </c>
      <c r="AD1332" s="80" t="str">
        <f t="shared" si="220"/>
        <v>CLQ2</v>
      </c>
      <c r="AE1332" s="80" t="str">
        <f t="shared" si="221"/>
        <v>LCOU2</v>
      </c>
      <c r="AF1332" s="80" t="str">
        <f t="shared" si="222"/>
        <v>CLU2</v>
      </c>
      <c r="AG1332" s="80" t="str">
        <f t="shared" si="223"/>
        <v>LCOV2</v>
      </c>
      <c r="AH1332" s="80" t="str">
        <f t="shared" si="224"/>
        <v>LCOX2</v>
      </c>
    </row>
    <row r="1333" spans="25:34" x14ac:dyDescent="0.35">
      <c r="Y1333" s="74">
        <f t="shared" si="225"/>
        <v>44736</v>
      </c>
      <c r="Z1333" s="74" t="e">
        <f t="shared" ca="1" si="216"/>
        <v>#N/A</v>
      </c>
      <c r="AA1333" s="80" t="str">
        <f t="shared" ca="1" si="217"/>
        <v>CLQ2</v>
      </c>
      <c r="AB1333" s="74" t="e">
        <f t="shared" si="219"/>
        <v>#N/A</v>
      </c>
      <c r="AC1333" s="80" t="str">
        <f t="shared" si="218"/>
        <v>LCOQ2</v>
      </c>
      <c r="AD1333" s="80" t="str">
        <f t="shared" si="220"/>
        <v>CLQ2</v>
      </c>
      <c r="AE1333" s="80" t="str">
        <f t="shared" si="221"/>
        <v>LCOU2</v>
      </c>
      <c r="AF1333" s="80" t="str">
        <f t="shared" si="222"/>
        <v>CLU2</v>
      </c>
      <c r="AG1333" s="80" t="str">
        <f t="shared" si="223"/>
        <v>LCOV2</v>
      </c>
      <c r="AH1333" s="80" t="str">
        <f t="shared" si="224"/>
        <v>LCOX2</v>
      </c>
    </row>
    <row r="1334" spans="25:34" x14ac:dyDescent="0.35">
      <c r="Y1334" s="74">
        <f t="shared" si="225"/>
        <v>44737</v>
      </c>
      <c r="Z1334" s="74" t="e">
        <f t="shared" ca="1" si="216"/>
        <v>#N/A</v>
      </c>
      <c r="AA1334" s="80" t="str">
        <f t="shared" ca="1" si="217"/>
        <v>CLQ2</v>
      </c>
      <c r="AB1334" s="74" t="e">
        <f t="shared" si="219"/>
        <v>#N/A</v>
      </c>
      <c r="AC1334" s="80" t="str">
        <f t="shared" si="218"/>
        <v>LCOQ2</v>
      </c>
      <c r="AD1334" s="80" t="str">
        <f t="shared" si="220"/>
        <v>CLQ2</v>
      </c>
      <c r="AE1334" s="80" t="str">
        <f t="shared" si="221"/>
        <v>LCOU2</v>
      </c>
      <c r="AF1334" s="80" t="str">
        <f t="shared" si="222"/>
        <v>CLU2</v>
      </c>
      <c r="AG1334" s="80" t="str">
        <f t="shared" si="223"/>
        <v>LCOV2</v>
      </c>
      <c r="AH1334" s="80" t="str">
        <f t="shared" si="224"/>
        <v>LCOX2</v>
      </c>
    </row>
    <row r="1335" spans="25:34" x14ac:dyDescent="0.35">
      <c r="Y1335" s="74">
        <f t="shared" si="225"/>
        <v>44738</v>
      </c>
      <c r="Z1335" s="74" t="e">
        <f t="shared" ca="1" si="216"/>
        <v>#N/A</v>
      </c>
      <c r="AA1335" s="80" t="str">
        <f t="shared" ca="1" si="217"/>
        <v>CLQ2</v>
      </c>
      <c r="AB1335" s="74" t="e">
        <f t="shared" si="219"/>
        <v>#N/A</v>
      </c>
      <c r="AC1335" s="80" t="str">
        <f t="shared" si="218"/>
        <v>LCOQ2</v>
      </c>
      <c r="AD1335" s="80" t="str">
        <f t="shared" si="220"/>
        <v>CLQ2</v>
      </c>
      <c r="AE1335" s="80" t="str">
        <f t="shared" si="221"/>
        <v>LCOU2</v>
      </c>
      <c r="AF1335" s="80" t="str">
        <f t="shared" si="222"/>
        <v>CLU2</v>
      </c>
      <c r="AG1335" s="80" t="str">
        <f t="shared" si="223"/>
        <v>LCOV2</v>
      </c>
      <c r="AH1335" s="80" t="str">
        <f t="shared" si="224"/>
        <v>LCOX2</v>
      </c>
    </row>
    <row r="1336" spans="25:34" x14ac:dyDescent="0.35">
      <c r="Y1336" s="74">
        <f t="shared" si="225"/>
        <v>44739</v>
      </c>
      <c r="Z1336" s="74" t="e">
        <f t="shared" ca="1" si="216"/>
        <v>#N/A</v>
      </c>
      <c r="AA1336" s="80" t="str">
        <f t="shared" ca="1" si="217"/>
        <v>CLQ2</v>
      </c>
      <c r="AB1336" s="74" t="e">
        <f t="shared" si="219"/>
        <v>#N/A</v>
      </c>
      <c r="AC1336" s="80" t="str">
        <f t="shared" si="218"/>
        <v>LCOQ2</v>
      </c>
      <c r="AD1336" s="80" t="str">
        <f t="shared" si="220"/>
        <v>CLQ2</v>
      </c>
      <c r="AE1336" s="80" t="str">
        <f t="shared" si="221"/>
        <v>LCOU2</v>
      </c>
      <c r="AF1336" s="80" t="str">
        <f t="shared" si="222"/>
        <v>CLU2</v>
      </c>
      <c r="AG1336" s="80" t="str">
        <f t="shared" si="223"/>
        <v>LCOV2</v>
      </c>
      <c r="AH1336" s="80" t="str">
        <f t="shared" si="224"/>
        <v>LCOX2</v>
      </c>
    </row>
    <row r="1337" spans="25:34" x14ac:dyDescent="0.35">
      <c r="Y1337" s="74">
        <f t="shared" si="225"/>
        <v>44740</v>
      </c>
      <c r="Z1337" s="74" t="e">
        <f t="shared" ca="1" si="216"/>
        <v>#N/A</v>
      </c>
      <c r="AA1337" s="80" t="str">
        <f t="shared" ca="1" si="217"/>
        <v>CLQ2</v>
      </c>
      <c r="AB1337" s="74" t="e">
        <f t="shared" si="219"/>
        <v>#N/A</v>
      </c>
      <c r="AC1337" s="80" t="str">
        <f t="shared" si="218"/>
        <v>LCOQ2</v>
      </c>
      <c r="AD1337" s="80" t="str">
        <f t="shared" si="220"/>
        <v>CLQ2</v>
      </c>
      <c r="AE1337" s="80" t="str">
        <f t="shared" si="221"/>
        <v>LCOU2</v>
      </c>
      <c r="AF1337" s="80" t="str">
        <f t="shared" si="222"/>
        <v>CLU2</v>
      </c>
      <c r="AG1337" s="80" t="str">
        <f t="shared" si="223"/>
        <v>LCOV2</v>
      </c>
      <c r="AH1337" s="80" t="str">
        <f t="shared" si="224"/>
        <v>LCOX2</v>
      </c>
    </row>
    <row r="1338" spans="25:34" x14ac:dyDescent="0.35">
      <c r="Y1338" s="74">
        <f t="shared" si="225"/>
        <v>44741</v>
      </c>
      <c r="Z1338" s="74" t="e">
        <f t="shared" ca="1" si="216"/>
        <v>#N/A</v>
      </c>
      <c r="AA1338" s="80" t="str">
        <f t="shared" ca="1" si="217"/>
        <v>CLQ2</v>
      </c>
      <c r="AB1338" s="74" t="e">
        <f t="shared" si="219"/>
        <v>#N/A</v>
      </c>
      <c r="AC1338" s="80" t="str">
        <f t="shared" si="218"/>
        <v>LCOQ2</v>
      </c>
      <c r="AD1338" s="80" t="str">
        <f t="shared" si="220"/>
        <v>CLQ2</v>
      </c>
      <c r="AE1338" s="80" t="str">
        <f t="shared" si="221"/>
        <v>LCOU2</v>
      </c>
      <c r="AF1338" s="80" t="str">
        <f t="shared" si="222"/>
        <v>CLU2</v>
      </c>
      <c r="AG1338" s="80" t="str">
        <f t="shared" si="223"/>
        <v>LCOV2</v>
      </c>
      <c r="AH1338" s="80" t="str">
        <f t="shared" si="224"/>
        <v>LCOX2</v>
      </c>
    </row>
    <row r="1339" spans="25:34" x14ac:dyDescent="0.35">
      <c r="Y1339" s="74">
        <f t="shared" si="225"/>
        <v>44742</v>
      </c>
      <c r="Z1339" s="74" t="e">
        <f t="shared" ca="1" si="216"/>
        <v>#N/A</v>
      </c>
      <c r="AA1339" s="80" t="str">
        <f t="shared" ca="1" si="217"/>
        <v>CLQ2</v>
      </c>
      <c r="AB1339" s="74" t="e">
        <f t="shared" si="219"/>
        <v>#N/A</v>
      </c>
      <c r="AC1339" s="80" t="str">
        <f t="shared" si="218"/>
        <v>LCOQ2</v>
      </c>
      <c r="AD1339" s="80" t="str">
        <f t="shared" si="220"/>
        <v>CLQ2</v>
      </c>
      <c r="AE1339" s="80" t="str">
        <f t="shared" si="221"/>
        <v>LCOU2</v>
      </c>
      <c r="AF1339" s="80" t="str">
        <f t="shared" si="222"/>
        <v>CLU2</v>
      </c>
      <c r="AG1339" s="80" t="str">
        <f t="shared" si="223"/>
        <v>LCOV2</v>
      </c>
      <c r="AH1339" s="80" t="str">
        <f t="shared" si="224"/>
        <v>LCOX2</v>
      </c>
    </row>
    <row r="1340" spans="25:34" x14ac:dyDescent="0.35">
      <c r="Y1340" s="74">
        <f t="shared" si="225"/>
        <v>44743</v>
      </c>
      <c r="Z1340" s="74" t="e">
        <f t="shared" ca="1" si="216"/>
        <v>#N/A</v>
      </c>
      <c r="AA1340" s="80" t="str">
        <f t="shared" ca="1" si="217"/>
        <v>CLQ2</v>
      </c>
      <c r="AB1340" s="74" t="e">
        <f t="shared" si="219"/>
        <v>#N/A</v>
      </c>
      <c r="AC1340" s="80" t="str">
        <f t="shared" si="218"/>
        <v>LCOU2</v>
      </c>
      <c r="AD1340" s="80" t="str">
        <f t="shared" si="220"/>
        <v>CLU2</v>
      </c>
      <c r="AE1340" s="80" t="str">
        <f t="shared" si="221"/>
        <v>LCOV2</v>
      </c>
      <c r="AF1340" s="80" t="str">
        <f t="shared" si="222"/>
        <v>CLV2</v>
      </c>
      <c r="AG1340" s="80" t="str">
        <f t="shared" si="223"/>
        <v>LCOX2</v>
      </c>
      <c r="AH1340" s="80" t="str">
        <f t="shared" si="224"/>
        <v>LCOZ2</v>
      </c>
    </row>
    <row r="1341" spans="25:34" x14ac:dyDescent="0.35">
      <c r="Y1341" s="74">
        <f t="shared" si="225"/>
        <v>44744</v>
      </c>
      <c r="Z1341" s="74" t="e">
        <f t="shared" ca="1" si="216"/>
        <v>#N/A</v>
      </c>
      <c r="AA1341" s="80" t="str">
        <f t="shared" ca="1" si="217"/>
        <v>CLQ2</v>
      </c>
      <c r="AB1341" s="74" t="e">
        <f t="shared" si="219"/>
        <v>#N/A</v>
      </c>
      <c r="AC1341" s="80" t="str">
        <f t="shared" si="218"/>
        <v>LCOU2</v>
      </c>
      <c r="AD1341" s="80" t="str">
        <f t="shared" si="220"/>
        <v>CLU2</v>
      </c>
      <c r="AE1341" s="80" t="str">
        <f t="shared" si="221"/>
        <v>LCOV2</v>
      </c>
      <c r="AF1341" s="80" t="str">
        <f t="shared" si="222"/>
        <v>CLV2</v>
      </c>
      <c r="AG1341" s="80" t="str">
        <f t="shared" si="223"/>
        <v>LCOX2</v>
      </c>
      <c r="AH1341" s="80" t="str">
        <f t="shared" si="224"/>
        <v>LCOZ2</v>
      </c>
    </row>
    <row r="1342" spans="25:34" x14ac:dyDescent="0.35">
      <c r="Y1342" s="74">
        <f t="shared" si="225"/>
        <v>44745</v>
      </c>
      <c r="Z1342" s="74" t="e">
        <f t="shared" ca="1" si="216"/>
        <v>#N/A</v>
      </c>
      <c r="AA1342" s="80" t="str">
        <f t="shared" ca="1" si="217"/>
        <v>CLQ2</v>
      </c>
      <c r="AB1342" s="74" t="e">
        <f t="shared" si="219"/>
        <v>#N/A</v>
      </c>
      <c r="AC1342" s="80" t="str">
        <f t="shared" si="218"/>
        <v>LCOU2</v>
      </c>
      <c r="AD1342" s="80" t="str">
        <f t="shared" si="220"/>
        <v>CLU2</v>
      </c>
      <c r="AE1342" s="80" t="str">
        <f t="shared" si="221"/>
        <v>LCOV2</v>
      </c>
      <c r="AF1342" s="80" t="str">
        <f t="shared" si="222"/>
        <v>CLV2</v>
      </c>
      <c r="AG1342" s="80" t="str">
        <f t="shared" si="223"/>
        <v>LCOX2</v>
      </c>
      <c r="AH1342" s="80" t="str">
        <f t="shared" si="224"/>
        <v>LCOZ2</v>
      </c>
    </row>
    <row r="1343" spans="25:34" x14ac:dyDescent="0.35">
      <c r="Y1343" s="74">
        <f t="shared" si="225"/>
        <v>44746</v>
      </c>
      <c r="Z1343" s="74" t="e">
        <f t="shared" ca="1" si="216"/>
        <v>#N/A</v>
      </c>
      <c r="AA1343" s="80" t="str">
        <f t="shared" ca="1" si="217"/>
        <v>CLQ2</v>
      </c>
      <c r="AB1343" s="74" t="e">
        <f t="shared" si="219"/>
        <v>#N/A</v>
      </c>
      <c r="AC1343" s="80" t="str">
        <f t="shared" si="218"/>
        <v>LCOU2</v>
      </c>
      <c r="AD1343" s="80" t="str">
        <f t="shared" si="220"/>
        <v>CLU2</v>
      </c>
      <c r="AE1343" s="80" t="str">
        <f t="shared" si="221"/>
        <v>LCOV2</v>
      </c>
      <c r="AF1343" s="80" t="str">
        <f t="shared" si="222"/>
        <v>CLV2</v>
      </c>
      <c r="AG1343" s="80" t="str">
        <f t="shared" si="223"/>
        <v>LCOX2</v>
      </c>
      <c r="AH1343" s="80" t="str">
        <f t="shared" si="224"/>
        <v>LCOZ2</v>
      </c>
    </row>
    <row r="1344" spans="25:34" x14ac:dyDescent="0.35">
      <c r="Y1344" s="74">
        <f t="shared" si="225"/>
        <v>44747</v>
      </c>
      <c r="Z1344" s="74" t="e">
        <f t="shared" ca="1" si="216"/>
        <v>#N/A</v>
      </c>
      <c r="AA1344" s="80" t="str">
        <f t="shared" ca="1" si="217"/>
        <v>CLQ2</v>
      </c>
      <c r="AB1344" s="74" t="e">
        <f t="shared" si="219"/>
        <v>#N/A</v>
      </c>
      <c r="AC1344" s="80" t="str">
        <f t="shared" si="218"/>
        <v>LCOU2</v>
      </c>
      <c r="AD1344" s="80" t="str">
        <f t="shared" si="220"/>
        <v>CLU2</v>
      </c>
      <c r="AE1344" s="80" t="str">
        <f t="shared" si="221"/>
        <v>LCOV2</v>
      </c>
      <c r="AF1344" s="80" t="str">
        <f t="shared" si="222"/>
        <v>CLV2</v>
      </c>
      <c r="AG1344" s="80" t="str">
        <f t="shared" si="223"/>
        <v>LCOX2</v>
      </c>
      <c r="AH1344" s="80" t="str">
        <f t="shared" si="224"/>
        <v>LCOZ2</v>
      </c>
    </row>
    <row r="1345" spans="25:34" x14ac:dyDescent="0.35">
      <c r="Y1345" s="74">
        <f t="shared" si="225"/>
        <v>44748</v>
      </c>
      <c r="Z1345" s="74" t="e">
        <f t="shared" ca="1" si="216"/>
        <v>#N/A</v>
      </c>
      <c r="AA1345" s="80" t="str">
        <f t="shared" ca="1" si="217"/>
        <v>CLQ2</v>
      </c>
      <c r="AB1345" s="74" t="e">
        <f t="shared" si="219"/>
        <v>#N/A</v>
      </c>
      <c r="AC1345" s="80" t="str">
        <f t="shared" si="218"/>
        <v>LCOU2</v>
      </c>
      <c r="AD1345" s="80" t="str">
        <f t="shared" si="220"/>
        <v>CLU2</v>
      </c>
      <c r="AE1345" s="80" t="str">
        <f t="shared" si="221"/>
        <v>LCOV2</v>
      </c>
      <c r="AF1345" s="80" t="str">
        <f t="shared" si="222"/>
        <v>CLV2</v>
      </c>
      <c r="AG1345" s="80" t="str">
        <f t="shared" si="223"/>
        <v>LCOX2</v>
      </c>
      <c r="AH1345" s="80" t="str">
        <f t="shared" si="224"/>
        <v>LCOZ2</v>
      </c>
    </row>
    <row r="1346" spans="25:34" x14ac:dyDescent="0.35">
      <c r="Y1346" s="74">
        <f t="shared" si="225"/>
        <v>44749</v>
      </c>
      <c r="Z1346" s="74" t="e">
        <f t="shared" ref="Z1346:Z1409" ca="1" si="226">VLOOKUP(AA1346,$I$2:$K$39,3,FALSE)</f>
        <v>#N/A</v>
      </c>
      <c r="AA1346" s="80" t="str">
        <f t="shared" ref="AA1346:AA1409" ca="1" si="227">LOOKUP(2,1/($J$2:$J$700&lt;=$Y1346)/($K$2:$K$700&gt;=$Y1346),$L$2:$L$700)</f>
        <v>CLQ2</v>
      </c>
      <c r="AB1346" s="74" t="e">
        <f t="shared" si="219"/>
        <v>#N/A</v>
      </c>
      <c r="AC1346" s="80" t="str">
        <f t="shared" ref="AC1346:AC1409" si="228">LOOKUP(2,1/($R$2:$R$700&lt;=$Y1346)/($S$2:$S$700&gt;=$Y1346),$T$2:$T$700)</f>
        <v>LCOU2</v>
      </c>
      <c r="AD1346" s="80" t="str">
        <f t="shared" si="220"/>
        <v>CLU2</v>
      </c>
      <c r="AE1346" s="80" t="str">
        <f t="shared" si="221"/>
        <v>LCOV2</v>
      </c>
      <c r="AF1346" s="80" t="str">
        <f t="shared" si="222"/>
        <v>CLV2</v>
      </c>
      <c r="AG1346" s="80" t="str">
        <f t="shared" si="223"/>
        <v>LCOX2</v>
      </c>
      <c r="AH1346" s="80" t="str">
        <f t="shared" si="224"/>
        <v>LCOZ2</v>
      </c>
    </row>
    <row r="1347" spans="25:34" x14ac:dyDescent="0.35">
      <c r="Y1347" s="74">
        <f t="shared" si="225"/>
        <v>44750</v>
      </c>
      <c r="Z1347" s="74" t="e">
        <f t="shared" ca="1" si="226"/>
        <v>#N/A</v>
      </c>
      <c r="AA1347" s="80" t="str">
        <f t="shared" ca="1" si="227"/>
        <v>CLQ2</v>
      </c>
      <c r="AB1347" s="74" t="e">
        <f t="shared" ref="AB1347:AB1410" si="229">VLOOKUP(AC1347,$Q$2:$S$39,3,FALSE)</f>
        <v>#N/A</v>
      </c>
      <c r="AC1347" s="80" t="str">
        <f t="shared" si="228"/>
        <v>LCOU2</v>
      </c>
      <c r="AD1347" s="80" t="str">
        <f t="shared" ref="AD1347:AD1410" si="230">CONCATENATE("CL",RIGHT(AC1347,2))</f>
        <v>CLU2</v>
      </c>
      <c r="AE1347" s="80" t="str">
        <f t="shared" ref="AE1347:AE1410" si="231">LOOKUP(2,1/($R$2:$R$700&lt;=$Y1347)/($S$2:$S$700&gt;=$Y1347),$U$2:$U$700)</f>
        <v>LCOV2</v>
      </c>
      <c r="AF1347" s="80" t="str">
        <f t="shared" ref="AF1347:AF1410" si="232">CONCATENATE("CL",RIGHT(AE1347,2))</f>
        <v>CLV2</v>
      </c>
      <c r="AG1347" s="80" t="str">
        <f t="shared" ref="AG1347:AG1410" si="233">LOOKUP(2,1/($R$2:$R$700&lt;=$Y1347)/($S$2:$S$700&gt;=$Y1347),$V$2:$V$700)</f>
        <v>LCOX2</v>
      </c>
      <c r="AH1347" s="80" t="str">
        <f t="shared" ref="AH1347:AH1410" si="234">LOOKUP(2,1/($R$2:$R$700&lt;=$Y1347)/($S$2:$S$700&gt;=$Y1347),$W$2:$W$700)</f>
        <v>LCOZ2</v>
      </c>
    </row>
    <row r="1348" spans="25:34" x14ac:dyDescent="0.35">
      <c r="Y1348" s="74">
        <f t="shared" si="225"/>
        <v>44751</v>
      </c>
      <c r="Z1348" s="74" t="e">
        <f t="shared" ca="1" si="226"/>
        <v>#N/A</v>
      </c>
      <c r="AA1348" s="80" t="str">
        <f t="shared" ca="1" si="227"/>
        <v>CLQ2</v>
      </c>
      <c r="AB1348" s="74" t="e">
        <f t="shared" si="229"/>
        <v>#N/A</v>
      </c>
      <c r="AC1348" s="80" t="str">
        <f t="shared" si="228"/>
        <v>LCOU2</v>
      </c>
      <c r="AD1348" s="80" t="str">
        <f t="shared" si="230"/>
        <v>CLU2</v>
      </c>
      <c r="AE1348" s="80" t="str">
        <f t="shared" si="231"/>
        <v>LCOV2</v>
      </c>
      <c r="AF1348" s="80" t="str">
        <f t="shared" si="232"/>
        <v>CLV2</v>
      </c>
      <c r="AG1348" s="80" t="str">
        <f t="shared" si="233"/>
        <v>LCOX2</v>
      </c>
      <c r="AH1348" s="80" t="str">
        <f t="shared" si="234"/>
        <v>LCOZ2</v>
      </c>
    </row>
    <row r="1349" spans="25:34" x14ac:dyDescent="0.35">
      <c r="Y1349" s="74">
        <f t="shared" si="225"/>
        <v>44752</v>
      </c>
      <c r="Z1349" s="74" t="e">
        <f t="shared" ca="1" si="226"/>
        <v>#N/A</v>
      </c>
      <c r="AA1349" s="80" t="str">
        <f t="shared" ca="1" si="227"/>
        <v>CLQ2</v>
      </c>
      <c r="AB1349" s="74" t="e">
        <f t="shared" si="229"/>
        <v>#N/A</v>
      </c>
      <c r="AC1349" s="80" t="str">
        <f t="shared" si="228"/>
        <v>LCOU2</v>
      </c>
      <c r="AD1349" s="80" t="str">
        <f t="shared" si="230"/>
        <v>CLU2</v>
      </c>
      <c r="AE1349" s="80" t="str">
        <f t="shared" si="231"/>
        <v>LCOV2</v>
      </c>
      <c r="AF1349" s="80" t="str">
        <f t="shared" si="232"/>
        <v>CLV2</v>
      </c>
      <c r="AG1349" s="80" t="str">
        <f t="shared" si="233"/>
        <v>LCOX2</v>
      </c>
      <c r="AH1349" s="80" t="str">
        <f t="shared" si="234"/>
        <v>LCOZ2</v>
      </c>
    </row>
    <row r="1350" spans="25:34" x14ac:dyDescent="0.35">
      <c r="Y1350" s="74">
        <f t="shared" si="225"/>
        <v>44753</v>
      </c>
      <c r="Z1350" s="74" t="e">
        <f t="shared" ca="1" si="226"/>
        <v>#N/A</v>
      </c>
      <c r="AA1350" s="80" t="str">
        <f t="shared" ca="1" si="227"/>
        <v>CLQ2</v>
      </c>
      <c r="AB1350" s="74" t="e">
        <f t="shared" si="229"/>
        <v>#N/A</v>
      </c>
      <c r="AC1350" s="80" t="str">
        <f t="shared" si="228"/>
        <v>LCOU2</v>
      </c>
      <c r="AD1350" s="80" t="str">
        <f t="shared" si="230"/>
        <v>CLU2</v>
      </c>
      <c r="AE1350" s="80" t="str">
        <f t="shared" si="231"/>
        <v>LCOV2</v>
      </c>
      <c r="AF1350" s="80" t="str">
        <f t="shared" si="232"/>
        <v>CLV2</v>
      </c>
      <c r="AG1350" s="80" t="str">
        <f t="shared" si="233"/>
        <v>LCOX2</v>
      </c>
      <c r="AH1350" s="80" t="str">
        <f t="shared" si="234"/>
        <v>LCOZ2</v>
      </c>
    </row>
    <row r="1351" spans="25:34" x14ac:dyDescent="0.35">
      <c r="Y1351" s="74">
        <f t="shared" si="225"/>
        <v>44754</v>
      </c>
      <c r="Z1351" s="74" t="e">
        <f t="shared" ca="1" si="226"/>
        <v>#N/A</v>
      </c>
      <c r="AA1351" s="80" t="str">
        <f t="shared" ca="1" si="227"/>
        <v>CLQ2</v>
      </c>
      <c r="AB1351" s="74" t="e">
        <f t="shared" si="229"/>
        <v>#N/A</v>
      </c>
      <c r="AC1351" s="80" t="str">
        <f t="shared" si="228"/>
        <v>LCOU2</v>
      </c>
      <c r="AD1351" s="80" t="str">
        <f t="shared" si="230"/>
        <v>CLU2</v>
      </c>
      <c r="AE1351" s="80" t="str">
        <f t="shared" si="231"/>
        <v>LCOV2</v>
      </c>
      <c r="AF1351" s="80" t="str">
        <f t="shared" si="232"/>
        <v>CLV2</v>
      </c>
      <c r="AG1351" s="80" t="str">
        <f t="shared" si="233"/>
        <v>LCOX2</v>
      </c>
      <c r="AH1351" s="80" t="str">
        <f t="shared" si="234"/>
        <v>LCOZ2</v>
      </c>
    </row>
    <row r="1352" spans="25:34" x14ac:dyDescent="0.35">
      <c r="Y1352" s="74">
        <f t="shared" si="225"/>
        <v>44755</v>
      </c>
      <c r="Z1352" s="74" t="e">
        <f t="shared" ca="1" si="226"/>
        <v>#N/A</v>
      </c>
      <c r="AA1352" s="80" t="str">
        <f t="shared" ca="1" si="227"/>
        <v>CLQ2</v>
      </c>
      <c r="AB1352" s="74" t="e">
        <f t="shared" si="229"/>
        <v>#N/A</v>
      </c>
      <c r="AC1352" s="80" t="str">
        <f t="shared" si="228"/>
        <v>LCOU2</v>
      </c>
      <c r="AD1352" s="80" t="str">
        <f t="shared" si="230"/>
        <v>CLU2</v>
      </c>
      <c r="AE1352" s="80" t="str">
        <f t="shared" si="231"/>
        <v>LCOV2</v>
      </c>
      <c r="AF1352" s="80" t="str">
        <f t="shared" si="232"/>
        <v>CLV2</v>
      </c>
      <c r="AG1352" s="80" t="str">
        <f t="shared" si="233"/>
        <v>LCOX2</v>
      </c>
      <c r="AH1352" s="80" t="str">
        <f t="shared" si="234"/>
        <v>LCOZ2</v>
      </c>
    </row>
    <row r="1353" spans="25:34" x14ac:dyDescent="0.35">
      <c r="Y1353" s="74">
        <f t="shared" si="225"/>
        <v>44756</v>
      </c>
      <c r="Z1353" s="74" t="e">
        <f t="shared" ca="1" si="226"/>
        <v>#N/A</v>
      </c>
      <c r="AA1353" s="80" t="str">
        <f t="shared" ca="1" si="227"/>
        <v>CLQ2</v>
      </c>
      <c r="AB1353" s="74" t="e">
        <f t="shared" si="229"/>
        <v>#N/A</v>
      </c>
      <c r="AC1353" s="80" t="str">
        <f t="shared" si="228"/>
        <v>LCOU2</v>
      </c>
      <c r="AD1353" s="80" t="str">
        <f t="shared" si="230"/>
        <v>CLU2</v>
      </c>
      <c r="AE1353" s="80" t="str">
        <f t="shared" si="231"/>
        <v>LCOV2</v>
      </c>
      <c r="AF1353" s="80" t="str">
        <f t="shared" si="232"/>
        <v>CLV2</v>
      </c>
      <c r="AG1353" s="80" t="str">
        <f t="shared" si="233"/>
        <v>LCOX2</v>
      </c>
      <c r="AH1353" s="80" t="str">
        <f t="shared" si="234"/>
        <v>LCOZ2</v>
      </c>
    </row>
    <row r="1354" spans="25:34" x14ac:dyDescent="0.35">
      <c r="Y1354" s="74">
        <f t="shared" si="225"/>
        <v>44757</v>
      </c>
      <c r="Z1354" s="74" t="e">
        <f t="shared" ca="1" si="226"/>
        <v>#N/A</v>
      </c>
      <c r="AA1354" s="80" t="str">
        <f t="shared" ca="1" si="227"/>
        <v>CLQ2</v>
      </c>
      <c r="AB1354" s="74" t="e">
        <f t="shared" si="229"/>
        <v>#N/A</v>
      </c>
      <c r="AC1354" s="80" t="str">
        <f t="shared" si="228"/>
        <v>LCOU2</v>
      </c>
      <c r="AD1354" s="80" t="str">
        <f t="shared" si="230"/>
        <v>CLU2</v>
      </c>
      <c r="AE1354" s="80" t="str">
        <f t="shared" si="231"/>
        <v>LCOV2</v>
      </c>
      <c r="AF1354" s="80" t="str">
        <f t="shared" si="232"/>
        <v>CLV2</v>
      </c>
      <c r="AG1354" s="80" t="str">
        <f t="shared" si="233"/>
        <v>LCOX2</v>
      </c>
      <c r="AH1354" s="80" t="str">
        <f t="shared" si="234"/>
        <v>LCOZ2</v>
      </c>
    </row>
    <row r="1355" spans="25:34" x14ac:dyDescent="0.35">
      <c r="Y1355" s="74">
        <f t="shared" si="225"/>
        <v>44758</v>
      </c>
      <c r="Z1355" s="74" t="e">
        <f t="shared" ca="1" si="226"/>
        <v>#N/A</v>
      </c>
      <c r="AA1355" s="80" t="str">
        <f t="shared" ca="1" si="227"/>
        <v>CLQ2</v>
      </c>
      <c r="AB1355" s="74" t="e">
        <f t="shared" si="229"/>
        <v>#N/A</v>
      </c>
      <c r="AC1355" s="80" t="str">
        <f t="shared" si="228"/>
        <v>LCOU2</v>
      </c>
      <c r="AD1355" s="80" t="str">
        <f t="shared" si="230"/>
        <v>CLU2</v>
      </c>
      <c r="AE1355" s="80" t="str">
        <f t="shared" si="231"/>
        <v>LCOV2</v>
      </c>
      <c r="AF1355" s="80" t="str">
        <f t="shared" si="232"/>
        <v>CLV2</v>
      </c>
      <c r="AG1355" s="80" t="str">
        <f t="shared" si="233"/>
        <v>LCOX2</v>
      </c>
      <c r="AH1355" s="80" t="str">
        <f t="shared" si="234"/>
        <v>LCOZ2</v>
      </c>
    </row>
    <row r="1356" spans="25:34" x14ac:dyDescent="0.35">
      <c r="Y1356" s="74">
        <f t="shared" si="225"/>
        <v>44759</v>
      </c>
      <c r="Z1356" s="74" t="e">
        <f t="shared" ca="1" si="226"/>
        <v>#N/A</v>
      </c>
      <c r="AA1356" s="80" t="str">
        <f t="shared" ca="1" si="227"/>
        <v>CLQ2</v>
      </c>
      <c r="AB1356" s="74" t="e">
        <f t="shared" si="229"/>
        <v>#N/A</v>
      </c>
      <c r="AC1356" s="80" t="str">
        <f t="shared" si="228"/>
        <v>LCOU2</v>
      </c>
      <c r="AD1356" s="80" t="str">
        <f t="shared" si="230"/>
        <v>CLU2</v>
      </c>
      <c r="AE1356" s="80" t="str">
        <f t="shared" si="231"/>
        <v>LCOV2</v>
      </c>
      <c r="AF1356" s="80" t="str">
        <f t="shared" si="232"/>
        <v>CLV2</v>
      </c>
      <c r="AG1356" s="80" t="str">
        <f t="shared" si="233"/>
        <v>LCOX2</v>
      </c>
      <c r="AH1356" s="80" t="str">
        <f t="shared" si="234"/>
        <v>LCOZ2</v>
      </c>
    </row>
    <row r="1357" spans="25:34" x14ac:dyDescent="0.35">
      <c r="Y1357" s="74">
        <f t="shared" si="225"/>
        <v>44760</v>
      </c>
      <c r="Z1357" s="74" t="e">
        <f t="shared" ca="1" si="226"/>
        <v>#N/A</v>
      </c>
      <c r="AA1357" s="80" t="str">
        <f t="shared" ca="1" si="227"/>
        <v>CLQ2</v>
      </c>
      <c r="AB1357" s="74" t="e">
        <f t="shared" si="229"/>
        <v>#N/A</v>
      </c>
      <c r="AC1357" s="80" t="str">
        <f t="shared" si="228"/>
        <v>LCOU2</v>
      </c>
      <c r="AD1357" s="80" t="str">
        <f t="shared" si="230"/>
        <v>CLU2</v>
      </c>
      <c r="AE1357" s="80" t="str">
        <f t="shared" si="231"/>
        <v>LCOV2</v>
      </c>
      <c r="AF1357" s="80" t="str">
        <f t="shared" si="232"/>
        <v>CLV2</v>
      </c>
      <c r="AG1357" s="80" t="str">
        <f t="shared" si="233"/>
        <v>LCOX2</v>
      </c>
      <c r="AH1357" s="80" t="str">
        <f t="shared" si="234"/>
        <v>LCOZ2</v>
      </c>
    </row>
    <row r="1358" spans="25:34" x14ac:dyDescent="0.35">
      <c r="Y1358" s="74">
        <f t="shared" si="225"/>
        <v>44761</v>
      </c>
      <c r="Z1358" s="74" t="e">
        <f t="shared" ca="1" si="226"/>
        <v>#N/A</v>
      </c>
      <c r="AA1358" s="80" t="str">
        <f t="shared" ca="1" si="227"/>
        <v>CLQ2</v>
      </c>
      <c r="AB1358" s="74" t="e">
        <f t="shared" si="229"/>
        <v>#N/A</v>
      </c>
      <c r="AC1358" s="80" t="str">
        <f t="shared" si="228"/>
        <v>LCOU2</v>
      </c>
      <c r="AD1358" s="80" t="str">
        <f t="shared" si="230"/>
        <v>CLU2</v>
      </c>
      <c r="AE1358" s="80" t="str">
        <f t="shared" si="231"/>
        <v>LCOV2</v>
      </c>
      <c r="AF1358" s="80" t="str">
        <f t="shared" si="232"/>
        <v>CLV2</v>
      </c>
      <c r="AG1358" s="80" t="str">
        <f t="shared" si="233"/>
        <v>LCOX2</v>
      </c>
      <c r="AH1358" s="80" t="str">
        <f t="shared" si="234"/>
        <v>LCOZ2</v>
      </c>
    </row>
    <row r="1359" spans="25:34" x14ac:dyDescent="0.35">
      <c r="Y1359" s="74">
        <f t="shared" si="225"/>
        <v>44762</v>
      </c>
      <c r="Z1359" s="74" t="e">
        <f t="shared" ca="1" si="226"/>
        <v>#N/A</v>
      </c>
      <c r="AA1359" s="80" t="str">
        <f t="shared" ca="1" si="227"/>
        <v>CLQ2</v>
      </c>
      <c r="AB1359" s="74" t="e">
        <f t="shared" si="229"/>
        <v>#N/A</v>
      </c>
      <c r="AC1359" s="80" t="str">
        <f t="shared" si="228"/>
        <v>LCOU2</v>
      </c>
      <c r="AD1359" s="80" t="str">
        <f t="shared" si="230"/>
        <v>CLU2</v>
      </c>
      <c r="AE1359" s="80" t="str">
        <f t="shared" si="231"/>
        <v>LCOV2</v>
      </c>
      <c r="AF1359" s="80" t="str">
        <f t="shared" si="232"/>
        <v>CLV2</v>
      </c>
      <c r="AG1359" s="80" t="str">
        <f t="shared" si="233"/>
        <v>LCOX2</v>
      </c>
      <c r="AH1359" s="80" t="str">
        <f t="shared" si="234"/>
        <v>LCOZ2</v>
      </c>
    </row>
    <row r="1360" spans="25:34" x14ac:dyDescent="0.35">
      <c r="Y1360" s="74">
        <f t="shared" si="225"/>
        <v>44763</v>
      </c>
      <c r="Z1360" s="74" t="e">
        <f t="shared" ca="1" si="226"/>
        <v>#N/A</v>
      </c>
      <c r="AA1360" s="80" t="str">
        <f t="shared" ca="1" si="227"/>
        <v>CLU2</v>
      </c>
      <c r="AB1360" s="74" t="e">
        <f t="shared" si="229"/>
        <v>#N/A</v>
      </c>
      <c r="AC1360" s="80" t="str">
        <f t="shared" si="228"/>
        <v>LCOU2</v>
      </c>
      <c r="AD1360" s="80" t="str">
        <f t="shared" si="230"/>
        <v>CLU2</v>
      </c>
      <c r="AE1360" s="80" t="str">
        <f t="shared" si="231"/>
        <v>LCOV2</v>
      </c>
      <c r="AF1360" s="80" t="str">
        <f t="shared" si="232"/>
        <v>CLV2</v>
      </c>
      <c r="AG1360" s="80" t="str">
        <f t="shared" si="233"/>
        <v>LCOX2</v>
      </c>
      <c r="AH1360" s="80" t="str">
        <f t="shared" si="234"/>
        <v>LCOZ2</v>
      </c>
    </row>
    <row r="1361" spans="25:34" x14ac:dyDescent="0.35">
      <c r="Y1361" s="74">
        <f t="shared" si="225"/>
        <v>44764</v>
      </c>
      <c r="Z1361" s="74" t="e">
        <f t="shared" ca="1" si="226"/>
        <v>#N/A</v>
      </c>
      <c r="AA1361" s="80" t="str">
        <f t="shared" ca="1" si="227"/>
        <v>CLU2</v>
      </c>
      <c r="AB1361" s="74" t="e">
        <f t="shared" si="229"/>
        <v>#N/A</v>
      </c>
      <c r="AC1361" s="80" t="str">
        <f t="shared" si="228"/>
        <v>LCOU2</v>
      </c>
      <c r="AD1361" s="80" t="str">
        <f t="shared" si="230"/>
        <v>CLU2</v>
      </c>
      <c r="AE1361" s="80" t="str">
        <f t="shared" si="231"/>
        <v>LCOV2</v>
      </c>
      <c r="AF1361" s="80" t="str">
        <f t="shared" si="232"/>
        <v>CLV2</v>
      </c>
      <c r="AG1361" s="80" t="str">
        <f t="shared" si="233"/>
        <v>LCOX2</v>
      </c>
      <c r="AH1361" s="80" t="str">
        <f t="shared" si="234"/>
        <v>LCOZ2</v>
      </c>
    </row>
    <row r="1362" spans="25:34" x14ac:dyDescent="0.35">
      <c r="Y1362" s="74">
        <f t="shared" si="225"/>
        <v>44765</v>
      </c>
      <c r="Z1362" s="74" t="e">
        <f t="shared" ca="1" si="226"/>
        <v>#N/A</v>
      </c>
      <c r="AA1362" s="80" t="str">
        <f t="shared" ca="1" si="227"/>
        <v>CLU2</v>
      </c>
      <c r="AB1362" s="74" t="e">
        <f t="shared" si="229"/>
        <v>#N/A</v>
      </c>
      <c r="AC1362" s="80" t="str">
        <f t="shared" si="228"/>
        <v>LCOU2</v>
      </c>
      <c r="AD1362" s="80" t="str">
        <f t="shared" si="230"/>
        <v>CLU2</v>
      </c>
      <c r="AE1362" s="80" t="str">
        <f t="shared" si="231"/>
        <v>LCOV2</v>
      </c>
      <c r="AF1362" s="80" t="str">
        <f t="shared" si="232"/>
        <v>CLV2</v>
      </c>
      <c r="AG1362" s="80" t="str">
        <f t="shared" si="233"/>
        <v>LCOX2</v>
      </c>
      <c r="AH1362" s="80" t="str">
        <f t="shared" si="234"/>
        <v>LCOZ2</v>
      </c>
    </row>
    <row r="1363" spans="25:34" x14ac:dyDescent="0.35">
      <c r="Y1363" s="74">
        <f t="shared" si="225"/>
        <v>44766</v>
      </c>
      <c r="Z1363" s="74" t="e">
        <f t="shared" ca="1" si="226"/>
        <v>#N/A</v>
      </c>
      <c r="AA1363" s="80" t="str">
        <f t="shared" ca="1" si="227"/>
        <v>CLU2</v>
      </c>
      <c r="AB1363" s="74" t="e">
        <f t="shared" si="229"/>
        <v>#N/A</v>
      </c>
      <c r="AC1363" s="80" t="str">
        <f t="shared" si="228"/>
        <v>LCOU2</v>
      </c>
      <c r="AD1363" s="80" t="str">
        <f t="shared" si="230"/>
        <v>CLU2</v>
      </c>
      <c r="AE1363" s="80" t="str">
        <f t="shared" si="231"/>
        <v>LCOV2</v>
      </c>
      <c r="AF1363" s="80" t="str">
        <f t="shared" si="232"/>
        <v>CLV2</v>
      </c>
      <c r="AG1363" s="80" t="str">
        <f t="shared" si="233"/>
        <v>LCOX2</v>
      </c>
      <c r="AH1363" s="80" t="str">
        <f t="shared" si="234"/>
        <v>LCOZ2</v>
      </c>
    </row>
    <row r="1364" spans="25:34" x14ac:dyDescent="0.35">
      <c r="Y1364" s="74">
        <f t="shared" si="225"/>
        <v>44767</v>
      </c>
      <c r="Z1364" s="74" t="e">
        <f t="shared" ca="1" si="226"/>
        <v>#N/A</v>
      </c>
      <c r="AA1364" s="80" t="str">
        <f t="shared" ca="1" si="227"/>
        <v>CLU2</v>
      </c>
      <c r="AB1364" s="74" t="e">
        <f t="shared" si="229"/>
        <v>#N/A</v>
      </c>
      <c r="AC1364" s="80" t="str">
        <f t="shared" si="228"/>
        <v>LCOU2</v>
      </c>
      <c r="AD1364" s="80" t="str">
        <f t="shared" si="230"/>
        <v>CLU2</v>
      </c>
      <c r="AE1364" s="80" t="str">
        <f t="shared" si="231"/>
        <v>LCOV2</v>
      </c>
      <c r="AF1364" s="80" t="str">
        <f t="shared" si="232"/>
        <v>CLV2</v>
      </c>
      <c r="AG1364" s="80" t="str">
        <f t="shared" si="233"/>
        <v>LCOX2</v>
      </c>
      <c r="AH1364" s="80" t="str">
        <f t="shared" si="234"/>
        <v>LCOZ2</v>
      </c>
    </row>
    <row r="1365" spans="25:34" x14ac:dyDescent="0.35">
      <c r="Y1365" s="74">
        <f t="shared" si="225"/>
        <v>44768</v>
      </c>
      <c r="Z1365" s="74" t="e">
        <f t="shared" ca="1" si="226"/>
        <v>#N/A</v>
      </c>
      <c r="AA1365" s="80" t="str">
        <f t="shared" ca="1" si="227"/>
        <v>CLU2</v>
      </c>
      <c r="AB1365" s="74" t="e">
        <f t="shared" si="229"/>
        <v>#N/A</v>
      </c>
      <c r="AC1365" s="80" t="str">
        <f t="shared" si="228"/>
        <v>LCOU2</v>
      </c>
      <c r="AD1365" s="80" t="str">
        <f t="shared" si="230"/>
        <v>CLU2</v>
      </c>
      <c r="AE1365" s="80" t="str">
        <f t="shared" si="231"/>
        <v>LCOV2</v>
      </c>
      <c r="AF1365" s="80" t="str">
        <f t="shared" si="232"/>
        <v>CLV2</v>
      </c>
      <c r="AG1365" s="80" t="str">
        <f t="shared" si="233"/>
        <v>LCOX2</v>
      </c>
      <c r="AH1365" s="80" t="str">
        <f t="shared" si="234"/>
        <v>LCOZ2</v>
      </c>
    </row>
    <row r="1366" spans="25:34" x14ac:dyDescent="0.35">
      <c r="Y1366" s="74">
        <f t="shared" si="225"/>
        <v>44769</v>
      </c>
      <c r="Z1366" s="74" t="e">
        <f t="shared" ca="1" si="226"/>
        <v>#N/A</v>
      </c>
      <c r="AA1366" s="80" t="str">
        <f t="shared" ca="1" si="227"/>
        <v>CLU2</v>
      </c>
      <c r="AB1366" s="74" t="e">
        <f t="shared" si="229"/>
        <v>#N/A</v>
      </c>
      <c r="AC1366" s="80" t="str">
        <f t="shared" si="228"/>
        <v>LCOU2</v>
      </c>
      <c r="AD1366" s="80" t="str">
        <f t="shared" si="230"/>
        <v>CLU2</v>
      </c>
      <c r="AE1366" s="80" t="str">
        <f t="shared" si="231"/>
        <v>LCOV2</v>
      </c>
      <c r="AF1366" s="80" t="str">
        <f t="shared" si="232"/>
        <v>CLV2</v>
      </c>
      <c r="AG1366" s="80" t="str">
        <f t="shared" si="233"/>
        <v>LCOX2</v>
      </c>
      <c r="AH1366" s="80" t="str">
        <f t="shared" si="234"/>
        <v>LCOZ2</v>
      </c>
    </row>
    <row r="1367" spans="25:34" x14ac:dyDescent="0.35">
      <c r="Y1367" s="74">
        <f t="shared" si="225"/>
        <v>44770</v>
      </c>
      <c r="Z1367" s="74" t="e">
        <f t="shared" ca="1" si="226"/>
        <v>#N/A</v>
      </c>
      <c r="AA1367" s="80" t="str">
        <f t="shared" ca="1" si="227"/>
        <v>CLU2</v>
      </c>
      <c r="AB1367" s="74" t="e">
        <f t="shared" si="229"/>
        <v>#N/A</v>
      </c>
      <c r="AC1367" s="80" t="str">
        <f t="shared" si="228"/>
        <v>LCOU2</v>
      </c>
      <c r="AD1367" s="80" t="str">
        <f t="shared" si="230"/>
        <v>CLU2</v>
      </c>
      <c r="AE1367" s="80" t="str">
        <f t="shared" si="231"/>
        <v>LCOV2</v>
      </c>
      <c r="AF1367" s="80" t="str">
        <f t="shared" si="232"/>
        <v>CLV2</v>
      </c>
      <c r="AG1367" s="80" t="str">
        <f t="shared" si="233"/>
        <v>LCOX2</v>
      </c>
      <c r="AH1367" s="80" t="str">
        <f t="shared" si="234"/>
        <v>LCOZ2</v>
      </c>
    </row>
    <row r="1368" spans="25:34" x14ac:dyDescent="0.35">
      <c r="Y1368" s="74">
        <f t="shared" si="225"/>
        <v>44771</v>
      </c>
      <c r="Z1368" s="74" t="e">
        <f t="shared" ca="1" si="226"/>
        <v>#N/A</v>
      </c>
      <c r="AA1368" s="80" t="str">
        <f t="shared" ca="1" si="227"/>
        <v>CLU2</v>
      </c>
      <c r="AB1368" s="74" t="e">
        <f t="shared" si="229"/>
        <v>#N/A</v>
      </c>
      <c r="AC1368" s="80" t="str">
        <f t="shared" si="228"/>
        <v>LCOU2</v>
      </c>
      <c r="AD1368" s="80" t="str">
        <f t="shared" si="230"/>
        <v>CLU2</v>
      </c>
      <c r="AE1368" s="80" t="str">
        <f t="shared" si="231"/>
        <v>LCOV2</v>
      </c>
      <c r="AF1368" s="80" t="str">
        <f t="shared" si="232"/>
        <v>CLV2</v>
      </c>
      <c r="AG1368" s="80" t="str">
        <f t="shared" si="233"/>
        <v>LCOX2</v>
      </c>
      <c r="AH1368" s="80" t="str">
        <f t="shared" si="234"/>
        <v>LCOZ2</v>
      </c>
    </row>
    <row r="1369" spans="25:34" x14ac:dyDescent="0.35">
      <c r="Y1369" s="74">
        <f t="shared" si="225"/>
        <v>44772</v>
      </c>
      <c r="Z1369" s="74" t="e">
        <f t="shared" ca="1" si="226"/>
        <v>#N/A</v>
      </c>
      <c r="AA1369" s="80" t="str">
        <f t="shared" ca="1" si="227"/>
        <v>CLU2</v>
      </c>
      <c r="AB1369" s="74" t="e">
        <f t="shared" si="229"/>
        <v>#N/A</v>
      </c>
      <c r="AC1369" s="80" t="str">
        <f t="shared" si="228"/>
        <v>LCOV2</v>
      </c>
      <c r="AD1369" s="80" t="str">
        <f t="shared" si="230"/>
        <v>CLV2</v>
      </c>
      <c r="AE1369" s="80" t="str">
        <f t="shared" si="231"/>
        <v>LCOX2</v>
      </c>
      <c r="AF1369" s="80" t="str">
        <f t="shared" si="232"/>
        <v>CLX2</v>
      </c>
      <c r="AG1369" s="80" t="str">
        <f t="shared" si="233"/>
        <v>LCOZ2</v>
      </c>
      <c r="AH1369" s="80" t="str">
        <f t="shared" si="234"/>
        <v>LCOF3</v>
      </c>
    </row>
    <row r="1370" spans="25:34" x14ac:dyDescent="0.35">
      <c r="Y1370" s="74">
        <f t="shared" si="225"/>
        <v>44773</v>
      </c>
      <c r="Z1370" s="74" t="e">
        <f t="shared" ca="1" si="226"/>
        <v>#N/A</v>
      </c>
      <c r="AA1370" s="80" t="str">
        <f t="shared" ca="1" si="227"/>
        <v>CLU2</v>
      </c>
      <c r="AB1370" s="74" t="e">
        <f t="shared" si="229"/>
        <v>#N/A</v>
      </c>
      <c r="AC1370" s="80" t="str">
        <f t="shared" si="228"/>
        <v>LCOV2</v>
      </c>
      <c r="AD1370" s="80" t="str">
        <f t="shared" si="230"/>
        <v>CLV2</v>
      </c>
      <c r="AE1370" s="80" t="str">
        <f t="shared" si="231"/>
        <v>LCOX2</v>
      </c>
      <c r="AF1370" s="80" t="str">
        <f t="shared" si="232"/>
        <v>CLX2</v>
      </c>
      <c r="AG1370" s="80" t="str">
        <f t="shared" si="233"/>
        <v>LCOZ2</v>
      </c>
      <c r="AH1370" s="80" t="str">
        <f t="shared" si="234"/>
        <v>LCOF3</v>
      </c>
    </row>
    <row r="1371" spans="25:34" x14ac:dyDescent="0.35">
      <c r="Y1371" s="74">
        <f t="shared" si="225"/>
        <v>44774</v>
      </c>
      <c r="Z1371" s="74" t="e">
        <f t="shared" ca="1" si="226"/>
        <v>#N/A</v>
      </c>
      <c r="AA1371" s="80" t="str">
        <f t="shared" ca="1" si="227"/>
        <v>CLU2</v>
      </c>
      <c r="AB1371" s="74" t="e">
        <f t="shared" si="229"/>
        <v>#N/A</v>
      </c>
      <c r="AC1371" s="80" t="str">
        <f t="shared" si="228"/>
        <v>LCOV2</v>
      </c>
      <c r="AD1371" s="80" t="str">
        <f t="shared" si="230"/>
        <v>CLV2</v>
      </c>
      <c r="AE1371" s="80" t="str">
        <f t="shared" si="231"/>
        <v>LCOX2</v>
      </c>
      <c r="AF1371" s="80" t="str">
        <f t="shared" si="232"/>
        <v>CLX2</v>
      </c>
      <c r="AG1371" s="80" t="str">
        <f t="shared" si="233"/>
        <v>LCOZ2</v>
      </c>
      <c r="AH1371" s="80" t="str">
        <f t="shared" si="234"/>
        <v>LCOF3</v>
      </c>
    </row>
    <row r="1372" spans="25:34" x14ac:dyDescent="0.35">
      <c r="Y1372" s="74">
        <f t="shared" si="225"/>
        <v>44775</v>
      </c>
      <c r="Z1372" s="74" t="e">
        <f t="shared" ca="1" si="226"/>
        <v>#N/A</v>
      </c>
      <c r="AA1372" s="80" t="str">
        <f t="shared" ca="1" si="227"/>
        <v>CLU2</v>
      </c>
      <c r="AB1372" s="74" t="e">
        <f t="shared" si="229"/>
        <v>#N/A</v>
      </c>
      <c r="AC1372" s="80" t="str">
        <f t="shared" si="228"/>
        <v>LCOV2</v>
      </c>
      <c r="AD1372" s="80" t="str">
        <f t="shared" si="230"/>
        <v>CLV2</v>
      </c>
      <c r="AE1372" s="80" t="str">
        <f t="shared" si="231"/>
        <v>LCOX2</v>
      </c>
      <c r="AF1372" s="80" t="str">
        <f t="shared" si="232"/>
        <v>CLX2</v>
      </c>
      <c r="AG1372" s="80" t="str">
        <f t="shared" si="233"/>
        <v>LCOZ2</v>
      </c>
      <c r="AH1372" s="80" t="str">
        <f t="shared" si="234"/>
        <v>LCOF3</v>
      </c>
    </row>
    <row r="1373" spans="25:34" x14ac:dyDescent="0.35">
      <c r="Y1373" s="74">
        <f t="shared" si="225"/>
        <v>44776</v>
      </c>
      <c r="Z1373" s="74" t="e">
        <f t="shared" ca="1" si="226"/>
        <v>#N/A</v>
      </c>
      <c r="AA1373" s="80" t="str">
        <f t="shared" ca="1" si="227"/>
        <v>CLU2</v>
      </c>
      <c r="AB1373" s="74" t="e">
        <f t="shared" si="229"/>
        <v>#N/A</v>
      </c>
      <c r="AC1373" s="80" t="str">
        <f t="shared" si="228"/>
        <v>LCOV2</v>
      </c>
      <c r="AD1373" s="80" t="str">
        <f t="shared" si="230"/>
        <v>CLV2</v>
      </c>
      <c r="AE1373" s="80" t="str">
        <f t="shared" si="231"/>
        <v>LCOX2</v>
      </c>
      <c r="AF1373" s="80" t="str">
        <f t="shared" si="232"/>
        <v>CLX2</v>
      </c>
      <c r="AG1373" s="80" t="str">
        <f t="shared" si="233"/>
        <v>LCOZ2</v>
      </c>
      <c r="AH1373" s="80" t="str">
        <f t="shared" si="234"/>
        <v>LCOF3</v>
      </c>
    </row>
    <row r="1374" spans="25:34" x14ac:dyDescent="0.35">
      <c r="Y1374" s="74">
        <f t="shared" si="225"/>
        <v>44777</v>
      </c>
      <c r="Z1374" s="74" t="e">
        <f t="shared" ca="1" si="226"/>
        <v>#N/A</v>
      </c>
      <c r="AA1374" s="80" t="str">
        <f t="shared" ca="1" si="227"/>
        <v>CLU2</v>
      </c>
      <c r="AB1374" s="74" t="e">
        <f t="shared" si="229"/>
        <v>#N/A</v>
      </c>
      <c r="AC1374" s="80" t="str">
        <f t="shared" si="228"/>
        <v>LCOV2</v>
      </c>
      <c r="AD1374" s="80" t="str">
        <f t="shared" si="230"/>
        <v>CLV2</v>
      </c>
      <c r="AE1374" s="80" t="str">
        <f t="shared" si="231"/>
        <v>LCOX2</v>
      </c>
      <c r="AF1374" s="80" t="str">
        <f t="shared" si="232"/>
        <v>CLX2</v>
      </c>
      <c r="AG1374" s="80" t="str">
        <f t="shared" si="233"/>
        <v>LCOZ2</v>
      </c>
      <c r="AH1374" s="80" t="str">
        <f t="shared" si="234"/>
        <v>LCOF3</v>
      </c>
    </row>
    <row r="1375" spans="25:34" x14ac:dyDescent="0.35">
      <c r="Y1375" s="74">
        <f t="shared" si="225"/>
        <v>44778</v>
      </c>
      <c r="Z1375" s="74" t="e">
        <f t="shared" ca="1" si="226"/>
        <v>#N/A</v>
      </c>
      <c r="AA1375" s="80" t="str">
        <f t="shared" ca="1" si="227"/>
        <v>CLU2</v>
      </c>
      <c r="AB1375" s="74" t="e">
        <f t="shared" si="229"/>
        <v>#N/A</v>
      </c>
      <c r="AC1375" s="80" t="str">
        <f t="shared" si="228"/>
        <v>LCOV2</v>
      </c>
      <c r="AD1375" s="80" t="str">
        <f t="shared" si="230"/>
        <v>CLV2</v>
      </c>
      <c r="AE1375" s="80" t="str">
        <f t="shared" si="231"/>
        <v>LCOX2</v>
      </c>
      <c r="AF1375" s="80" t="str">
        <f t="shared" si="232"/>
        <v>CLX2</v>
      </c>
      <c r="AG1375" s="80" t="str">
        <f t="shared" si="233"/>
        <v>LCOZ2</v>
      </c>
      <c r="AH1375" s="80" t="str">
        <f t="shared" si="234"/>
        <v>LCOF3</v>
      </c>
    </row>
    <row r="1376" spans="25:34" x14ac:dyDescent="0.35">
      <c r="Y1376" s="74">
        <f t="shared" si="225"/>
        <v>44779</v>
      </c>
      <c r="Z1376" s="74" t="e">
        <f t="shared" ca="1" si="226"/>
        <v>#N/A</v>
      </c>
      <c r="AA1376" s="80" t="str">
        <f t="shared" ca="1" si="227"/>
        <v>CLU2</v>
      </c>
      <c r="AB1376" s="74" t="e">
        <f t="shared" si="229"/>
        <v>#N/A</v>
      </c>
      <c r="AC1376" s="80" t="str">
        <f t="shared" si="228"/>
        <v>LCOV2</v>
      </c>
      <c r="AD1376" s="80" t="str">
        <f t="shared" si="230"/>
        <v>CLV2</v>
      </c>
      <c r="AE1376" s="80" t="str">
        <f t="shared" si="231"/>
        <v>LCOX2</v>
      </c>
      <c r="AF1376" s="80" t="str">
        <f t="shared" si="232"/>
        <v>CLX2</v>
      </c>
      <c r="AG1376" s="80" t="str">
        <f t="shared" si="233"/>
        <v>LCOZ2</v>
      </c>
      <c r="AH1376" s="80" t="str">
        <f t="shared" si="234"/>
        <v>LCOF3</v>
      </c>
    </row>
    <row r="1377" spans="25:34" x14ac:dyDescent="0.35">
      <c r="Y1377" s="74">
        <f t="shared" ref="Y1377:Y1440" si="235">Y1376+1</f>
        <v>44780</v>
      </c>
      <c r="Z1377" s="74" t="e">
        <f t="shared" ca="1" si="226"/>
        <v>#N/A</v>
      </c>
      <c r="AA1377" s="80" t="str">
        <f t="shared" ca="1" si="227"/>
        <v>CLU2</v>
      </c>
      <c r="AB1377" s="74" t="e">
        <f t="shared" si="229"/>
        <v>#N/A</v>
      </c>
      <c r="AC1377" s="80" t="str">
        <f t="shared" si="228"/>
        <v>LCOV2</v>
      </c>
      <c r="AD1377" s="80" t="str">
        <f t="shared" si="230"/>
        <v>CLV2</v>
      </c>
      <c r="AE1377" s="80" t="str">
        <f t="shared" si="231"/>
        <v>LCOX2</v>
      </c>
      <c r="AF1377" s="80" t="str">
        <f t="shared" si="232"/>
        <v>CLX2</v>
      </c>
      <c r="AG1377" s="80" t="str">
        <f t="shared" si="233"/>
        <v>LCOZ2</v>
      </c>
      <c r="AH1377" s="80" t="str">
        <f t="shared" si="234"/>
        <v>LCOF3</v>
      </c>
    </row>
    <row r="1378" spans="25:34" x14ac:dyDescent="0.35">
      <c r="Y1378" s="74">
        <f t="shared" si="235"/>
        <v>44781</v>
      </c>
      <c r="Z1378" s="74" t="e">
        <f t="shared" ca="1" si="226"/>
        <v>#N/A</v>
      </c>
      <c r="AA1378" s="80" t="str">
        <f t="shared" ca="1" si="227"/>
        <v>CLU2</v>
      </c>
      <c r="AB1378" s="74" t="e">
        <f t="shared" si="229"/>
        <v>#N/A</v>
      </c>
      <c r="AC1378" s="80" t="str">
        <f t="shared" si="228"/>
        <v>LCOV2</v>
      </c>
      <c r="AD1378" s="80" t="str">
        <f t="shared" si="230"/>
        <v>CLV2</v>
      </c>
      <c r="AE1378" s="80" t="str">
        <f t="shared" si="231"/>
        <v>LCOX2</v>
      </c>
      <c r="AF1378" s="80" t="str">
        <f t="shared" si="232"/>
        <v>CLX2</v>
      </c>
      <c r="AG1378" s="80" t="str">
        <f t="shared" si="233"/>
        <v>LCOZ2</v>
      </c>
      <c r="AH1378" s="80" t="str">
        <f t="shared" si="234"/>
        <v>LCOF3</v>
      </c>
    </row>
    <row r="1379" spans="25:34" x14ac:dyDescent="0.35">
      <c r="Y1379" s="74">
        <f t="shared" si="235"/>
        <v>44782</v>
      </c>
      <c r="Z1379" s="74" t="e">
        <f t="shared" ca="1" si="226"/>
        <v>#N/A</v>
      </c>
      <c r="AA1379" s="80" t="str">
        <f t="shared" ca="1" si="227"/>
        <v>CLU2</v>
      </c>
      <c r="AB1379" s="74" t="e">
        <f t="shared" si="229"/>
        <v>#N/A</v>
      </c>
      <c r="AC1379" s="80" t="str">
        <f t="shared" si="228"/>
        <v>LCOV2</v>
      </c>
      <c r="AD1379" s="80" t="str">
        <f t="shared" si="230"/>
        <v>CLV2</v>
      </c>
      <c r="AE1379" s="80" t="str">
        <f t="shared" si="231"/>
        <v>LCOX2</v>
      </c>
      <c r="AF1379" s="80" t="str">
        <f t="shared" si="232"/>
        <v>CLX2</v>
      </c>
      <c r="AG1379" s="80" t="str">
        <f t="shared" si="233"/>
        <v>LCOZ2</v>
      </c>
      <c r="AH1379" s="80" t="str">
        <f t="shared" si="234"/>
        <v>LCOF3</v>
      </c>
    </row>
    <row r="1380" spans="25:34" x14ac:dyDescent="0.35">
      <c r="Y1380" s="74">
        <f t="shared" si="235"/>
        <v>44783</v>
      </c>
      <c r="Z1380" s="74" t="e">
        <f t="shared" ca="1" si="226"/>
        <v>#N/A</v>
      </c>
      <c r="AA1380" s="80" t="str">
        <f t="shared" ca="1" si="227"/>
        <v>CLU2</v>
      </c>
      <c r="AB1380" s="74" t="e">
        <f t="shared" si="229"/>
        <v>#N/A</v>
      </c>
      <c r="AC1380" s="80" t="str">
        <f t="shared" si="228"/>
        <v>LCOV2</v>
      </c>
      <c r="AD1380" s="80" t="str">
        <f t="shared" si="230"/>
        <v>CLV2</v>
      </c>
      <c r="AE1380" s="80" t="str">
        <f t="shared" si="231"/>
        <v>LCOX2</v>
      </c>
      <c r="AF1380" s="80" t="str">
        <f t="shared" si="232"/>
        <v>CLX2</v>
      </c>
      <c r="AG1380" s="80" t="str">
        <f t="shared" si="233"/>
        <v>LCOZ2</v>
      </c>
      <c r="AH1380" s="80" t="str">
        <f t="shared" si="234"/>
        <v>LCOF3</v>
      </c>
    </row>
    <row r="1381" spans="25:34" x14ac:dyDescent="0.35">
      <c r="Y1381" s="74">
        <f t="shared" si="235"/>
        <v>44784</v>
      </c>
      <c r="Z1381" s="74" t="e">
        <f t="shared" ca="1" si="226"/>
        <v>#N/A</v>
      </c>
      <c r="AA1381" s="80" t="str">
        <f t="shared" ca="1" si="227"/>
        <v>CLU2</v>
      </c>
      <c r="AB1381" s="74" t="e">
        <f t="shared" si="229"/>
        <v>#N/A</v>
      </c>
      <c r="AC1381" s="80" t="str">
        <f t="shared" si="228"/>
        <v>LCOV2</v>
      </c>
      <c r="AD1381" s="80" t="str">
        <f t="shared" si="230"/>
        <v>CLV2</v>
      </c>
      <c r="AE1381" s="80" t="str">
        <f t="shared" si="231"/>
        <v>LCOX2</v>
      </c>
      <c r="AF1381" s="80" t="str">
        <f t="shared" si="232"/>
        <v>CLX2</v>
      </c>
      <c r="AG1381" s="80" t="str">
        <f t="shared" si="233"/>
        <v>LCOZ2</v>
      </c>
      <c r="AH1381" s="80" t="str">
        <f t="shared" si="234"/>
        <v>LCOF3</v>
      </c>
    </row>
    <row r="1382" spans="25:34" x14ac:dyDescent="0.35">
      <c r="Y1382" s="74">
        <f t="shared" si="235"/>
        <v>44785</v>
      </c>
      <c r="Z1382" s="74" t="e">
        <f t="shared" ca="1" si="226"/>
        <v>#N/A</v>
      </c>
      <c r="AA1382" s="80" t="str">
        <f t="shared" ca="1" si="227"/>
        <v>CLU2</v>
      </c>
      <c r="AB1382" s="74" t="e">
        <f t="shared" si="229"/>
        <v>#N/A</v>
      </c>
      <c r="AC1382" s="80" t="str">
        <f t="shared" si="228"/>
        <v>LCOV2</v>
      </c>
      <c r="AD1382" s="80" t="str">
        <f t="shared" si="230"/>
        <v>CLV2</v>
      </c>
      <c r="AE1382" s="80" t="str">
        <f t="shared" si="231"/>
        <v>LCOX2</v>
      </c>
      <c r="AF1382" s="80" t="str">
        <f t="shared" si="232"/>
        <v>CLX2</v>
      </c>
      <c r="AG1382" s="80" t="str">
        <f t="shared" si="233"/>
        <v>LCOZ2</v>
      </c>
      <c r="AH1382" s="80" t="str">
        <f t="shared" si="234"/>
        <v>LCOF3</v>
      </c>
    </row>
    <row r="1383" spans="25:34" x14ac:dyDescent="0.35">
      <c r="Y1383" s="74">
        <f t="shared" si="235"/>
        <v>44786</v>
      </c>
      <c r="Z1383" s="74" t="e">
        <f t="shared" ca="1" si="226"/>
        <v>#N/A</v>
      </c>
      <c r="AA1383" s="80" t="str">
        <f t="shared" ca="1" si="227"/>
        <v>CLU2</v>
      </c>
      <c r="AB1383" s="74" t="e">
        <f t="shared" si="229"/>
        <v>#N/A</v>
      </c>
      <c r="AC1383" s="80" t="str">
        <f t="shared" si="228"/>
        <v>LCOV2</v>
      </c>
      <c r="AD1383" s="80" t="str">
        <f t="shared" si="230"/>
        <v>CLV2</v>
      </c>
      <c r="AE1383" s="80" t="str">
        <f t="shared" si="231"/>
        <v>LCOX2</v>
      </c>
      <c r="AF1383" s="80" t="str">
        <f t="shared" si="232"/>
        <v>CLX2</v>
      </c>
      <c r="AG1383" s="80" t="str">
        <f t="shared" si="233"/>
        <v>LCOZ2</v>
      </c>
      <c r="AH1383" s="80" t="str">
        <f t="shared" si="234"/>
        <v>LCOF3</v>
      </c>
    </row>
    <row r="1384" spans="25:34" x14ac:dyDescent="0.35">
      <c r="Y1384" s="74">
        <f t="shared" si="235"/>
        <v>44787</v>
      </c>
      <c r="Z1384" s="74" t="e">
        <f t="shared" ca="1" si="226"/>
        <v>#N/A</v>
      </c>
      <c r="AA1384" s="80" t="str">
        <f t="shared" ca="1" si="227"/>
        <v>CLU2</v>
      </c>
      <c r="AB1384" s="74" t="e">
        <f t="shared" si="229"/>
        <v>#N/A</v>
      </c>
      <c r="AC1384" s="80" t="str">
        <f t="shared" si="228"/>
        <v>LCOV2</v>
      </c>
      <c r="AD1384" s="80" t="str">
        <f t="shared" si="230"/>
        <v>CLV2</v>
      </c>
      <c r="AE1384" s="80" t="str">
        <f t="shared" si="231"/>
        <v>LCOX2</v>
      </c>
      <c r="AF1384" s="80" t="str">
        <f t="shared" si="232"/>
        <v>CLX2</v>
      </c>
      <c r="AG1384" s="80" t="str">
        <f t="shared" si="233"/>
        <v>LCOZ2</v>
      </c>
      <c r="AH1384" s="80" t="str">
        <f t="shared" si="234"/>
        <v>LCOF3</v>
      </c>
    </row>
    <row r="1385" spans="25:34" x14ac:dyDescent="0.35">
      <c r="Y1385" s="74">
        <f t="shared" si="235"/>
        <v>44788</v>
      </c>
      <c r="Z1385" s="74" t="e">
        <f t="shared" ca="1" si="226"/>
        <v>#N/A</v>
      </c>
      <c r="AA1385" s="80" t="str">
        <f t="shared" ca="1" si="227"/>
        <v>CLU2</v>
      </c>
      <c r="AB1385" s="74" t="e">
        <f t="shared" si="229"/>
        <v>#N/A</v>
      </c>
      <c r="AC1385" s="80" t="str">
        <f t="shared" si="228"/>
        <v>LCOV2</v>
      </c>
      <c r="AD1385" s="80" t="str">
        <f t="shared" si="230"/>
        <v>CLV2</v>
      </c>
      <c r="AE1385" s="80" t="str">
        <f t="shared" si="231"/>
        <v>LCOX2</v>
      </c>
      <c r="AF1385" s="80" t="str">
        <f t="shared" si="232"/>
        <v>CLX2</v>
      </c>
      <c r="AG1385" s="80" t="str">
        <f t="shared" si="233"/>
        <v>LCOZ2</v>
      </c>
      <c r="AH1385" s="80" t="str">
        <f t="shared" si="234"/>
        <v>LCOF3</v>
      </c>
    </row>
    <row r="1386" spans="25:34" x14ac:dyDescent="0.35">
      <c r="Y1386" s="74">
        <f t="shared" si="235"/>
        <v>44789</v>
      </c>
      <c r="Z1386" s="74" t="e">
        <f t="shared" ca="1" si="226"/>
        <v>#N/A</v>
      </c>
      <c r="AA1386" s="80" t="str">
        <f t="shared" ca="1" si="227"/>
        <v>CLU2</v>
      </c>
      <c r="AB1386" s="74" t="e">
        <f t="shared" si="229"/>
        <v>#N/A</v>
      </c>
      <c r="AC1386" s="80" t="str">
        <f t="shared" si="228"/>
        <v>LCOV2</v>
      </c>
      <c r="AD1386" s="80" t="str">
        <f t="shared" si="230"/>
        <v>CLV2</v>
      </c>
      <c r="AE1386" s="80" t="str">
        <f t="shared" si="231"/>
        <v>LCOX2</v>
      </c>
      <c r="AF1386" s="80" t="str">
        <f t="shared" si="232"/>
        <v>CLX2</v>
      </c>
      <c r="AG1386" s="80" t="str">
        <f t="shared" si="233"/>
        <v>LCOZ2</v>
      </c>
      <c r="AH1386" s="80" t="str">
        <f t="shared" si="234"/>
        <v>LCOF3</v>
      </c>
    </row>
    <row r="1387" spans="25:34" x14ac:dyDescent="0.35">
      <c r="Y1387" s="74">
        <f t="shared" si="235"/>
        <v>44790</v>
      </c>
      <c r="Z1387" s="74" t="e">
        <f t="shared" ca="1" si="226"/>
        <v>#N/A</v>
      </c>
      <c r="AA1387" s="80" t="str">
        <f t="shared" ca="1" si="227"/>
        <v>CLU2</v>
      </c>
      <c r="AB1387" s="74" t="e">
        <f t="shared" si="229"/>
        <v>#N/A</v>
      </c>
      <c r="AC1387" s="80" t="str">
        <f t="shared" si="228"/>
        <v>LCOV2</v>
      </c>
      <c r="AD1387" s="80" t="str">
        <f t="shared" si="230"/>
        <v>CLV2</v>
      </c>
      <c r="AE1387" s="80" t="str">
        <f t="shared" si="231"/>
        <v>LCOX2</v>
      </c>
      <c r="AF1387" s="80" t="str">
        <f t="shared" si="232"/>
        <v>CLX2</v>
      </c>
      <c r="AG1387" s="80" t="str">
        <f t="shared" si="233"/>
        <v>LCOZ2</v>
      </c>
      <c r="AH1387" s="80" t="str">
        <f t="shared" si="234"/>
        <v>LCOF3</v>
      </c>
    </row>
    <row r="1388" spans="25:34" x14ac:dyDescent="0.35">
      <c r="Y1388" s="74">
        <f t="shared" si="235"/>
        <v>44791</v>
      </c>
      <c r="Z1388" s="74" t="e">
        <f t="shared" ca="1" si="226"/>
        <v>#N/A</v>
      </c>
      <c r="AA1388" s="80" t="str">
        <f t="shared" ca="1" si="227"/>
        <v>CLU2</v>
      </c>
      <c r="AB1388" s="74" t="e">
        <f t="shared" si="229"/>
        <v>#N/A</v>
      </c>
      <c r="AC1388" s="80" t="str">
        <f t="shared" si="228"/>
        <v>LCOV2</v>
      </c>
      <c r="AD1388" s="80" t="str">
        <f t="shared" si="230"/>
        <v>CLV2</v>
      </c>
      <c r="AE1388" s="80" t="str">
        <f t="shared" si="231"/>
        <v>LCOX2</v>
      </c>
      <c r="AF1388" s="80" t="str">
        <f t="shared" si="232"/>
        <v>CLX2</v>
      </c>
      <c r="AG1388" s="80" t="str">
        <f t="shared" si="233"/>
        <v>LCOZ2</v>
      </c>
      <c r="AH1388" s="80" t="str">
        <f t="shared" si="234"/>
        <v>LCOF3</v>
      </c>
    </row>
    <row r="1389" spans="25:34" x14ac:dyDescent="0.35">
      <c r="Y1389" s="74">
        <f t="shared" si="235"/>
        <v>44792</v>
      </c>
      <c r="Z1389" s="74" t="e">
        <f t="shared" ca="1" si="226"/>
        <v>#N/A</v>
      </c>
      <c r="AA1389" s="80" t="str">
        <f t="shared" ca="1" si="227"/>
        <v>CLU2</v>
      </c>
      <c r="AB1389" s="74" t="e">
        <f t="shared" si="229"/>
        <v>#N/A</v>
      </c>
      <c r="AC1389" s="80" t="str">
        <f t="shared" si="228"/>
        <v>LCOV2</v>
      </c>
      <c r="AD1389" s="80" t="str">
        <f t="shared" si="230"/>
        <v>CLV2</v>
      </c>
      <c r="AE1389" s="80" t="str">
        <f t="shared" si="231"/>
        <v>LCOX2</v>
      </c>
      <c r="AF1389" s="80" t="str">
        <f t="shared" si="232"/>
        <v>CLX2</v>
      </c>
      <c r="AG1389" s="80" t="str">
        <f t="shared" si="233"/>
        <v>LCOZ2</v>
      </c>
      <c r="AH1389" s="80" t="str">
        <f t="shared" si="234"/>
        <v>LCOF3</v>
      </c>
    </row>
    <row r="1390" spans="25:34" x14ac:dyDescent="0.35">
      <c r="Y1390" s="74">
        <f t="shared" si="235"/>
        <v>44793</v>
      </c>
      <c r="Z1390" s="74" t="e">
        <f t="shared" ca="1" si="226"/>
        <v>#N/A</v>
      </c>
      <c r="AA1390" s="80" t="str">
        <f t="shared" ca="1" si="227"/>
        <v>CLU2</v>
      </c>
      <c r="AB1390" s="74" t="e">
        <f t="shared" si="229"/>
        <v>#N/A</v>
      </c>
      <c r="AC1390" s="80" t="str">
        <f t="shared" si="228"/>
        <v>LCOV2</v>
      </c>
      <c r="AD1390" s="80" t="str">
        <f t="shared" si="230"/>
        <v>CLV2</v>
      </c>
      <c r="AE1390" s="80" t="str">
        <f t="shared" si="231"/>
        <v>LCOX2</v>
      </c>
      <c r="AF1390" s="80" t="str">
        <f t="shared" si="232"/>
        <v>CLX2</v>
      </c>
      <c r="AG1390" s="80" t="str">
        <f t="shared" si="233"/>
        <v>LCOZ2</v>
      </c>
      <c r="AH1390" s="80" t="str">
        <f t="shared" si="234"/>
        <v>LCOF3</v>
      </c>
    </row>
    <row r="1391" spans="25:34" x14ac:dyDescent="0.35">
      <c r="Y1391" s="74">
        <f t="shared" si="235"/>
        <v>44794</v>
      </c>
      <c r="Z1391" s="74" t="e">
        <f t="shared" ca="1" si="226"/>
        <v>#N/A</v>
      </c>
      <c r="AA1391" s="80" t="str">
        <f t="shared" ca="1" si="227"/>
        <v>CLU2</v>
      </c>
      <c r="AB1391" s="74" t="e">
        <f t="shared" si="229"/>
        <v>#N/A</v>
      </c>
      <c r="AC1391" s="80" t="str">
        <f t="shared" si="228"/>
        <v>LCOV2</v>
      </c>
      <c r="AD1391" s="80" t="str">
        <f t="shared" si="230"/>
        <v>CLV2</v>
      </c>
      <c r="AE1391" s="80" t="str">
        <f t="shared" si="231"/>
        <v>LCOX2</v>
      </c>
      <c r="AF1391" s="80" t="str">
        <f t="shared" si="232"/>
        <v>CLX2</v>
      </c>
      <c r="AG1391" s="80" t="str">
        <f t="shared" si="233"/>
        <v>LCOZ2</v>
      </c>
      <c r="AH1391" s="80" t="str">
        <f t="shared" si="234"/>
        <v>LCOF3</v>
      </c>
    </row>
    <row r="1392" spans="25:34" x14ac:dyDescent="0.35">
      <c r="Y1392" s="74">
        <f t="shared" si="235"/>
        <v>44795</v>
      </c>
      <c r="Z1392" s="74" t="e">
        <f t="shared" ca="1" si="226"/>
        <v>#N/A</v>
      </c>
      <c r="AA1392" s="80" t="str">
        <f t="shared" ca="1" si="227"/>
        <v>CLU2</v>
      </c>
      <c r="AB1392" s="74" t="e">
        <f t="shared" si="229"/>
        <v>#N/A</v>
      </c>
      <c r="AC1392" s="80" t="str">
        <f t="shared" si="228"/>
        <v>LCOV2</v>
      </c>
      <c r="AD1392" s="80" t="str">
        <f t="shared" si="230"/>
        <v>CLV2</v>
      </c>
      <c r="AE1392" s="80" t="str">
        <f t="shared" si="231"/>
        <v>LCOX2</v>
      </c>
      <c r="AF1392" s="80" t="str">
        <f t="shared" si="232"/>
        <v>CLX2</v>
      </c>
      <c r="AG1392" s="80" t="str">
        <f t="shared" si="233"/>
        <v>LCOZ2</v>
      </c>
      <c r="AH1392" s="80" t="str">
        <f t="shared" si="234"/>
        <v>LCOF3</v>
      </c>
    </row>
    <row r="1393" spans="25:34" x14ac:dyDescent="0.35">
      <c r="Y1393" s="74">
        <f t="shared" si="235"/>
        <v>44796</v>
      </c>
      <c r="Z1393" s="74" t="e">
        <f t="shared" ca="1" si="226"/>
        <v>#N/A</v>
      </c>
      <c r="AA1393" s="80" t="str">
        <f t="shared" ca="1" si="227"/>
        <v>CLV2</v>
      </c>
      <c r="AB1393" s="74" t="e">
        <f t="shared" si="229"/>
        <v>#N/A</v>
      </c>
      <c r="AC1393" s="80" t="str">
        <f t="shared" si="228"/>
        <v>LCOV2</v>
      </c>
      <c r="AD1393" s="80" t="str">
        <f t="shared" si="230"/>
        <v>CLV2</v>
      </c>
      <c r="AE1393" s="80" t="str">
        <f t="shared" si="231"/>
        <v>LCOX2</v>
      </c>
      <c r="AF1393" s="80" t="str">
        <f t="shared" si="232"/>
        <v>CLX2</v>
      </c>
      <c r="AG1393" s="80" t="str">
        <f t="shared" si="233"/>
        <v>LCOZ2</v>
      </c>
      <c r="AH1393" s="80" t="str">
        <f t="shared" si="234"/>
        <v>LCOF3</v>
      </c>
    </row>
    <row r="1394" spans="25:34" x14ac:dyDescent="0.35">
      <c r="Y1394" s="74">
        <f t="shared" si="235"/>
        <v>44797</v>
      </c>
      <c r="Z1394" s="74" t="e">
        <f t="shared" ca="1" si="226"/>
        <v>#N/A</v>
      </c>
      <c r="AA1394" s="80" t="str">
        <f t="shared" ca="1" si="227"/>
        <v>CLV2</v>
      </c>
      <c r="AB1394" s="74" t="e">
        <f t="shared" si="229"/>
        <v>#N/A</v>
      </c>
      <c r="AC1394" s="80" t="str">
        <f t="shared" si="228"/>
        <v>LCOV2</v>
      </c>
      <c r="AD1394" s="80" t="str">
        <f t="shared" si="230"/>
        <v>CLV2</v>
      </c>
      <c r="AE1394" s="80" t="str">
        <f t="shared" si="231"/>
        <v>LCOX2</v>
      </c>
      <c r="AF1394" s="80" t="str">
        <f t="shared" si="232"/>
        <v>CLX2</v>
      </c>
      <c r="AG1394" s="80" t="str">
        <f t="shared" si="233"/>
        <v>LCOZ2</v>
      </c>
      <c r="AH1394" s="80" t="str">
        <f t="shared" si="234"/>
        <v>LCOF3</v>
      </c>
    </row>
    <row r="1395" spans="25:34" x14ac:dyDescent="0.35">
      <c r="Y1395" s="74">
        <f t="shared" si="235"/>
        <v>44798</v>
      </c>
      <c r="Z1395" s="74" t="e">
        <f t="shared" ca="1" si="226"/>
        <v>#N/A</v>
      </c>
      <c r="AA1395" s="80" t="str">
        <f t="shared" ca="1" si="227"/>
        <v>CLV2</v>
      </c>
      <c r="AB1395" s="74" t="e">
        <f t="shared" si="229"/>
        <v>#N/A</v>
      </c>
      <c r="AC1395" s="80" t="str">
        <f t="shared" si="228"/>
        <v>LCOV2</v>
      </c>
      <c r="AD1395" s="80" t="str">
        <f t="shared" si="230"/>
        <v>CLV2</v>
      </c>
      <c r="AE1395" s="80" t="str">
        <f t="shared" si="231"/>
        <v>LCOX2</v>
      </c>
      <c r="AF1395" s="80" t="str">
        <f t="shared" si="232"/>
        <v>CLX2</v>
      </c>
      <c r="AG1395" s="80" t="str">
        <f t="shared" si="233"/>
        <v>LCOZ2</v>
      </c>
      <c r="AH1395" s="80" t="str">
        <f t="shared" si="234"/>
        <v>LCOF3</v>
      </c>
    </row>
    <row r="1396" spans="25:34" x14ac:dyDescent="0.35">
      <c r="Y1396" s="74">
        <f t="shared" si="235"/>
        <v>44799</v>
      </c>
      <c r="Z1396" s="74" t="e">
        <f t="shared" ca="1" si="226"/>
        <v>#N/A</v>
      </c>
      <c r="AA1396" s="80" t="str">
        <f t="shared" ca="1" si="227"/>
        <v>CLV2</v>
      </c>
      <c r="AB1396" s="74" t="e">
        <f t="shared" si="229"/>
        <v>#N/A</v>
      </c>
      <c r="AC1396" s="80" t="str">
        <f t="shared" si="228"/>
        <v>LCOV2</v>
      </c>
      <c r="AD1396" s="80" t="str">
        <f t="shared" si="230"/>
        <v>CLV2</v>
      </c>
      <c r="AE1396" s="80" t="str">
        <f t="shared" si="231"/>
        <v>LCOX2</v>
      </c>
      <c r="AF1396" s="80" t="str">
        <f t="shared" si="232"/>
        <v>CLX2</v>
      </c>
      <c r="AG1396" s="80" t="str">
        <f t="shared" si="233"/>
        <v>LCOZ2</v>
      </c>
      <c r="AH1396" s="80" t="str">
        <f t="shared" si="234"/>
        <v>LCOF3</v>
      </c>
    </row>
    <row r="1397" spans="25:34" x14ac:dyDescent="0.35">
      <c r="Y1397" s="74">
        <f t="shared" si="235"/>
        <v>44800</v>
      </c>
      <c r="Z1397" s="74" t="e">
        <f t="shared" ca="1" si="226"/>
        <v>#N/A</v>
      </c>
      <c r="AA1397" s="80" t="str">
        <f t="shared" ca="1" si="227"/>
        <v>CLV2</v>
      </c>
      <c r="AB1397" s="74" t="e">
        <f t="shared" si="229"/>
        <v>#N/A</v>
      </c>
      <c r="AC1397" s="80" t="str">
        <f t="shared" si="228"/>
        <v>LCOV2</v>
      </c>
      <c r="AD1397" s="80" t="str">
        <f t="shared" si="230"/>
        <v>CLV2</v>
      </c>
      <c r="AE1397" s="80" t="str">
        <f t="shared" si="231"/>
        <v>LCOX2</v>
      </c>
      <c r="AF1397" s="80" t="str">
        <f t="shared" si="232"/>
        <v>CLX2</v>
      </c>
      <c r="AG1397" s="80" t="str">
        <f t="shared" si="233"/>
        <v>LCOZ2</v>
      </c>
      <c r="AH1397" s="80" t="str">
        <f t="shared" si="234"/>
        <v>LCOF3</v>
      </c>
    </row>
    <row r="1398" spans="25:34" x14ac:dyDescent="0.35">
      <c r="Y1398" s="74">
        <f t="shared" si="235"/>
        <v>44801</v>
      </c>
      <c r="Z1398" s="74" t="e">
        <f t="shared" ca="1" si="226"/>
        <v>#N/A</v>
      </c>
      <c r="AA1398" s="80" t="str">
        <f t="shared" ca="1" si="227"/>
        <v>CLV2</v>
      </c>
      <c r="AB1398" s="74" t="e">
        <f t="shared" si="229"/>
        <v>#N/A</v>
      </c>
      <c r="AC1398" s="80" t="str">
        <f t="shared" si="228"/>
        <v>LCOV2</v>
      </c>
      <c r="AD1398" s="80" t="str">
        <f t="shared" si="230"/>
        <v>CLV2</v>
      </c>
      <c r="AE1398" s="80" t="str">
        <f t="shared" si="231"/>
        <v>LCOX2</v>
      </c>
      <c r="AF1398" s="80" t="str">
        <f t="shared" si="232"/>
        <v>CLX2</v>
      </c>
      <c r="AG1398" s="80" t="str">
        <f t="shared" si="233"/>
        <v>LCOZ2</v>
      </c>
      <c r="AH1398" s="80" t="str">
        <f t="shared" si="234"/>
        <v>LCOF3</v>
      </c>
    </row>
    <row r="1399" spans="25:34" x14ac:dyDescent="0.35">
      <c r="Y1399" s="74">
        <f t="shared" si="235"/>
        <v>44802</v>
      </c>
      <c r="Z1399" s="74" t="e">
        <f t="shared" ca="1" si="226"/>
        <v>#N/A</v>
      </c>
      <c r="AA1399" s="80" t="str">
        <f t="shared" ca="1" si="227"/>
        <v>CLV2</v>
      </c>
      <c r="AB1399" s="74" t="e">
        <f t="shared" si="229"/>
        <v>#N/A</v>
      </c>
      <c r="AC1399" s="80" t="str">
        <f t="shared" si="228"/>
        <v>LCOV2</v>
      </c>
      <c r="AD1399" s="80" t="str">
        <f t="shared" si="230"/>
        <v>CLV2</v>
      </c>
      <c r="AE1399" s="80" t="str">
        <f t="shared" si="231"/>
        <v>LCOX2</v>
      </c>
      <c r="AF1399" s="80" t="str">
        <f t="shared" si="232"/>
        <v>CLX2</v>
      </c>
      <c r="AG1399" s="80" t="str">
        <f t="shared" si="233"/>
        <v>LCOZ2</v>
      </c>
      <c r="AH1399" s="80" t="str">
        <f t="shared" si="234"/>
        <v>LCOF3</v>
      </c>
    </row>
    <row r="1400" spans="25:34" x14ac:dyDescent="0.35">
      <c r="Y1400" s="74">
        <f t="shared" si="235"/>
        <v>44803</v>
      </c>
      <c r="Z1400" s="74" t="e">
        <f t="shared" ca="1" si="226"/>
        <v>#N/A</v>
      </c>
      <c r="AA1400" s="80" t="str">
        <f t="shared" ca="1" si="227"/>
        <v>CLV2</v>
      </c>
      <c r="AB1400" s="74" t="e">
        <f t="shared" si="229"/>
        <v>#N/A</v>
      </c>
      <c r="AC1400" s="80" t="str">
        <f t="shared" si="228"/>
        <v>LCOV2</v>
      </c>
      <c r="AD1400" s="80" t="str">
        <f t="shared" si="230"/>
        <v>CLV2</v>
      </c>
      <c r="AE1400" s="80" t="str">
        <f t="shared" si="231"/>
        <v>LCOX2</v>
      </c>
      <c r="AF1400" s="80" t="str">
        <f t="shared" si="232"/>
        <v>CLX2</v>
      </c>
      <c r="AG1400" s="80" t="str">
        <f t="shared" si="233"/>
        <v>LCOZ2</v>
      </c>
      <c r="AH1400" s="80" t="str">
        <f t="shared" si="234"/>
        <v>LCOF3</v>
      </c>
    </row>
    <row r="1401" spans="25:34" x14ac:dyDescent="0.35">
      <c r="Y1401" s="74">
        <f t="shared" si="235"/>
        <v>44804</v>
      </c>
      <c r="Z1401" s="74" t="e">
        <f t="shared" ca="1" si="226"/>
        <v>#N/A</v>
      </c>
      <c r="AA1401" s="80" t="str">
        <f t="shared" ca="1" si="227"/>
        <v>CLV2</v>
      </c>
      <c r="AB1401" s="74" t="e">
        <f t="shared" si="229"/>
        <v>#N/A</v>
      </c>
      <c r="AC1401" s="80" t="str">
        <f t="shared" si="228"/>
        <v>LCOV2</v>
      </c>
      <c r="AD1401" s="80" t="str">
        <f t="shared" si="230"/>
        <v>CLV2</v>
      </c>
      <c r="AE1401" s="80" t="str">
        <f t="shared" si="231"/>
        <v>LCOX2</v>
      </c>
      <c r="AF1401" s="80" t="str">
        <f t="shared" si="232"/>
        <v>CLX2</v>
      </c>
      <c r="AG1401" s="80" t="str">
        <f t="shared" si="233"/>
        <v>LCOZ2</v>
      </c>
      <c r="AH1401" s="80" t="str">
        <f t="shared" si="234"/>
        <v>LCOF3</v>
      </c>
    </row>
    <row r="1402" spans="25:34" x14ac:dyDescent="0.35">
      <c r="Y1402" s="74">
        <f t="shared" si="235"/>
        <v>44805</v>
      </c>
      <c r="Z1402" s="74" t="e">
        <f t="shared" ca="1" si="226"/>
        <v>#N/A</v>
      </c>
      <c r="AA1402" s="80" t="str">
        <f t="shared" ca="1" si="227"/>
        <v>CLV2</v>
      </c>
      <c r="AB1402" s="74" t="e">
        <f t="shared" si="229"/>
        <v>#N/A</v>
      </c>
      <c r="AC1402" s="80" t="str">
        <f t="shared" si="228"/>
        <v>LCOX2</v>
      </c>
      <c r="AD1402" s="80" t="str">
        <f t="shared" si="230"/>
        <v>CLX2</v>
      </c>
      <c r="AE1402" s="80" t="str">
        <f t="shared" si="231"/>
        <v>LCOZ2</v>
      </c>
      <c r="AF1402" s="80" t="str">
        <f t="shared" si="232"/>
        <v>CLZ2</v>
      </c>
      <c r="AG1402" s="80" t="str">
        <f t="shared" si="233"/>
        <v>LCOF3</v>
      </c>
      <c r="AH1402" s="80" t="str">
        <f t="shared" si="234"/>
        <v>LCOG3</v>
      </c>
    </row>
    <row r="1403" spans="25:34" x14ac:dyDescent="0.35">
      <c r="Y1403" s="74">
        <f t="shared" si="235"/>
        <v>44806</v>
      </c>
      <c r="Z1403" s="74" t="e">
        <f t="shared" ca="1" si="226"/>
        <v>#N/A</v>
      </c>
      <c r="AA1403" s="80" t="str">
        <f t="shared" ca="1" si="227"/>
        <v>CLV2</v>
      </c>
      <c r="AB1403" s="74" t="e">
        <f t="shared" si="229"/>
        <v>#N/A</v>
      </c>
      <c r="AC1403" s="80" t="str">
        <f t="shared" si="228"/>
        <v>LCOX2</v>
      </c>
      <c r="AD1403" s="80" t="str">
        <f t="shared" si="230"/>
        <v>CLX2</v>
      </c>
      <c r="AE1403" s="80" t="str">
        <f t="shared" si="231"/>
        <v>LCOZ2</v>
      </c>
      <c r="AF1403" s="80" t="str">
        <f t="shared" si="232"/>
        <v>CLZ2</v>
      </c>
      <c r="AG1403" s="80" t="str">
        <f t="shared" si="233"/>
        <v>LCOF3</v>
      </c>
      <c r="AH1403" s="80" t="str">
        <f t="shared" si="234"/>
        <v>LCOG3</v>
      </c>
    </row>
    <row r="1404" spans="25:34" x14ac:dyDescent="0.35">
      <c r="Y1404" s="74">
        <f t="shared" si="235"/>
        <v>44807</v>
      </c>
      <c r="Z1404" s="74" t="e">
        <f t="shared" ca="1" si="226"/>
        <v>#N/A</v>
      </c>
      <c r="AA1404" s="80" t="str">
        <f t="shared" ca="1" si="227"/>
        <v>CLV2</v>
      </c>
      <c r="AB1404" s="74" t="e">
        <f t="shared" si="229"/>
        <v>#N/A</v>
      </c>
      <c r="AC1404" s="80" t="str">
        <f t="shared" si="228"/>
        <v>LCOX2</v>
      </c>
      <c r="AD1404" s="80" t="str">
        <f t="shared" si="230"/>
        <v>CLX2</v>
      </c>
      <c r="AE1404" s="80" t="str">
        <f t="shared" si="231"/>
        <v>LCOZ2</v>
      </c>
      <c r="AF1404" s="80" t="str">
        <f t="shared" si="232"/>
        <v>CLZ2</v>
      </c>
      <c r="AG1404" s="80" t="str">
        <f t="shared" si="233"/>
        <v>LCOF3</v>
      </c>
      <c r="AH1404" s="80" t="str">
        <f t="shared" si="234"/>
        <v>LCOG3</v>
      </c>
    </row>
    <row r="1405" spans="25:34" x14ac:dyDescent="0.35">
      <c r="Y1405" s="74">
        <f t="shared" si="235"/>
        <v>44808</v>
      </c>
      <c r="Z1405" s="74" t="e">
        <f t="shared" ca="1" si="226"/>
        <v>#N/A</v>
      </c>
      <c r="AA1405" s="80" t="str">
        <f t="shared" ca="1" si="227"/>
        <v>CLV2</v>
      </c>
      <c r="AB1405" s="74" t="e">
        <f t="shared" si="229"/>
        <v>#N/A</v>
      </c>
      <c r="AC1405" s="80" t="str">
        <f t="shared" si="228"/>
        <v>LCOX2</v>
      </c>
      <c r="AD1405" s="80" t="str">
        <f t="shared" si="230"/>
        <v>CLX2</v>
      </c>
      <c r="AE1405" s="80" t="str">
        <f t="shared" si="231"/>
        <v>LCOZ2</v>
      </c>
      <c r="AF1405" s="80" t="str">
        <f t="shared" si="232"/>
        <v>CLZ2</v>
      </c>
      <c r="AG1405" s="80" t="str">
        <f t="shared" si="233"/>
        <v>LCOF3</v>
      </c>
      <c r="AH1405" s="80" t="str">
        <f t="shared" si="234"/>
        <v>LCOG3</v>
      </c>
    </row>
    <row r="1406" spans="25:34" x14ac:dyDescent="0.35">
      <c r="Y1406" s="74">
        <f t="shared" si="235"/>
        <v>44809</v>
      </c>
      <c r="Z1406" s="74" t="e">
        <f t="shared" ca="1" si="226"/>
        <v>#N/A</v>
      </c>
      <c r="AA1406" s="80" t="str">
        <f t="shared" ca="1" si="227"/>
        <v>CLV2</v>
      </c>
      <c r="AB1406" s="74" t="e">
        <f t="shared" si="229"/>
        <v>#N/A</v>
      </c>
      <c r="AC1406" s="80" t="str">
        <f t="shared" si="228"/>
        <v>LCOX2</v>
      </c>
      <c r="AD1406" s="80" t="str">
        <f t="shared" si="230"/>
        <v>CLX2</v>
      </c>
      <c r="AE1406" s="80" t="str">
        <f t="shared" si="231"/>
        <v>LCOZ2</v>
      </c>
      <c r="AF1406" s="80" t="str">
        <f t="shared" si="232"/>
        <v>CLZ2</v>
      </c>
      <c r="AG1406" s="80" t="str">
        <f t="shared" si="233"/>
        <v>LCOF3</v>
      </c>
      <c r="AH1406" s="80" t="str">
        <f t="shared" si="234"/>
        <v>LCOG3</v>
      </c>
    </row>
    <row r="1407" spans="25:34" x14ac:dyDescent="0.35">
      <c r="Y1407" s="74">
        <f t="shared" si="235"/>
        <v>44810</v>
      </c>
      <c r="Z1407" s="74" t="e">
        <f t="shared" ca="1" si="226"/>
        <v>#N/A</v>
      </c>
      <c r="AA1407" s="80" t="str">
        <f t="shared" ca="1" si="227"/>
        <v>CLV2</v>
      </c>
      <c r="AB1407" s="74" t="e">
        <f t="shared" si="229"/>
        <v>#N/A</v>
      </c>
      <c r="AC1407" s="80" t="str">
        <f t="shared" si="228"/>
        <v>LCOX2</v>
      </c>
      <c r="AD1407" s="80" t="str">
        <f t="shared" si="230"/>
        <v>CLX2</v>
      </c>
      <c r="AE1407" s="80" t="str">
        <f t="shared" si="231"/>
        <v>LCOZ2</v>
      </c>
      <c r="AF1407" s="80" t="str">
        <f t="shared" si="232"/>
        <v>CLZ2</v>
      </c>
      <c r="AG1407" s="80" t="str">
        <f t="shared" si="233"/>
        <v>LCOF3</v>
      </c>
      <c r="AH1407" s="80" t="str">
        <f t="shared" si="234"/>
        <v>LCOG3</v>
      </c>
    </row>
    <row r="1408" spans="25:34" x14ac:dyDescent="0.35">
      <c r="Y1408" s="74">
        <f t="shared" si="235"/>
        <v>44811</v>
      </c>
      <c r="Z1408" s="74" t="e">
        <f t="shared" ca="1" si="226"/>
        <v>#N/A</v>
      </c>
      <c r="AA1408" s="80" t="str">
        <f t="shared" ca="1" si="227"/>
        <v>CLV2</v>
      </c>
      <c r="AB1408" s="74" t="e">
        <f t="shared" si="229"/>
        <v>#N/A</v>
      </c>
      <c r="AC1408" s="80" t="str">
        <f t="shared" si="228"/>
        <v>LCOX2</v>
      </c>
      <c r="AD1408" s="80" t="str">
        <f t="shared" si="230"/>
        <v>CLX2</v>
      </c>
      <c r="AE1408" s="80" t="str">
        <f t="shared" si="231"/>
        <v>LCOZ2</v>
      </c>
      <c r="AF1408" s="80" t="str">
        <f t="shared" si="232"/>
        <v>CLZ2</v>
      </c>
      <c r="AG1408" s="80" t="str">
        <f t="shared" si="233"/>
        <v>LCOF3</v>
      </c>
      <c r="AH1408" s="80" t="str">
        <f t="shared" si="234"/>
        <v>LCOG3</v>
      </c>
    </row>
    <row r="1409" spans="25:34" x14ac:dyDescent="0.35">
      <c r="Y1409" s="74">
        <f t="shared" si="235"/>
        <v>44812</v>
      </c>
      <c r="Z1409" s="74" t="e">
        <f t="shared" ca="1" si="226"/>
        <v>#N/A</v>
      </c>
      <c r="AA1409" s="80" t="str">
        <f t="shared" ca="1" si="227"/>
        <v>CLV2</v>
      </c>
      <c r="AB1409" s="74" t="e">
        <f t="shared" si="229"/>
        <v>#N/A</v>
      </c>
      <c r="AC1409" s="80" t="str">
        <f t="shared" si="228"/>
        <v>LCOX2</v>
      </c>
      <c r="AD1409" s="80" t="str">
        <f t="shared" si="230"/>
        <v>CLX2</v>
      </c>
      <c r="AE1409" s="80" t="str">
        <f t="shared" si="231"/>
        <v>LCOZ2</v>
      </c>
      <c r="AF1409" s="80" t="str">
        <f t="shared" si="232"/>
        <v>CLZ2</v>
      </c>
      <c r="AG1409" s="80" t="str">
        <f t="shared" si="233"/>
        <v>LCOF3</v>
      </c>
      <c r="AH1409" s="80" t="str">
        <f t="shared" si="234"/>
        <v>LCOG3</v>
      </c>
    </row>
    <row r="1410" spans="25:34" x14ac:dyDescent="0.35">
      <c r="Y1410" s="74">
        <f t="shared" si="235"/>
        <v>44813</v>
      </c>
      <c r="Z1410" s="74" t="e">
        <f t="shared" ref="Z1410:Z1473" ca="1" si="236">VLOOKUP(AA1410,$I$2:$K$39,3,FALSE)</f>
        <v>#N/A</v>
      </c>
      <c r="AA1410" s="80" t="str">
        <f t="shared" ref="AA1410:AA1473" ca="1" si="237">LOOKUP(2,1/($J$2:$J$700&lt;=$Y1410)/($K$2:$K$700&gt;=$Y1410),$L$2:$L$700)</f>
        <v>CLV2</v>
      </c>
      <c r="AB1410" s="74" t="e">
        <f t="shared" si="229"/>
        <v>#N/A</v>
      </c>
      <c r="AC1410" s="80" t="str">
        <f t="shared" ref="AC1410:AC1473" si="238">LOOKUP(2,1/($R$2:$R$700&lt;=$Y1410)/($S$2:$S$700&gt;=$Y1410),$T$2:$T$700)</f>
        <v>LCOX2</v>
      </c>
      <c r="AD1410" s="80" t="str">
        <f t="shared" si="230"/>
        <v>CLX2</v>
      </c>
      <c r="AE1410" s="80" t="str">
        <f t="shared" si="231"/>
        <v>LCOZ2</v>
      </c>
      <c r="AF1410" s="80" t="str">
        <f t="shared" si="232"/>
        <v>CLZ2</v>
      </c>
      <c r="AG1410" s="80" t="str">
        <f t="shared" si="233"/>
        <v>LCOF3</v>
      </c>
      <c r="AH1410" s="80" t="str">
        <f t="shared" si="234"/>
        <v>LCOG3</v>
      </c>
    </row>
    <row r="1411" spans="25:34" x14ac:dyDescent="0.35">
      <c r="Y1411" s="74">
        <f t="shared" si="235"/>
        <v>44814</v>
      </c>
      <c r="Z1411" s="74" t="e">
        <f t="shared" ca="1" si="236"/>
        <v>#N/A</v>
      </c>
      <c r="AA1411" s="80" t="str">
        <f t="shared" ca="1" si="237"/>
        <v>CLV2</v>
      </c>
      <c r="AB1411" s="74" t="e">
        <f t="shared" ref="AB1411:AB1474" si="239">VLOOKUP(AC1411,$Q$2:$S$39,3,FALSE)</f>
        <v>#N/A</v>
      </c>
      <c r="AC1411" s="80" t="str">
        <f t="shared" si="238"/>
        <v>LCOX2</v>
      </c>
      <c r="AD1411" s="80" t="str">
        <f t="shared" ref="AD1411:AD1474" si="240">CONCATENATE("CL",RIGHT(AC1411,2))</f>
        <v>CLX2</v>
      </c>
      <c r="AE1411" s="80" t="str">
        <f t="shared" ref="AE1411:AE1474" si="241">LOOKUP(2,1/($R$2:$R$700&lt;=$Y1411)/($S$2:$S$700&gt;=$Y1411),$U$2:$U$700)</f>
        <v>LCOZ2</v>
      </c>
      <c r="AF1411" s="80" t="str">
        <f t="shared" ref="AF1411:AF1474" si="242">CONCATENATE("CL",RIGHT(AE1411,2))</f>
        <v>CLZ2</v>
      </c>
      <c r="AG1411" s="80" t="str">
        <f t="shared" ref="AG1411:AG1474" si="243">LOOKUP(2,1/($R$2:$R$700&lt;=$Y1411)/($S$2:$S$700&gt;=$Y1411),$V$2:$V$700)</f>
        <v>LCOF3</v>
      </c>
      <c r="AH1411" s="80" t="str">
        <f t="shared" ref="AH1411:AH1474" si="244">LOOKUP(2,1/($R$2:$R$700&lt;=$Y1411)/($S$2:$S$700&gt;=$Y1411),$W$2:$W$700)</f>
        <v>LCOG3</v>
      </c>
    </row>
    <row r="1412" spans="25:34" x14ac:dyDescent="0.35">
      <c r="Y1412" s="74">
        <f t="shared" si="235"/>
        <v>44815</v>
      </c>
      <c r="Z1412" s="74" t="e">
        <f t="shared" ca="1" si="236"/>
        <v>#N/A</v>
      </c>
      <c r="AA1412" s="80" t="str">
        <f t="shared" ca="1" si="237"/>
        <v>CLV2</v>
      </c>
      <c r="AB1412" s="74" t="e">
        <f t="shared" si="239"/>
        <v>#N/A</v>
      </c>
      <c r="AC1412" s="80" t="str">
        <f t="shared" si="238"/>
        <v>LCOX2</v>
      </c>
      <c r="AD1412" s="80" t="str">
        <f t="shared" si="240"/>
        <v>CLX2</v>
      </c>
      <c r="AE1412" s="80" t="str">
        <f t="shared" si="241"/>
        <v>LCOZ2</v>
      </c>
      <c r="AF1412" s="80" t="str">
        <f t="shared" si="242"/>
        <v>CLZ2</v>
      </c>
      <c r="AG1412" s="80" t="str">
        <f t="shared" si="243"/>
        <v>LCOF3</v>
      </c>
      <c r="AH1412" s="80" t="str">
        <f t="shared" si="244"/>
        <v>LCOG3</v>
      </c>
    </row>
    <row r="1413" spans="25:34" x14ac:dyDescent="0.35">
      <c r="Y1413" s="74">
        <f t="shared" si="235"/>
        <v>44816</v>
      </c>
      <c r="Z1413" s="74" t="e">
        <f t="shared" ca="1" si="236"/>
        <v>#N/A</v>
      </c>
      <c r="AA1413" s="80" t="str">
        <f t="shared" ca="1" si="237"/>
        <v>CLV2</v>
      </c>
      <c r="AB1413" s="74" t="e">
        <f t="shared" si="239"/>
        <v>#N/A</v>
      </c>
      <c r="AC1413" s="80" t="str">
        <f t="shared" si="238"/>
        <v>LCOX2</v>
      </c>
      <c r="AD1413" s="80" t="str">
        <f t="shared" si="240"/>
        <v>CLX2</v>
      </c>
      <c r="AE1413" s="80" t="str">
        <f t="shared" si="241"/>
        <v>LCOZ2</v>
      </c>
      <c r="AF1413" s="80" t="str">
        <f t="shared" si="242"/>
        <v>CLZ2</v>
      </c>
      <c r="AG1413" s="80" t="str">
        <f t="shared" si="243"/>
        <v>LCOF3</v>
      </c>
      <c r="AH1413" s="80" t="str">
        <f t="shared" si="244"/>
        <v>LCOG3</v>
      </c>
    </row>
    <row r="1414" spans="25:34" x14ac:dyDescent="0.35">
      <c r="Y1414" s="74">
        <f t="shared" si="235"/>
        <v>44817</v>
      </c>
      <c r="Z1414" s="74" t="e">
        <f t="shared" ca="1" si="236"/>
        <v>#N/A</v>
      </c>
      <c r="AA1414" s="80" t="str">
        <f t="shared" ca="1" si="237"/>
        <v>CLV2</v>
      </c>
      <c r="AB1414" s="74" t="e">
        <f t="shared" si="239"/>
        <v>#N/A</v>
      </c>
      <c r="AC1414" s="80" t="str">
        <f t="shared" si="238"/>
        <v>LCOX2</v>
      </c>
      <c r="AD1414" s="80" t="str">
        <f t="shared" si="240"/>
        <v>CLX2</v>
      </c>
      <c r="AE1414" s="80" t="str">
        <f t="shared" si="241"/>
        <v>LCOZ2</v>
      </c>
      <c r="AF1414" s="80" t="str">
        <f t="shared" si="242"/>
        <v>CLZ2</v>
      </c>
      <c r="AG1414" s="80" t="str">
        <f t="shared" si="243"/>
        <v>LCOF3</v>
      </c>
      <c r="AH1414" s="80" t="str">
        <f t="shared" si="244"/>
        <v>LCOG3</v>
      </c>
    </row>
    <row r="1415" spans="25:34" x14ac:dyDescent="0.35">
      <c r="Y1415" s="74">
        <f t="shared" si="235"/>
        <v>44818</v>
      </c>
      <c r="Z1415" s="74" t="e">
        <f t="shared" ca="1" si="236"/>
        <v>#N/A</v>
      </c>
      <c r="AA1415" s="80" t="str">
        <f t="shared" ca="1" si="237"/>
        <v>CLV2</v>
      </c>
      <c r="AB1415" s="74" t="e">
        <f t="shared" si="239"/>
        <v>#N/A</v>
      </c>
      <c r="AC1415" s="80" t="str">
        <f t="shared" si="238"/>
        <v>LCOX2</v>
      </c>
      <c r="AD1415" s="80" t="str">
        <f t="shared" si="240"/>
        <v>CLX2</v>
      </c>
      <c r="AE1415" s="80" t="str">
        <f t="shared" si="241"/>
        <v>LCOZ2</v>
      </c>
      <c r="AF1415" s="80" t="str">
        <f t="shared" si="242"/>
        <v>CLZ2</v>
      </c>
      <c r="AG1415" s="80" t="str">
        <f t="shared" si="243"/>
        <v>LCOF3</v>
      </c>
      <c r="AH1415" s="80" t="str">
        <f t="shared" si="244"/>
        <v>LCOG3</v>
      </c>
    </row>
    <row r="1416" spans="25:34" x14ac:dyDescent="0.35">
      <c r="Y1416" s="74">
        <f t="shared" si="235"/>
        <v>44819</v>
      </c>
      <c r="Z1416" s="74" t="e">
        <f t="shared" ca="1" si="236"/>
        <v>#N/A</v>
      </c>
      <c r="AA1416" s="80" t="str">
        <f t="shared" ca="1" si="237"/>
        <v>CLV2</v>
      </c>
      <c r="AB1416" s="74" t="e">
        <f t="shared" si="239"/>
        <v>#N/A</v>
      </c>
      <c r="AC1416" s="80" t="str">
        <f t="shared" si="238"/>
        <v>LCOX2</v>
      </c>
      <c r="AD1416" s="80" t="str">
        <f t="shared" si="240"/>
        <v>CLX2</v>
      </c>
      <c r="AE1416" s="80" t="str">
        <f t="shared" si="241"/>
        <v>LCOZ2</v>
      </c>
      <c r="AF1416" s="80" t="str">
        <f t="shared" si="242"/>
        <v>CLZ2</v>
      </c>
      <c r="AG1416" s="80" t="str">
        <f t="shared" si="243"/>
        <v>LCOF3</v>
      </c>
      <c r="AH1416" s="80" t="str">
        <f t="shared" si="244"/>
        <v>LCOG3</v>
      </c>
    </row>
    <row r="1417" spans="25:34" x14ac:dyDescent="0.35">
      <c r="Y1417" s="74">
        <f t="shared" si="235"/>
        <v>44820</v>
      </c>
      <c r="Z1417" s="74" t="e">
        <f t="shared" ca="1" si="236"/>
        <v>#N/A</v>
      </c>
      <c r="AA1417" s="80" t="str">
        <f t="shared" ca="1" si="237"/>
        <v>CLV2</v>
      </c>
      <c r="AB1417" s="74" t="e">
        <f t="shared" si="239"/>
        <v>#N/A</v>
      </c>
      <c r="AC1417" s="80" t="str">
        <f t="shared" si="238"/>
        <v>LCOX2</v>
      </c>
      <c r="AD1417" s="80" t="str">
        <f t="shared" si="240"/>
        <v>CLX2</v>
      </c>
      <c r="AE1417" s="80" t="str">
        <f t="shared" si="241"/>
        <v>LCOZ2</v>
      </c>
      <c r="AF1417" s="80" t="str">
        <f t="shared" si="242"/>
        <v>CLZ2</v>
      </c>
      <c r="AG1417" s="80" t="str">
        <f t="shared" si="243"/>
        <v>LCOF3</v>
      </c>
      <c r="AH1417" s="80" t="str">
        <f t="shared" si="244"/>
        <v>LCOG3</v>
      </c>
    </row>
    <row r="1418" spans="25:34" x14ac:dyDescent="0.35">
      <c r="Y1418" s="74">
        <f t="shared" si="235"/>
        <v>44821</v>
      </c>
      <c r="Z1418" s="74" t="e">
        <f t="shared" ca="1" si="236"/>
        <v>#N/A</v>
      </c>
      <c r="AA1418" s="80" t="str">
        <f t="shared" ca="1" si="237"/>
        <v>CLV2</v>
      </c>
      <c r="AB1418" s="74" t="e">
        <f t="shared" si="239"/>
        <v>#N/A</v>
      </c>
      <c r="AC1418" s="80" t="str">
        <f t="shared" si="238"/>
        <v>LCOX2</v>
      </c>
      <c r="AD1418" s="80" t="str">
        <f t="shared" si="240"/>
        <v>CLX2</v>
      </c>
      <c r="AE1418" s="80" t="str">
        <f t="shared" si="241"/>
        <v>LCOZ2</v>
      </c>
      <c r="AF1418" s="80" t="str">
        <f t="shared" si="242"/>
        <v>CLZ2</v>
      </c>
      <c r="AG1418" s="80" t="str">
        <f t="shared" si="243"/>
        <v>LCOF3</v>
      </c>
      <c r="AH1418" s="80" t="str">
        <f t="shared" si="244"/>
        <v>LCOG3</v>
      </c>
    </row>
    <row r="1419" spans="25:34" x14ac:dyDescent="0.35">
      <c r="Y1419" s="74">
        <f t="shared" si="235"/>
        <v>44822</v>
      </c>
      <c r="Z1419" s="74" t="e">
        <f t="shared" ca="1" si="236"/>
        <v>#N/A</v>
      </c>
      <c r="AA1419" s="80" t="str">
        <f t="shared" ca="1" si="237"/>
        <v>CLV2</v>
      </c>
      <c r="AB1419" s="74" t="e">
        <f t="shared" si="239"/>
        <v>#N/A</v>
      </c>
      <c r="AC1419" s="80" t="str">
        <f t="shared" si="238"/>
        <v>LCOX2</v>
      </c>
      <c r="AD1419" s="80" t="str">
        <f t="shared" si="240"/>
        <v>CLX2</v>
      </c>
      <c r="AE1419" s="80" t="str">
        <f t="shared" si="241"/>
        <v>LCOZ2</v>
      </c>
      <c r="AF1419" s="80" t="str">
        <f t="shared" si="242"/>
        <v>CLZ2</v>
      </c>
      <c r="AG1419" s="80" t="str">
        <f t="shared" si="243"/>
        <v>LCOF3</v>
      </c>
      <c r="AH1419" s="80" t="str">
        <f t="shared" si="244"/>
        <v>LCOG3</v>
      </c>
    </row>
    <row r="1420" spans="25:34" x14ac:dyDescent="0.35">
      <c r="Y1420" s="74">
        <f t="shared" si="235"/>
        <v>44823</v>
      </c>
      <c r="Z1420" s="74" t="e">
        <f t="shared" ca="1" si="236"/>
        <v>#N/A</v>
      </c>
      <c r="AA1420" s="80" t="str">
        <f t="shared" ca="1" si="237"/>
        <v>CLV2</v>
      </c>
      <c r="AB1420" s="74" t="e">
        <f t="shared" si="239"/>
        <v>#N/A</v>
      </c>
      <c r="AC1420" s="80" t="str">
        <f t="shared" si="238"/>
        <v>LCOX2</v>
      </c>
      <c r="AD1420" s="80" t="str">
        <f t="shared" si="240"/>
        <v>CLX2</v>
      </c>
      <c r="AE1420" s="80" t="str">
        <f t="shared" si="241"/>
        <v>LCOZ2</v>
      </c>
      <c r="AF1420" s="80" t="str">
        <f t="shared" si="242"/>
        <v>CLZ2</v>
      </c>
      <c r="AG1420" s="80" t="str">
        <f t="shared" si="243"/>
        <v>LCOF3</v>
      </c>
      <c r="AH1420" s="80" t="str">
        <f t="shared" si="244"/>
        <v>LCOG3</v>
      </c>
    </row>
    <row r="1421" spans="25:34" x14ac:dyDescent="0.35">
      <c r="Y1421" s="74">
        <f t="shared" si="235"/>
        <v>44824</v>
      </c>
      <c r="Z1421" s="74" t="e">
        <f t="shared" ca="1" si="236"/>
        <v>#N/A</v>
      </c>
      <c r="AA1421" s="80" t="str">
        <f t="shared" ca="1" si="237"/>
        <v>CLV2</v>
      </c>
      <c r="AB1421" s="74" t="e">
        <f t="shared" si="239"/>
        <v>#N/A</v>
      </c>
      <c r="AC1421" s="80" t="str">
        <f t="shared" si="238"/>
        <v>LCOX2</v>
      </c>
      <c r="AD1421" s="80" t="str">
        <f t="shared" si="240"/>
        <v>CLX2</v>
      </c>
      <c r="AE1421" s="80" t="str">
        <f t="shared" si="241"/>
        <v>LCOZ2</v>
      </c>
      <c r="AF1421" s="80" t="str">
        <f t="shared" si="242"/>
        <v>CLZ2</v>
      </c>
      <c r="AG1421" s="80" t="str">
        <f t="shared" si="243"/>
        <v>LCOF3</v>
      </c>
      <c r="AH1421" s="80" t="str">
        <f t="shared" si="244"/>
        <v>LCOG3</v>
      </c>
    </row>
    <row r="1422" spans="25:34" x14ac:dyDescent="0.35">
      <c r="Y1422" s="74">
        <f t="shared" si="235"/>
        <v>44825</v>
      </c>
      <c r="Z1422" s="74" t="e">
        <f t="shared" ca="1" si="236"/>
        <v>#N/A</v>
      </c>
      <c r="AA1422" s="80" t="str">
        <f t="shared" ca="1" si="237"/>
        <v>CLX2</v>
      </c>
      <c r="AB1422" s="74" t="e">
        <f t="shared" si="239"/>
        <v>#N/A</v>
      </c>
      <c r="AC1422" s="80" t="str">
        <f t="shared" si="238"/>
        <v>LCOX2</v>
      </c>
      <c r="AD1422" s="80" t="str">
        <f t="shared" si="240"/>
        <v>CLX2</v>
      </c>
      <c r="AE1422" s="80" t="str">
        <f t="shared" si="241"/>
        <v>LCOZ2</v>
      </c>
      <c r="AF1422" s="80" t="str">
        <f t="shared" si="242"/>
        <v>CLZ2</v>
      </c>
      <c r="AG1422" s="80" t="str">
        <f t="shared" si="243"/>
        <v>LCOF3</v>
      </c>
      <c r="AH1422" s="80" t="str">
        <f t="shared" si="244"/>
        <v>LCOG3</v>
      </c>
    </row>
    <row r="1423" spans="25:34" x14ac:dyDescent="0.35">
      <c r="Y1423" s="74">
        <f t="shared" si="235"/>
        <v>44826</v>
      </c>
      <c r="Z1423" s="74" t="e">
        <f t="shared" ca="1" si="236"/>
        <v>#N/A</v>
      </c>
      <c r="AA1423" s="80" t="str">
        <f t="shared" ca="1" si="237"/>
        <v>CLX2</v>
      </c>
      <c r="AB1423" s="74" t="e">
        <f t="shared" si="239"/>
        <v>#N/A</v>
      </c>
      <c r="AC1423" s="80" t="str">
        <f t="shared" si="238"/>
        <v>LCOX2</v>
      </c>
      <c r="AD1423" s="80" t="str">
        <f t="shared" si="240"/>
        <v>CLX2</v>
      </c>
      <c r="AE1423" s="80" t="str">
        <f t="shared" si="241"/>
        <v>LCOZ2</v>
      </c>
      <c r="AF1423" s="80" t="str">
        <f t="shared" si="242"/>
        <v>CLZ2</v>
      </c>
      <c r="AG1423" s="80" t="str">
        <f t="shared" si="243"/>
        <v>LCOF3</v>
      </c>
      <c r="AH1423" s="80" t="str">
        <f t="shared" si="244"/>
        <v>LCOG3</v>
      </c>
    </row>
    <row r="1424" spans="25:34" x14ac:dyDescent="0.35">
      <c r="Y1424" s="74">
        <f t="shared" si="235"/>
        <v>44827</v>
      </c>
      <c r="Z1424" s="74" t="e">
        <f t="shared" ca="1" si="236"/>
        <v>#N/A</v>
      </c>
      <c r="AA1424" s="80" t="str">
        <f t="shared" ca="1" si="237"/>
        <v>CLX2</v>
      </c>
      <c r="AB1424" s="74" t="e">
        <f t="shared" si="239"/>
        <v>#N/A</v>
      </c>
      <c r="AC1424" s="80" t="str">
        <f t="shared" si="238"/>
        <v>LCOX2</v>
      </c>
      <c r="AD1424" s="80" t="str">
        <f t="shared" si="240"/>
        <v>CLX2</v>
      </c>
      <c r="AE1424" s="80" t="str">
        <f t="shared" si="241"/>
        <v>LCOZ2</v>
      </c>
      <c r="AF1424" s="80" t="str">
        <f t="shared" si="242"/>
        <v>CLZ2</v>
      </c>
      <c r="AG1424" s="80" t="str">
        <f t="shared" si="243"/>
        <v>LCOF3</v>
      </c>
      <c r="AH1424" s="80" t="str">
        <f t="shared" si="244"/>
        <v>LCOG3</v>
      </c>
    </row>
    <row r="1425" spans="25:34" x14ac:dyDescent="0.35">
      <c r="Y1425" s="74">
        <f t="shared" si="235"/>
        <v>44828</v>
      </c>
      <c r="Z1425" s="74" t="e">
        <f t="shared" ca="1" si="236"/>
        <v>#N/A</v>
      </c>
      <c r="AA1425" s="80" t="str">
        <f t="shared" ca="1" si="237"/>
        <v>CLX2</v>
      </c>
      <c r="AB1425" s="74" t="e">
        <f t="shared" si="239"/>
        <v>#N/A</v>
      </c>
      <c r="AC1425" s="80" t="str">
        <f t="shared" si="238"/>
        <v>LCOX2</v>
      </c>
      <c r="AD1425" s="80" t="str">
        <f t="shared" si="240"/>
        <v>CLX2</v>
      </c>
      <c r="AE1425" s="80" t="str">
        <f t="shared" si="241"/>
        <v>LCOZ2</v>
      </c>
      <c r="AF1425" s="80" t="str">
        <f t="shared" si="242"/>
        <v>CLZ2</v>
      </c>
      <c r="AG1425" s="80" t="str">
        <f t="shared" si="243"/>
        <v>LCOF3</v>
      </c>
      <c r="AH1425" s="80" t="str">
        <f t="shared" si="244"/>
        <v>LCOG3</v>
      </c>
    </row>
    <row r="1426" spans="25:34" x14ac:dyDescent="0.35">
      <c r="Y1426" s="74">
        <f t="shared" si="235"/>
        <v>44829</v>
      </c>
      <c r="Z1426" s="74" t="e">
        <f t="shared" ca="1" si="236"/>
        <v>#N/A</v>
      </c>
      <c r="AA1426" s="80" t="str">
        <f t="shared" ca="1" si="237"/>
        <v>CLX2</v>
      </c>
      <c r="AB1426" s="74" t="e">
        <f t="shared" si="239"/>
        <v>#N/A</v>
      </c>
      <c r="AC1426" s="80" t="str">
        <f t="shared" si="238"/>
        <v>LCOX2</v>
      </c>
      <c r="AD1426" s="80" t="str">
        <f t="shared" si="240"/>
        <v>CLX2</v>
      </c>
      <c r="AE1426" s="80" t="str">
        <f t="shared" si="241"/>
        <v>LCOZ2</v>
      </c>
      <c r="AF1426" s="80" t="str">
        <f t="shared" si="242"/>
        <v>CLZ2</v>
      </c>
      <c r="AG1426" s="80" t="str">
        <f t="shared" si="243"/>
        <v>LCOF3</v>
      </c>
      <c r="AH1426" s="80" t="str">
        <f t="shared" si="244"/>
        <v>LCOG3</v>
      </c>
    </row>
    <row r="1427" spans="25:34" x14ac:dyDescent="0.35">
      <c r="Y1427" s="74">
        <f t="shared" si="235"/>
        <v>44830</v>
      </c>
      <c r="Z1427" s="74" t="e">
        <f t="shared" ca="1" si="236"/>
        <v>#N/A</v>
      </c>
      <c r="AA1427" s="80" t="str">
        <f t="shared" ca="1" si="237"/>
        <v>CLX2</v>
      </c>
      <c r="AB1427" s="74" t="e">
        <f t="shared" si="239"/>
        <v>#N/A</v>
      </c>
      <c r="AC1427" s="80" t="str">
        <f t="shared" si="238"/>
        <v>LCOX2</v>
      </c>
      <c r="AD1427" s="80" t="str">
        <f t="shared" si="240"/>
        <v>CLX2</v>
      </c>
      <c r="AE1427" s="80" t="str">
        <f t="shared" si="241"/>
        <v>LCOZ2</v>
      </c>
      <c r="AF1427" s="80" t="str">
        <f t="shared" si="242"/>
        <v>CLZ2</v>
      </c>
      <c r="AG1427" s="80" t="str">
        <f t="shared" si="243"/>
        <v>LCOF3</v>
      </c>
      <c r="AH1427" s="80" t="str">
        <f t="shared" si="244"/>
        <v>LCOG3</v>
      </c>
    </row>
    <row r="1428" spans="25:34" x14ac:dyDescent="0.35">
      <c r="Y1428" s="74">
        <f t="shared" si="235"/>
        <v>44831</v>
      </c>
      <c r="Z1428" s="74" t="e">
        <f t="shared" ca="1" si="236"/>
        <v>#N/A</v>
      </c>
      <c r="AA1428" s="80" t="str">
        <f t="shared" ca="1" si="237"/>
        <v>CLX2</v>
      </c>
      <c r="AB1428" s="74" t="e">
        <f t="shared" si="239"/>
        <v>#N/A</v>
      </c>
      <c r="AC1428" s="80" t="str">
        <f t="shared" si="238"/>
        <v>LCOX2</v>
      </c>
      <c r="AD1428" s="80" t="str">
        <f t="shared" si="240"/>
        <v>CLX2</v>
      </c>
      <c r="AE1428" s="80" t="str">
        <f t="shared" si="241"/>
        <v>LCOZ2</v>
      </c>
      <c r="AF1428" s="80" t="str">
        <f t="shared" si="242"/>
        <v>CLZ2</v>
      </c>
      <c r="AG1428" s="80" t="str">
        <f t="shared" si="243"/>
        <v>LCOF3</v>
      </c>
      <c r="AH1428" s="80" t="str">
        <f t="shared" si="244"/>
        <v>LCOG3</v>
      </c>
    </row>
    <row r="1429" spans="25:34" x14ac:dyDescent="0.35">
      <c r="Y1429" s="74">
        <f t="shared" si="235"/>
        <v>44832</v>
      </c>
      <c r="Z1429" s="74" t="e">
        <f t="shared" ca="1" si="236"/>
        <v>#N/A</v>
      </c>
      <c r="AA1429" s="80" t="str">
        <f t="shared" ca="1" si="237"/>
        <v>CLX2</v>
      </c>
      <c r="AB1429" s="74" t="e">
        <f t="shared" si="239"/>
        <v>#N/A</v>
      </c>
      <c r="AC1429" s="80" t="str">
        <f t="shared" si="238"/>
        <v>LCOX2</v>
      </c>
      <c r="AD1429" s="80" t="str">
        <f t="shared" si="240"/>
        <v>CLX2</v>
      </c>
      <c r="AE1429" s="80" t="str">
        <f t="shared" si="241"/>
        <v>LCOZ2</v>
      </c>
      <c r="AF1429" s="80" t="str">
        <f t="shared" si="242"/>
        <v>CLZ2</v>
      </c>
      <c r="AG1429" s="80" t="str">
        <f t="shared" si="243"/>
        <v>LCOF3</v>
      </c>
      <c r="AH1429" s="80" t="str">
        <f t="shared" si="244"/>
        <v>LCOG3</v>
      </c>
    </row>
    <row r="1430" spans="25:34" x14ac:dyDescent="0.35">
      <c r="Y1430" s="74">
        <f t="shared" si="235"/>
        <v>44833</v>
      </c>
      <c r="Z1430" s="74" t="e">
        <f t="shared" ca="1" si="236"/>
        <v>#N/A</v>
      </c>
      <c r="AA1430" s="80" t="str">
        <f t="shared" ca="1" si="237"/>
        <v>CLX2</v>
      </c>
      <c r="AB1430" s="74" t="e">
        <f t="shared" si="239"/>
        <v>#N/A</v>
      </c>
      <c r="AC1430" s="80" t="str">
        <f t="shared" si="238"/>
        <v>LCOX2</v>
      </c>
      <c r="AD1430" s="80" t="str">
        <f t="shared" si="240"/>
        <v>CLX2</v>
      </c>
      <c r="AE1430" s="80" t="str">
        <f t="shared" si="241"/>
        <v>LCOZ2</v>
      </c>
      <c r="AF1430" s="80" t="str">
        <f t="shared" si="242"/>
        <v>CLZ2</v>
      </c>
      <c r="AG1430" s="80" t="str">
        <f t="shared" si="243"/>
        <v>LCOF3</v>
      </c>
      <c r="AH1430" s="80" t="str">
        <f t="shared" si="244"/>
        <v>LCOG3</v>
      </c>
    </row>
    <row r="1431" spans="25:34" x14ac:dyDescent="0.35">
      <c r="Y1431" s="74">
        <f t="shared" si="235"/>
        <v>44834</v>
      </c>
      <c r="Z1431" s="74" t="e">
        <f t="shared" ca="1" si="236"/>
        <v>#N/A</v>
      </c>
      <c r="AA1431" s="80" t="str">
        <f t="shared" ca="1" si="237"/>
        <v>CLX2</v>
      </c>
      <c r="AB1431" s="74" t="e">
        <f t="shared" si="239"/>
        <v>#N/A</v>
      </c>
      <c r="AC1431" s="80" t="str">
        <f t="shared" si="238"/>
        <v>LCOX2</v>
      </c>
      <c r="AD1431" s="80" t="str">
        <f t="shared" si="240"/>
        <v>CLX2</v>
      </c>
      <c r="AE1431" s="80" t="str">
        <f t="shared" si="241"/>
        <v>LCOZ2</v>
      </c>
      <c r="AF1431" s="80" t="str">
        <f t="shared" si="242"/>
        <v>CLZ2</v>
      </c>
      <c r="AG1431" s="80" t="str">
        <f t="shared" si="243"/>
        <v>LCOF3</v>
      </c>
      <c r="AH1431" s="80" t="str">
        <f t="shared" si="244"/>
        <v>LCOG3</v>
      </c>
    </row>
    <row r="1432" spans="25:34" x14ac:dyDescent="0.35">
      <c r="Y1432" s="74">
        <f t="shared" si="235"/>
        <v>44835</v>
      </c>
      <c r="Z1432" s="74" t="e">
        <f t="shared" ca="1" si="236"/>
        <v>#N/A</v>
      </c>
      <c r="AA1432" s="80" t="str">
        <f t="shared" ca="1" si="237"/>
        <v>CLX2</v>
      </c>
      <c r="AB1432" s="74" t="e">
        <f t="shared" si="239"/>
        <v>#N/A</v>
      </c>
      <c r="AC1432" s="80" t="str">
        <f t="shared" si="238"/>
        <v>LCOZ2</v>
      </c>
      <c r="AD1432" s="80" t="str">
        <f t="shared" si="240"/>
        <v>CLZ2</v>
      </c>
      <c r="AE1432" s="80" t="str">
        <f t="shared" si="241"/>
        <v>LCOF3</v>
      </c>
      <c r="AF1432" s="80" t="str">
        <f t="shared" si="242"/>
        <v>CLF3</v>
      </c>
      <c r="AG1432" s="80" t="str">
        <f t="shared" si="243"/>
        <v>LCOG3</v>
      </c>
      <c r="AH1432" s="80" t="str">
        <f t="shared" si="244"/>
        <v>LCOH3</v>
      </c>
    </row>
    <row r="1433" spans="25:34" x14ac:dyDescent="0.35">
      <c r="Y1433" s="74">
        <f t="shared" si="235"/>
        <v>44836</v>
      </c>
      <c r="Z1433" s="74" t="e">
        <f t="shared" ca="1" si="236"/>
        <v>#N/A</v>
      </c>
      <c r="AA1433" s="80" t="str">
        <f t="shared" ca="1" si="237"/>
        <v>CLX2</v>
      </c>
      <c r="AB1433" s="74" t="e">
        <f t="shared" si="239"/>
        <v>#N/A</v>
      </c>
      <c r="AC1433" s="80" t="str">
        <f t="shared" si="238"/>
        <v>LCOZ2</v>
      </c>
      <c r="AD1433" s="80" t="str">
        <f t="shared" si="240"/>
        <v>CLZ2</v>
      </c>
      <c r="AE1433" s="80" t="str">
        <f t="shared" si="241"/>
        <v>LCOF3</v>
      </c>
      <c r="AF1433" s="80" t="str">
        <f t="shared" si="242"/>
        <v>CLF3</v>
      </c>
      <c r="AG1433" s="80" t="str">
        <f t="shared" si="243"/>
        <v>LCOG3</v>
      </c>
      <c r="AH1433" s="80" t="str">
        <f t="shared" si="244"/>
        <v>LCOH3</v>
      </c>
    </row>
    <row r="1434" spans="25:34" x14ac:dyDescent="0.35">
      <c r="Y1434" s="74">
        <f t="shared" si="235"/>
        <v>44837</v>
      </c>
      <c r="Z1434" s="74" t="e">
        <f t="shared" ca="1" si="236"/>
        <v>#N/A</v>
      </c>
      <c r="AA1434" s="80" t="str">
        <f t="shared" ca="1" si="237"/>
        <v>CLX2</v>
      </c>
      <c r="AB1434" s="74" t="e">
        <f t="shared" si="239"/>
        <v>#N/A</v>
      </c>
      <c r="AC1434" s="80" t="str">
        <f t="shared" si="238"/>
        <v>LCOZ2</v>
      </c>
      <c r="AD1434" s="80" t="str">
        <f t="shared" si="240"/>
        <v>CLZ2</v>
      </c>
      <c r="AE1434" s="80" t="str">
        <f t="shared" si="241"/>
        <v>LCOF3</v>
      </c>
      <c r="AF1434" s="80" t="str">
        <f t="shared" si="242"/>
        <v>CLF3</v>
      </c>
      <c r="AG1434" s="80" t="str">
        <f t="shared" si="243"/>
        <v>LCOG3</v>
      </c>
      <c r="AH1434" s="80" t="str">
        <f t="shared" si="244"/>
        <v>LCOH3</v>
      </c>
    </row>
    <row r="1435" spans="25:34" x14ac:dyDescent="0.35">
      <c r="Y1435" s="74">
        <f t="shared" si="235"/>
        <v>44838</v>
      </c>
      <c r="Z1435" s="74" t="e">
        <f t="shared" ca="1" si="236"/>
        <v>#N/A</v>
      </c>
      <c r="AA1435" s="80" t="str">
        <f t="shared" ca="1" si="237"/>
        <v>CLX2</v>
      </c>
      <c r="AB1435" s="74" t="e">
        <f t="shared" si="239"/>
        <v>#N/A</v>
      </c>
      <c r="AC1435" s="80" t="str">
        <f t="shared" si="238"/>
        <v>LCOZ2</v>
      </c>
      <c r="AD1435" s="80" t="str">
        <f t="shared" si="240"/>
        <v>CLZ2</v>
      </c>
      <c r="AE1435" s="80" t="str">
        <f t="shared" si="241"/>
        <v>LCOF3</v>
      </c>
      <c r="AF1435" s="80" t="str">
        <f t="shared" si="242"/>
        <v>CLF3</v>
      </c>
      <c r="AG1435" s="80" t="str">
        <f t="shared" si="243"/>
        <v>LCOG3</v>
      </c>
      <c r="AH1435" s="80" t="str">
        <f t="shared" si="244"/>
        <v>LCOH3</v>
      </c>
    </row>
    <row r="1436" spans="25:34" x14ac:dyDescent="0.35">
      <c r="Y1436" s="74">
        <f t="shared" si="235"/>
        <v>44839</v>
      </c>
      <c r="Z1436" s="74" t="e">
        <f t="shared" ca="1" si="236"/>
        <v>#N/A</v>
      </c>
      <c r="AA1436" s="80" t="str">
        <f t="shared" ca="1" si="237"/>
        <v>CLX2</v>
      </c>
      <c r="AB1436" s="74" t="e">
        <f t="shared" si="239"/>
        <v>#N/A</v>
      </c>
      <c r="AC1436" s="80" t="str">
        <f t="shared" si="238"/>
        <v>LCOZ2</v>
      </c>
      <c r="AD1436" s="80" t="str">
        <f t="shared" si="240"/>
        <v>CLZ2</v>
      </c>
      <c r="AE1436" s="80" t="str">
        <f t="shared" si="241"/>
        <v>LCOF3</v>
      </c>
      <c r="AF1436" s="80" t="str">
        <f t="shared" si="242"/>
        <v>CLF3</v>
      </c>
      <c r="AG1436" s="80" t="str">
        <f t="shared" si="243"/>
        <v>LCOG3</v>
      </c>
      <c r="AH1436" s="80" t="str">
        <f t="shared" si="244"/>
        <v>LCOH3</v>
      </c>
    </row>
    <row r="1437" spans="25:34" x14ac:dyDescent="0.35">
      <c r="Y1437" s="74">
        <f t="shared" si="235"/>
        <v>44840</v>
      </c>
      <c r="Z1437" s="74" t="e">
        <f t="shared" ca="1" si="236"/>
        <v>#N/A</v>
      </c>
      <c r="AA1437" s="80" t="str">
        <f t="shared" ca="1" si="237"/>
        <v>CLX2</v>
      </c>
      <c r="AB1437" s="74" t="e">
        <f t="shared" si="239"/>
        <v>#N/A</v>
      </c>
      <c r="AC1437" s="80" t="str">
        <f t="shared" si="238"/>
        <v>LCOZ2</v>
      </c>
      <c r="AD1437" s="80" t="str">
        <f t="shared" si="240"/>
        <v>CLZ2</v>
      </c>
      <c r="AE1437" s="80" t="str">
        <f t="shared" si="241"/>
        <v>LCOF3</v>
      </c>
      <c r="AF1437" s="80" t="str">
        <f t="shared" si="242"/>
        <v>CLF3</v>
      </c>
      <c r="AG1437" s="80" t="str">
        <f t="shared" si="243"/>
        <v>LCOG3</v>
      </c>
      <c r="AH1437" s="80" t="str">
        <f t="shared" si="244"/>
        <v>LCOH3</v>
      </c>
    </row>
    <row r="1438" spans="25:34" x14ac:dyDescent="0.35">
      <c r="Y1438" s="74">
        <f t="shared" si="235"/>
        <v>44841</v>
      </c>
      <c r="Z1438" s="74" t="e">
        <f t="shared" ca="1" si="236"/>
        <v>#N/A</v>
      </c>
      <c r="AA1438" s="80" t="str">
        <f t="shared" ca="1" si="237"/>
        <v>CLX2</v>
      </c>
      <c r="AB1438" s="74" t="e">
        <f t="shared" si="239"/>
        <v>#N/A</v>
      </c>
      <c r="AC1438" s="80" t="str">
        <f t="shared" si="238"/>
        <v>LCOZ2</v>
      </c>
      <c r="AD1438" s="80" t="str">
        <f t="shared" si="240"/>
        <v>CLZ2</v>
      </c>
      <c r="AE1438" s="80" t="str">
        <f t="shared" si="241"/>
        <v>LCOF3</v>
      </c>
      <c r="AF1438" s="80" t="str">
        <f t="shared" si="242"/>
        <v>CLF3</v>
      </c>
      <c r="AG1438" s="80" t="str">
        <f t="shared" si="243"/>
        <v>LCOG3</v>
      </c>
      <c r="AH1438" s="80" t="str">
        <f t="shared" si="244"/>
        <v>LCOH3</v>
      </c>
    </row>
    <row r="1439" spans="25:34" x14ac:dyDescent="0.35">
      <c r="Y1439" s="74">
        <f t="shared" si="235"/>
        <v>44842</v>
      </c>
      <c r="Z1439" s="74" t="e">
        <f t="shared" ca="1" si="236"/>
        <v>#N/A</v>
      </c>
      <c r="AA1439" s="80" t="str">
        <f t="shared" ca="1" si="237"/>
        <v>CLX2</v>
      </c>
      <c r="AB1439" s="74" t="e">
        <f t="shared" si="239"/>
        <v>#N/A</v>
      </c>
      <c r="AC1439" s="80" t="str">
        <f t="shared" si="238"/>
        <v>LCOZ2</v>
      </c>
      <c r="AD1439" s="80" t="str">
        <f t="shared" si="240"/>
        <v>CLZ2</v>
      </c>
      <c r="AE1439" s="80" t="str">
        <f t="shared" si="241"/>
        <v>LCOF3</v>
      </c>
      <c r="AF1439" s="80" t="str">
        <f t="shared" si="242"/>
        <v>CLF3</v>
      </c>
      <c r="AG1439" s="80" t="str">
        <f t="shared" si="243"/>
        <v>LCOG3</v>
      </c>
      <c r="AH1439" s="80" t="str">
        <f t="shared" si="244"/>
        <v>LCOH3</v>
      </c>
    </row>
    <row r="1440" spans="25:34" x14ac:dyDescent="0.35">
      <c r="Y1440" s="74">
        <f t="shared" si="235"/>
        <v>44843</v>
      </c>
      <c r="Z1440" s="74" t="e">
        <f t="shared" ca="1" si="236"/>
        <v>#N/A</v>
      </c>
      <c r="AA1440" s="80" t="str">
        <f t="shared" ca="1" si="237"/>
        <v>CLX2</v>
      </c>
      <c r="AB1440" s="74" t="e">
        <f t="shared" si="239"/>
        <v>#N/A</v>
      </c>
      <c r="AC1440" s="80" t="str">
        <f t="shared" si="238"/>
        <v>LCOZ2</v>
      </c>
      <c r="AD1440" s="80" t="str">
        <f t="shared" si="240"/>
        <v>CLZ2</v>
      </c>
      <c r="AE1440" s="80" t="str">
        <f t="shared" si="241"/>
        <v>LCOF3</v>
      </c>
      <c r="AF1440" s="80" t="str">
        <f t="shared" si="242"/>
        <v>CLF3</v>
      </c>
      <c r="AG1440" s="80" t="str">
        <f t="shared" si="243"/>
        <v>LCOG3</v>
      </c>
      <c r="AH1440" s="80" t="str">
        <f t="shared" si="244"/>
        <v>LCOH3</v>
      </c>
    </row>
    <row r="1441" spans="25:34" x14ac:dyDescent="0.35">
      <c r="Y1441" s="74">
        <f t="shared" ref="Y1441:Y1504" si="245">Y1440+1</f>
        <v>44844</v>
      </c>
      <c r="Z1441" s="74" t="e">
        <f t="shared" ca="1" si="236"/>
        <v>#N/A</v>
      </c>
      <c r="AA1441" s="80" t="str">
        <f t="shared" ca="1" si="237"/>
        <v>CLX2</v>
      </c>
      <c r="AB1441" s="74" t="e">
        <f t="shared" si="239"/>
        <v>#N/A</v>
      </c>
      <c r="AC1441" s="80" t="str">
        <f t="shared" si="238"/>
        <v>LCOZ2</v>
      </c>
      <c r="AD1441" s="80" t="str">
        <f t="shared" si="240"/>
        <v>CLZ2</v>
      </c>
      <c r="AE1441" s="80" t="str">
        <f t="shared" si="241"/>
        <v>LCOF3</v>
      </c>
      <c r="AF1441" s="80" t="str">
        <f t="shared" si="242"/>
        <v>CLF3</v>
      </c>
      <c r="AG1441" s="80" t="str">
        <f t="shared" si="243"/>
        <v>LCOG3</v>
      </c>
      <c r="AH1441" s="80" t="str">
        <f t="shared" si="244"/>
        <v>LCOH3</v>
      </c>
    </row>
    <row r="1442" spans="25:34" x14ac:dyDescent="0.35">
      <c r="Y1442" s="74">
        <f t="shared" si="245"/>
        <v>44845</v>
      </c>
      <c r="Z1442" s="74" t="e">
        <f t="shared" ca="1" si="236"/>
        <v>#N/A</v>
      </c>
      <c r="AA1442" s="80" t="str">
        <f t="shared" ca="1" si="237"/>
        <v>CLX2</v>
      </c>
      <c r="AB1442" s="74" t="e">
        <f t="shared" si="239"/>
        <v>#N/A</v>
      </c>
      <c r="AC1442" s="80" t="str">
        <f t="shared" si="238"/>
        <v>LCOZ2</v>
      </c>
      <c r="AD1442" s="80" t="str">
        <f t="shared" si="240"/>
        <v>CLZ2</v>
      </c>
      <c r="AE1442" s="80" t="str">
        <f t="shared" si="241"/>
        <v>LCOF3</v>
      </c>
      <c r="AF1442" s="80" t="str">
        <f t="shared" si="242"/>
        <v>CLF3</v>
      </c>
      <c r="AG1442" s="80" t="str">
        <f t="shared" si="243"/>
        <v>LCOG3</v>
      </c>
      <c r="AH1442" s="80" t="str">
        <f t="shared" si="244"/>
        <v>LCOH3</v>
      </c>
    </row>
    <row r="1443" spans="25:34" x14ac:dyDescent="0.35">
      <c r="Y1443" s="74">
        <f t="shared" si="245"/>
        <v>44846</v>
      </c>
      <c r="Z1443" s="74" t="e">
        <f t="shared" ca="1" si="236"/>
        <v>#N/A</v>
      </c>
      <c r="AA1443" s="80" t="str">
        <f t="shared" ca="1" si="237"/>
        <v>CLX2</v>
      </c>
      <c r="AB1443" s="74" t="e">
        <f t="shared" si="239"/>
        <v>#N/A</v>
      </c>
      <c r="AC1443" s="80" t="str">
        <f t="shared" si="238"/>
        <v>LCOZ2</v>
      </c>
      <c r="AD1443" s="80" t="str">
        <f t="shared" si="240"/>
        <v>CLZ2</v>
      </c>
      <c r="AE1443" s="80" t="str">
        <f t="shared" si="241"/>
        <v>LCOF3</v>
      </c>
      <c r="AF1443" s="80" t="str">
        <f t="shared" si="242"/>
        <v>CLF3</v>
      </c>
      <c r="AG1443" s="80" t="str">
        <f t="shared" si="243"/>
        <v>LCOG3</v>
      </c>
      <c r="AH1443" s="80" t="str">
        <f t="shared" si="244"/>
        <v>LCOH3</v>
      </c>
    </row>
    <row r="1444" spans="25:34" x14ac:dyDescent="0.35">
      <c r="Y1444" s="74">
        <f t="shared" si="245"/>
        <v>44847</v>
      </c>
      <c r="Z1444" s="74" t="e">
        <f t="shared" ca="1" si="236"/>
        <v>#N/A</v>
      </c>
      <c r="AA1444" s="80" t="str">
        <f t="shared" ca="1" si="237"/>
        <v>CLX2</v>
      </c>
      <c r="AB1444" s="74" t="e">
        <f t="shared" si="239"/>
        <v>#N/A</v>
      </c>
      <c r="AC1444" s="80" t="str">
        <f t="shared" si="238"/>
        <v>LCOZ2</v>
      </c>
      <c r="AD1444" s="80" t="str">
        <f t="shared" si="240"/>
        <v>CLZ2</v>
      </c>
      <c r="AE1444" s="80" t="str">
        <f t="shared" si="241"/>
        <v>LCOF3</v>
      </c>
      <c r="AF1444" s="80" t="str">
        <f t="shared" si="242"/>
        <v>CLF3</v>
      </c>
      <c r="AG1444" s="80" t="str">
        <f t="shared" si="243"/>
        <v>LCOG3</v>
      </c>
      <c r="AH1444" s="80" t="str">
        <f t="shared" si="244"/>
        <v>LCOH3</v>
      </c>
    </row>
    <row r="1445" spans="25:34" x14ac:dyDescent="0.35">
      <c r="Y1445" s="74">
        <f t="shared" si="245"/>
        <v>44848</v>
      </c>
      <c r="Z1445" s="74" t="e">
        <f t="shared" ca="1" si="236"/>
        <v>#N/A</v>
      </c>
      <c r="AA1445" s="80" t="str">
        <f t="shared" ca="1" si="237"/>
        <v>CLX2</v>
      </c>
      <c r="AB1445" s="74" t="e">
        <f t="shared" si="239"/>
        <v>#N/A</v>
      </c>
      <c r="AC1445" s="80" t="str">
        <f t="shared" si="238"/>
        <v>LCOZ2</v>
      </c>
      <c r="AD1445" s="80" t="str">
        <f t="shared" si="240"/>
        <v>CLZ2</v>
      </c>
      <c r="AE1445" s="80" t="str">
        <f t="shared" si="241"/>
        <v>LCOF3</v>
      </c>
      <c r="AF1445" s="80" t="str">
        <f t="shared" si="242"/>
        <v>CLF3</v>
      </c>
      <c r="AG1445" s="80" t="str">
        <f t="shared" si="243"/>
        <v>LCOG3</v>
      </c>
      <c r="AH1445" s="80" t="str">
        <f t="shared" si="244"/>
        <v>LCOH3</v>
      </c>
    </row>
    <row r="1446" spans="25:34" x14ac:dyDescent="0.35">
      <c r="Y1446" s="74">
        <f t="shared" si="245"/>
        <v>44849</v>
      </c>
      <c r="Z1446" s="74" t="e">
        <f t="shared" ca="1" si="236"/>
        <v>#N/A</v>
      </c>
      <c r="AA1446" s="80" t="str">
        <f t="shared" ca="1" si="237"/>
        <v>CLX2</v>
      </c>
      <c r="AB1446" s="74" t="e">
        <f t="shared" si="239"/>
        <v>#N/A</v>
      </c>
      <c r="AC1446" s="80" t="str">
        <f t="shared" si="238"/>
        <v>LCOZ2</v>
      </c>
      <c r="AD1446" s="80" t="str">
        <f t="shared" si="240"/>
        <v>CLZ2</v>
      </c>
      <c r="AE1446" s="80" t="str">
        <f t="shared" si="241"/>
        <v>LCOF3</v>
      </c>
      <c r="AF1446" s="80" t="str">
        <f t="shared" si="242"/>
        <v>CLF3</v>
      </c>
      <c r="AG1446" s="80" t="str">
        <f t="shared" si="243"/>
        <v>LCOG3</v>
      </c>
      <c r="AH1446" s="80" t="str">
        <f t="shared" si="244"/>
        <v>LCOH3</v>
      </c>
    </row>
    <row r="1447" spans="25:34" x14ac:dyDescent="0.35">
      <c r="Y1447" s="74">
        <f t="shared" si="245"/>
        <v>44850</v>
      </c>
      <c r="Z1447" s="74" t="e">
        <f t="shared" ca="1" si="236"/>
        <v>#N/A</v>
      </c>
      <c r="AA1447" s="80" t="str">
        <f t="shared" ca="1" si="237"/>
        <v>CLX2</v>
      </c>
      <c r="AB1447" s="74" t="e">
        <f t="shared" si="239"/>
        <v>#N/A</v>
      </c>
      <c r="AC1447" s="80" t="str">
        <f t="shared" si="238"/>
        <v>LCOZ2</v>
      </c>
      <c r="AD1447" s="80" t="str">
        <f t="shared" si="240"/>
        <v>CLZ2</v>
      </c>
      <c r="AE1447" s="80" t="str">
        <f t="shared" si="241"/>
        <v>LCOF3</v>
      </c>
      <c r="AF1447" s="80" t="str">
        <f t="shared" si="242"/>
        <v>CLF3</v>
      </c>
      <c r="AG1447" s="80" t="str">
        <f t="shared" si="243"/>
        <v>LCOG3</v>
      </c>
      <c r="AH1447" s="80" t="str">
        <f t="shared" si="244"/>
        <v>LCOH3</v>
      </c>
    </row>
    <row r="1448" spans="25:34" x14ac:dyDescent="0.35">
      <c r="Y1448" s="74">
        <f t="shared" si="245"/>
        <v>44851</v>
      </c>
      <c r="Z1448" s="74" t="e">
        <f t="shared" ca="1" si="236"/>
        <v>#N/A</v>
      </c>
      <c r="AA1448" s="80" t="str">
        <f t="shared" ca="1" si="237"/>
        <v>CLX2</v>
      </c>
      <c r="AB1448" s="74" t="e">
        <f t="shared" si="239"/>
        <v>#N/A</v>
      </c>
      <c r="AC1448" s="80" t="str">
        <f t="shared" si="238"/>
        <v>LCOZ2</v>
      </c>
      <c r="AD1448" s="80" t="str">
        <f t="shared" si="240"/>
        <v>CLZ2</v>
      </c>
      <c r="AE1448" s="80" t="str">
        <f t="shared" si="241"/>
        <v>LCOF3</v>
      </c>
      <c r="AF1448" s="80" t="str">
        <f t="shared" si="242"/>
        <v>CLF3</v>
      </c>
      <c r="AG1448" s="80" t="str">
        <f t="shared" si="243"/>
        <v>LCOG3</v>
      </c>
      <c r="AH1448" s="80" t="str">
        <f t="shared" si="244"/>
        <v>LCOH3</v>
      </c>
    </row>
    <row r="1449" spans="25:34" x14ac:dyDescent="0.35">
      <c r="Y1449" s="74">
        <f t="shared" si="245"/>
        <v>44852</v>
      </c>
      <c r="Z1449" s="74" t="e">
        <f t="shared" ca="1" si="236"/>
        <v>#N/A</v>
      </c>
      <c r="AA1449" s="80" t="str">
        <f t="shared" ca="1" si="237"/>
        <v>CLX2</v>
      </c>
      <c r="AB1449" s="74" t="e">
        <f t="shared" si="239"/>
        <v>#N/A</v>
      </c>
      <c r="AC1449" s="80" t="str">
        <f t="shared" si="238"/>
        <v>LCOZ2</v>
      </c>
      <c r="AD1449" s="80" t="str">
        <f t="shared" si="240"/>
        <v>CLZ2</v>
      </c>
      <c r="AE1449" s="80" t="str">
        <f t="shared" si="241"/>
        <v>LCOF3</v>
      </c>
      <c r="AF1449" s="80" t="str">
        <f t="shared" si="242"/>
        <v>CLF3</v>
      </c>
      <c r="AG1449" s="80" t="str">
        <f t="shared" si="243"/>
        <v>LCOG3</v>
      </c>
      <c r="AH1449" s="80" t="str">
        <f t="shared" si="244"/>
        <v>LCOH3</v>
      </c>
    </row>
    <row r="1450" spans="25:34" x14ac:dyDescent="0.35">
      <c r="Y1450" s="74">
        <f t="shared" si="245"/>
        <v>44853</v>
      </c>
      <c r="Z1450" s="74" t="e">
        <f t="shared" ca="1" si="236"/>
        <v>#N/A</v>
      </c>
      <c r="AA1450" s="80" t="str">
        <f t="shared" ca="1" si="237"/>
        <v>CLX2</v>
      </c>
      <c r="AB1450" s="74" t="e">
        <f t="shared" si="239"/>
        <v>#N/A</v>
      </c>
      <c r="AC1450" s="80" t="str">
        <f t="shared" si="238"/>
        <v>LCOZ2</v>
      </c>
      <c r="AD1450" s="80" t="str">
        <f t="shared" si="240"/>
        <v>CLZ2</v>
      </c>
      <c r="AE1450" s="80" t="str">
        <f t="shared" si="241"/>
        <v>LCOF3</v>
      </c>
      <c r="AF1450" s="80" t="str">
        <f t="shared" si="242"/>
        <v>CLF3</v>
      </c>
      <c r="AG1450" s="80" t="str">
        <f t="shared" si="243"/>
        <v>LCOG3</v>
      </c>
      <c r="AH1450" s="80" t="str">
        <f t="shared" si="244"/>
        <v>LCOH3</v>
      </c>
    </row>
    <row r="1451" spans="25:34" x14ac:dyDescent="0.35">
      <c r="Y1451" s="74">
        <f t="shared" si="245"/>
        <v>44854</v>
      </c>
      <c r="Z1451" s="74" t="e">
        <f t="shared" ca="1" si="236"/>
        <v>#N/A</v>
      </c>
      <c r="AA1451" s="80" t="str">
        <f t="shared" ca="1" si="237"/>
        <v>CLX2</v>
      </c>
      <c r="AB1451" s="74" t="e">
        <f t="shared" si="239"/>
        <v>#N/A</v>
      </c>
      <c r="AC1451" s="80" t="str">
        <f t="shared" si="238"/>
        <v>LCOZ2</v>
      </c>
      <c r="AD1451" s="80" t="str">
        <f t="shared" si="240"/>
        <v>CLZ2</v>
      </c>
      <c r="AE1451" s="80" t="str">
        <f t="shared" si="241"/>
        <v>LCOF3</v>
      </c>
      <c r="AF1451" s="80" t="str">
        <f t="shared" si="242"/>
        <v>CLF3</v>
      </c>
      <c r="AG1451" s="80" t="str">
        <f t="shared" si="243"/>
        <v>LCOG3</v>
      </c>
      <c r="AH1451" s="80" t="str">
        <f t="shared" si="244"/>
        <v>LCOH3</v>
      </c>
    </row>
    <row r="1452" spans="25:34" x14ac:dyDescent="0.35">
      <c r="Y1452" s="74">
        <f t="shared" si="245"/>
        <v>44855</v>
      </c>
      <c r="Z1452" s="74" t="e">
        <f t="shared" ca="1" si="236"/>
        <v>#N/A</v>
      </c>
      <c r="AA1452" s="80" t="str">
        <f t="shared" ca="1" si="237"/>
        <v>CLZ2</v>
      </c>
      <c r="AB1452" s="74" t="e">
        <f t="shared" si="239"/>
        <v>#N/A</v>
      </c>
      <c r="AC1452" s="80" t="str">
        <f t="shared" si="238"/>
        <v>LCOZ2</v>
      </c>
      <c r="AD1452" s="80" t="str">
        <f t="shared" si="240"/>
        <v>CLZ2</v>
      </c>
      <c r="AE1452" s="80" t="str">
        <f t="shared" si="241"/>
        <v>LCOF3</v>
      </c>
      <c r="AF1452" s="80" t="str">
        <f t="shared" si="242"/>
        <v>CLF3</v>
      </c>
      <c r="AG1452" s="80" t="str">
        <f t="shared" si="243"/>
        <v>LCOG3</v>
      </c>
      <c r="AH1452" s="80" t="str">
        <f t="shared" si="244"/>
        <v>LCOH3</v>
      </c>
    </row>
    <row r="1453" spans="25:34" x14ac:dyDescent="0.35">
      <c r="Y1453" s="74">
        <f t="shared" si="245"/>
        <v>44856</v>
      </c>
      <c r="Z1453" s="74" t="e">
        <f t="shared" ca="1" si="236"/>
        <v>#N/A</v>
      </c>
      <c r="AA1453" s="80" t="str">
        <f t="shared" ca="1" si="237"/>
        <v>CLZ2</v>
      </c>
      <c r="AB1453" s="74" t="e">
        <f t="shared" si="239"/>
        <v>#N/A</v>
      </c>
      <c r="AC1453" s="80" t="str">
        <f t="shared" si="238"/>
        <v>LCOZ2</v>
      </c>
      <c r="AD1453" s="80" t="str">
        <f t="shared" si="240"/>
        <v>CLZ2</v>
      </c>
      <c r="AE1453" s="80" t="str">
        <f t="shared" si="241"/>
        <v>LCOF3</v>
      </c>
      <c r="AF1453" s="80" t="str">
        <f t="shared" si="242"/>
        <v>CLF3</v>
      </c>
      <c r="AG1453" s="80" t="str">
        <f t="shared" si="243"/>
        <v>LCOG3</v>
      </c>
      <c r="AH1453" s="80" t="str">
        <f t="shared" si="244"/>
        <v>LCOH3</v>
      </c>
    </row>
    <row r="1454" spans="25:34" x14ac:dyDescent="0.35">
      <c r="Y1454" s="74">
        <f t="shared" si="245"/>
        <v>44857</v>
      </c>
      <c r="Z1454" s="74" t="e">
        <f t="shared" ca="1" si="236"/>
        <v>#N/A</v>
      </c>
      <c r="AA1454" s="80" t="str">
        <f t="shared" ca="1" si="237"/>
        <v>CLZ2</v>
      </c>
      <c r="AB1454" s="74" t="e">
        <f t="shared" si="239"/>
        <v>#N/A</v>
      </c>
      <c r="AC1454" s="80" t="str">
        <f t="shared" si="238"/>
        <v>LCOZ2</v>
      </c>
      <c r="AD1454" s="80" t="str">
        <f t="shared" si="240"/>
        <v>CLZ2</v>
      </c>
      <c r="AE1454" s="80" t="str">
        <f t="shared" si="241"/>
        <v>LCOF3</v>
      </c>
      <c r="AF1454" s="80" t="str">
        <f t="shared" si="242"/>
        <v>CLF3</v>
      </c>
      <c r="AG1454" s="80" t="str">
        <f t="shared" si="243"/>
        <v>LCOG3</v>
      </c>
      <c r="AH1454" s="80" t="str">
        <f t="shared" si="244"/>
        <v>LCOH3</v>
      </c>
    </row>
    <row r="1455" spans="25:34" x14ac:dyDescent="0.35">
      <c r="Y1455" s="74">
        <f t="shared" si="245"/>
        <v>44858</v>
      </c>
      <c r="Z1455" s="74" t="e">
        <f t="shared" ca="1" si="236"/>
        <v>#N/A</v>
      </c>
      <c r="AA1455" s="80" t="str">
        <f t="shared" ca="1" si="237"/>
        <v>CLZ2</v>
      </c>
      <c r="AB1455" s="74" t="e">
        <f t="shared" si="239"/>
        <v>#N/A</v>
      </c>
      <c r="AC1455" s="80" t="str">
        <f t="shared" si="238"/>
        <v>LCOZ2</v>
      </c>
      <c r="AD1455" s="80" t="str">
        <f t="shared" si="240"/>
        <v>CLZ2</v>
      </c>
      <c r="AE1455" s="80" t="str">
        <f t="shared" si="241"/>
        <v>LCOF3</v>
      </c>
      <c r="AF1455" s="80" t="str">
        <f t="shared" si="242"/>
        <v>CLF3</v>
      </c>
      <c r="AG1455" s="80" t="str">
        <f t="shared" si="243"/>
        <v>LCOG3</v>
      </c>
      <c r="AH1455" s="80" t="str">
        <f t="shared" si="244"/>
        <v>LCOH3</v>
      </c>
    </row>
    <row r="1456" spans="25:34" x14ac:dyDescent="0.35">
      <c r="Y1456" s="74">
        <f t="shared" si="245"/>
        <v>44859</v>
      </c>
      <c r="Z1456" s="74" t="e">
        <f t="shared" ca="1" si="236"/>
        <v>#N/A</v>
      </c>
      <c r="AA1456" s="80" t="str">
        <f t="shared" ca="1" si="237"/>
        <v>CLZ2</v>
      </c>
      <c r="AB1456" s="74" t="e">
        <f t="shared" si="239"/>
        <v>#N/A</v>
      </c>
      <c r="AC1456" s="80" t="str">
        <f t="shared" si="238"/>
        <v>LCOZ2</v>
      </c>
      <c r="AD1456" s="80" t="str">
        <f t="shared" si="240"/>
        <v>CLZ2</v>
      </c>
      <c r="AE1456" s="80" t="str">
        <f t="shared" si="241"/>
        <v>LCOF3</v>
      </c>
      <c r="AF1456" s="80" t="str">
        <f t="shared" si="242"/>
        <v>CLF3</v>
      </c>
      <c r="AG1456" s="80" t="str">
        <f t="shared" si="243"/>
        <v>LCOG3</v>
      </c>
      <c r="AH1456" s="80" t="str">
        <f t="shared" si="244"/>
        <v>LCOH3</v>
      </c>
    </row>
    <row r="1457" spans="25:34" x14ac:dyDescent="0.35">
      <c r="Y1457" s="74">
        <f t="shared" si="245"/>
        <v>44860</v>
      </c>
      <c r="Z1457" s="74" t="e">
        <f t="shared" ca="1" si="236"/>
        <v>#N/A</v>
      </c>
      <c r="AA1457" s="80" t="str">
        <f t="shared" ca="1" si="237"/>
        <v>CLZ2</v>
      </c>
      <c r="AB1457" s="74" t="e">
        <f t="shared" si="239"/>
        <v>#N/A</v>
      </c>
      <c r="AC1457" s="80" t="str">
        <f t="shared" si="238"/>
        <v>LCOZ2</v>
      </c>
      <c r="AD1457" s="80" t="str">
        <f t="shared" si="240"/>
        <v>CLZ2</v>
      </c>
      <c r="AE1457" s="80" t="str">
        <f t="shared" si="241"/>
        <v>LCOF3</v>
      </c>
      <c r="AF1457" s="80" t="str">
        <f t="shared" si="242"/>
        <v>CLF3</v>
      </c>
      <c r="AG1457" s="80" t="str">
        <f t="shared" si="243"/>
        <v>LCOG3</v>
      </c>
      <c r="AH1457" s="80" t="str">
        <f t="shared" si="244"/>
        <v>LCOH3</v>
      </c>
    </row>
    <row r="1458" spans="25:34" x14ac:dyDescent="0.35">
      <c r="Y1458" s="74">
        <f t="shared" si="245"/>
        <v>44861</v>
      </c>
      <c r="Z1458" s="74" t="e">
        <f t="shared" ca="1" si="236"/>
        <v>#N/A</v>
      </c>
      <c r="AA1458" s="80" t="str">
        <f t="shared" ca="1" si="237"/>
        <v>CLZ2</v>
      </c>
      <c r="AB1458" s="74" t="e">
        <f t="shared" si="239"/>
        <v>#N/A</v>
      </c>
      <c r="AC1458" s="80" t="str">
        <f t="shared" si="238"/>
        <v>LCOZ2</v>
      </c>
      <c r="AD1458" s="80" t="str">
        <f t="shared" si="240"/>
        <v>CLZ2</v>
      </c>
      <c r="AE1458" s="80" t="str">
        <f t="shared" si="241"/>
        <v>LCOF3</v>
      </c>
      <c r="AF1458" s="80" t="str">
        <f t="shared" si="242"/>
        <v>CLF3</v>
      </c>
      <c r="AG1458" s="80" t="str">
        <f t="shared" si="243"/>
        <v>LCOG3</v>
      </c>
      <c r="AH1458" s="80" t="str">
        <f t="shared" si="244"/>
        <v>LCOH3</v>
      </c>
    </row>
    <row r="1459" spans="25:34" x14ac:dyDescent="0.35">
      <c r="Y1459" s="74">
        <f t="shared" si="245"/>
        <v>44862</v>
      </c>
      <c r="Z1459" s="74" t="e">
        <f t="shared" ca="1" si="236"/>
        <v>#N/A</v>
      </c>
      <c r="AA1459" s="80" t="str">
        <f t="shared" ca="1" si="237"/>
        <v>CLZ2</v>
      </c>
      <c r="AB1459" s="74" t="e">
        <f t="shared" si="239"/>
        <v>#N/A</v>
      </c>
      <c r="AC1459" s="80" t="str">
        <f t="shared" si="238"/>
        <v>LCOZ2</v>
      </c>
      <c r="AD1459" s="80" t="str">
        <f t="shared" si="240"/>
        <v>CLZ2</v>
      </c>
      <c r="AE1459" s="80" t="str">
        <f t="shared" si="241"/>
        <v>LCOF3</v>
      </c>
      <c r="AF1459" s="80" t="str">
        <f t="shared" si="242"/>
        <v>CLF3</v>
      </c>
      <c r="AG1459" s="80" t="str">
        <f t="shared" si="243"/>
        <v>LCOG3</v>
      </c>
      <c r="AH1459" s="80" t="str">
        <f t="shared" si="244"/>
        <v>LCOH3</v>
      </c>
    </row>
    <row r="1460" spans="25:34" x14ac:dyDescent="0.35">
      <c r="Y1460" s="74">
        <f t="shared" si="245"/>
        <v>44863</v>
      </c>
      <c r="Z1460" s="74" t="e">
        <f t="shared" ca="1" si="236"/>
        <v>#N/A</v>
      </c>
      <c r="AA1460" s="80" t="str">
        <f t="shared" ca="1" si="237"/>
        <v>CLZ2</v>
      </c>
      <c r="AB1460" s="74" t="e">
        <f t="shared" si="239"/>
        <v>#N/A</v>
      </c>
      <c r="AC1460" s="80" t="str">
        <f t="shared" si="238"/>
        <v>LCOZ2</v>
      </c>
      <c r="AD1460" s="80" t="str">
        <f t="shared" si="240"/>
        <v>CLZ2</v>
      </c>
      <c r="AE1460" s="80" t="str">
        <f t="shared" si="241"/>
        <v>LCOF3</v>
      </c>
      <c r="AF1460" s="80" t="str">
        <f t="shared" si="242"/>
        <v>CLF3</v>
      </c>
      <c r="AG1460" s="80" t="str">
        <f t="shared" si="243"/>
        <v>LCOG3</v>
      </c>
      <c r="AH1460" s="80" t="str">
        <f t="shared" si="244"/>
        <v>LCOH3</v>
      </c>
    </row>
    <row r="1461" spans="25:34" x14ac:dyDescent="0.35">
      <c r="Y1461" s="74">
        <f t="shared" si="245"/>
        <v>44864</v>
      </c>
      <c r="Z1461" s="74" t="e">
        <f t="shared" ca="1" si="236"/>
        <v>#N/A</v>
      </c>
      <c r="AA1461" s="80" t="str">
        <f t="shared" ca="1" si="237"/>
        <v>CLZ2</v>
      </c>
      <c r="AB1461" s="74" t="e">
        <f t="shared" si="239"/>
        <v>#N/A</v>
      </c>
      <c r="AC1461" s="80" t="str">
        <f t="shared" si="238"/>
        <v>LCOZ2</v>
      </c>
      <c r="AD1461" s="80" t="str">
        <f t="shared" si="240"/>
        <v>CLZ2</v>
      </c>
      <c r="AE1461" s="80" t="str">
        <f t="shared" si="241"/>
        <v>LCOF3</v>
      </c>
      <c r="AF1461" s="80" t="str">
        <f t="shared" si="242"/>
        <v>CLF3</v>
      </c>
      <c r="AG1461" s="80" t="str">
        <f t="shared" si="243"/>
        <v>LCOG3</v>
      </c>
      <c r="AH1461" s="80" t="str">
        <f t="shared" si="244"/>
        <v>LCOH3</v>
      </c>
    </row>
    <row r="1462" spans="25:34" x14ac:dyDescent="0.35">
      <c r="Y1462" s="74">
        <f t="shared" si="245"/>
        <v>44865</v>
      </c>
      <c r="Z1462" s="74" t="e">
        <f t="shared" ca="1" si="236"/>
        <v>#N/A</v>
      </c>
      <c r="AA1462" s="80" t="str">
        <f t="shared" ca="1" si="237"/>
        <v>CLZ2</v>
      </c>
      <c r="AB1462" s="74" t="e">
        <f t="shared" si="239"/>
        <v>#N/A</v>
      </c>
      <c r="AC1462" s="80" t="str">
        <f t="shared" si="238"/>
        <v>LCOZ2</v>
      </c>
      <c r="AD1462" s="80" t="str">
        <f t="shared" si="240"/>
        <v>CLZ2</v>
      </c>
      <c r="AE1462" s="80" t="str">
        <f t="shared" si="241"/>
        <v>LCOF3</v>
      </c>
      <c r="AF1462" s="80" t="str">
        <f t="shared" si="242"/>
        <v>CLF3</v>
      </c>
      <c r="AG1462" s="80" t="str">
        <f t="shared" si="243"/>
        <v>LCOG3</v>
      </c>
      <c r="AH1462" s="80" t="str">
        <f t="shared" si="244"/>
        <v>LCOH3</v>
      </c>
    </row>
    <row r="1463" spans="25:34" x14ac:dyDescent="0.35">
      <c r="Y1463" s="74">
        <f t="shared" si="245"/>
        <v>44866</v>
      </c>
      <c r="Z1463" s="74" t="e">
        <f t="shared" ca="1" si="236"/>
        <v>#N/A</v>
      </c>
      <c r="AA1463" s="80" t="str">
        <f t="shared" ca="1" si="237"/>
        <v>CLZ2</v>
      </c>
      <c r="AB1463" s="74" t="e">
        <f t="shared" si="239"/>
        <v>#N/A</v>
      </c>
      <c r="AC1463" s="80" t="str">
        <f t="shared" si="238"/>
        <v>LCOF3</v>
      </c>
      <c r="AD1463" s="80" t="str">
        <f t="shared" si="240"/>
        <v>CLF3</v>
      </c>
      <c r="AE1463" s="80" t="str">
        <f t="shared" si="241"/>
        <v>LCOG3</v>
      </c>
      <c r="AF1463" s="80" t="str">
        <f t="shared" si="242"/>
        <v>CLG3</v>
      </c>
      <c r="AG1463" s="80" t="str">
        <f t="shared" si="243"/>
        <v>LCOH3</v>
      </c>
      <c r="AH1463" s="80" t="str">
        <f t="shared" si="244"/>
        <v>LCOJ3</v>
      </c>
    </row>
    <row r="1464" spans="25:34" x14ac:dyDescent="0.35">
      <c r="Y1464" s="74">
        <f t="shared" si="245"/>
        <v>44867</v>
      </c>
      <c r="Z1464" s="74" t="e">
        <f t="shared" ca="1" si="236"/>
        <v>#N/A</v>
      </c>
      <c r="AA1464" s="80" t="str">
        <f t="shared" ca="1" si="237"/>
        <v>CLZ2</v>
      </c>
      <c r="AB1464" s="74" t="e">
        <f t="shared" si="239"/>
        <v>#N/A</v>
      </c>
      <c r="AC1464" s="80" t="str">
        <f t="shared" si="238"/>
        <v>LCOF3</v>
      </c>
      <c r="AD1464" s="80" t="str">
        <f t="shared" si="240"/>
        <v>CLF3</v>
      </c>
      <c r="AE1464" s="80" t="str">
        <f t="shared" si="241"/>
        <v>LCOG3</v>
      </c>
      <c r="AF1464" s="80" t="str">
        <f t="shared" si="242"/>
        <v>CLG3</v>
      </c>
      <c r="AG1464" s="80" t="str">
        <f t="shared" si="243"/>
        <v>LCOH3</v>
      </c>
      <c r="AH1464" s="80" t="str">
        <f t="shared" si="244"/>
        <v>LCOJ3</v>
      </c>
    </row>
    <row r="1465" spans="25:34" x14ac:dyDescent="0.35">
      <c r="Y1465" s="74">
        <f t="shared" si="245"/>
        <v>44868</v>
      </c>
      <c r="Z1465" s="74" t="e">
        <f t="shared" ca="1" si="236"/>
        <v>#N/A</v>
      </c>
      <c r="AA1465" s="80" t="str">
        <f t="shared" ca="1" si="237"/>
        <v>CLZ2</v>
      </c>
      <c r="AB1465" s="74" t="e">
        <f t="shared" si="239"/>
        <v>#N/A</v>
      </c>
      <c r="AC1465" s="80" t="str">
        <f t="shared" si="238"/>
        <v>LCOF3</v>
      </c>
      <c r="AD1465" s="80" t="str">
        <f t="shared" si="240"/>
        <v>CLF3</v>
      </c>
      <c r="AE1465" s="80" t="str">
        <f t="shared" si="241"/>
        <v>LCOG3</v>
      </c>
      <c r="AF1465" s="80" t="str">
        <f t="shared" si="242"/>
        <v>CLG3</v>
      </c>
      <c r="AG1465" s="80" t="str">
        <f t="shared" si="243"/>
        <v>LCOH3</v>
      </c>
      <c r="AH1465" s="80" t="str">
        <f t="shared" si="244"/>
        <v>LCOJ3</v>
      </c>
    </row>
    <row r="1466" spans="25:34" x14ac:dyDescent="0.35">
      <c r="Y1466" s="74">
        <f t="shared" si="245"/>
        <v>44869</v>
      </c>
      <c r="Z1466" s="74" t="e">
        <f t="shared" ca="1" si="236"/>
        <v>#N/A</v>
      </c>
      <c r="AA1466" s="80" t="str">
        <f t="shared" ca="1" si="237"/>
        <v>CLZ2</v>
      </c>
      <c r="AB1466" s="74" t="e">
        <f t="shared" si="239"/>
        <v>#N/A</v>
      </c>
      <c r="AC1466" s="80" t="str">
        <f t="shared" si="238"/>
        <v>LCOF3</v>
      </c>
      <c r="AD1466" s="80" t="str">
        <f t="shared" si="240"/>
        <v>CLF3</v>
      </c>
      <c r="AE1466" s="80" t="str">
        <f t="shared" si="241"/>
        <v>LCOG3</v>
      </c>
      <c r="AF1466" s="80" t="str">
        <f t="shared" si="242"/>
        <v>CLG3</v>
      </c>
      <c r="AG1466" s="80" t="str">
        <f t="shared" si="243"/>
        <v>LCOH3</v>
      </c>
      <c r="AH1466" s="80" t="str">
        <f t="shared" si="244"/>
        <v>LCOJ3</v>
      </c>
    </row>
    <row r="1467" spans="25:34" x14ac:dyDescent="0.35">
      <c r="Y1467" s="74">
        <f t="shared" si="245"/>
        <v>44870</v>
      </c>
      <c r="Z1467" s="74" t="e">
        <f t="shared" ca="1" si="236"/>
        <v>#N/A</v>
      </c>
      <c r="AA1467" s="80" t="str">
        <f t="shared" ca="1" si="237"/>
        <v>CLZ2</v>
      </c>
      <c r="AB1467" s="74" t="e">
        <f t="shared" si="239"/>
        <v>#N/A</v>
      </c>
      <c r="AC1467" s="80" t="str">
        <f t="shared" si="238"/>
        <v>LCOF3</v>
      </c>
      <c r="AD1467" s="80" t="str">
        <f t="shared" si="240"/>
        <v>CLF3</v>
      </c>
      <c r="AE1467" s="80" t="str">
        <f t="shared" si="241"/>
        <v>LCOG3</v>
      </c>
      <c r="AF1467" s="80" t="str">
        <f t="shared" si="242"/>
        <v>CLG3</v>
      </c>
      <c r="AG1467" s="80" t="str">
        <f t="shared" si="243"/>
        <v>LCOH3</v>
      </c>
      <c r="AH1467" s="80" t="str">
        <f t="shared" si="244"/>
        <v>LCOJ3</v>
      </c>
    </row>
    <row r="1468" spans="25:34" x14ac:dyDescent="0.35">
      <c r="Y1468" s="74">
        <f t="shared" si="245"/>
        <v>44871</v>
      </c>
      <c r="Z1468" s="74" t="e">
        <f t="shared" ca="1" si="236"/>
        <v>#N/A</v>
      </c>
      <c r="AA1468" s="80" t="str">
        <f t="shared" ca="1" si="237"/>
        <v>CLZ2</v>
      </c>
      <c r="AB1468" s="74" t="e">
        <f t="shared" si="239"/>
        <v>#N/A</v>
      </c>
      <c r="AC1468" s="80" t="str">
        <f t="shared" si="238"/>
        <v>LCOF3</v>
      </c>
      <c r="AD1468" s="80" t="str">
        <f t="shared" si="240"/>
        <v>CLF3</v>
      </c>
      <c r="AE1468" s="80" t="str">
        <f t="shared" si="241"/>
        <v>LCOG3</v>
      </c>
      <c r="AF1468" s="80" t="str">
        <f t="shared" si="242"/>
        <v>CLG3</v>
      </c>
      <c r="AG1468" s="80" t="str">
        <f t="shared" si="243"/>
        <v>LCOH3</v>
      </c>
      <c r="AH1468" s="80" t="str">
        <f t="shared" si="244"/>
        <v>LCOJ3</v>
      </c>
    </row>
    <row r="1469" spans="25:34" x14ac:dyDescent="0.35">
      <c r="Y1469" s="74">
        <f t="shared" si="245"/>
        <v>44872</v>
      </c>
      <c r="Z1469" s="74" t="e">
        <f t="shared" ca="1" si="236"/>
        <v>#N/A</v>
      </c>
      <c r="AA1469" s="80" t="str">
        <f t="shared" ca="1" si="237"/>
        <v>CLZ2</v>
      </c>
      <c r="AB1469" s="74" t="e">
        <f t="shared" si="239"/>
        <v>#N/A</v>
      </c>
      <c r="AC1469" s="80" t="str">
        <f t="shared" si="238"/>
        <v>LCOF3</v>
      </c>
      <c r="AD1469" s="80" t="str">
        <f t="shared" si="240"/>
        <v>CLF3</v>
      </c>
      <c r="AE1469" s="80" t="str">
        <f t="shared" si="241"/>
        <v>LCOG3</v>
      </c>
      <c r="AF1469" s="80" t="str">
        <f t="shared" si="242"/>
        <v>CLG3</v>
      </c>
      <c r="AG1469" s="80" t="str">
        <f t="shared" si="243"/>
        <v>LCOH3</v>
      </c>
      <c r="AH1469" s="80" t="str">
        <f t="shared" si="244"/>
        <v>LCOJ3</v>
      </c>
    </row>
    <row r="1470" spans="25:34" x14ac:dyDescent="0.35">
      <c r="Y1470" s="74">
        <f t="shared" si="245"/>
        <v>44873</v>
      </c>
      <c r="Z1470" s="74" t="e">
        <f t="shared" ca="1" si="236"/>
        <v>#N/A</v>
      </c>
      <c r="AA1470" s="80" t="str">
        <f t="shared" ca="1" si="237"/>
        <v>CLZ2</v>
      </c>
      <c r="AB1470" s="74" t="e">
        <f t="shared" si="239"/>
        <v>#N/A</v>
      </c>
      <c r="AC1470" s="80" t="str">
        <f t="shared" si="238"/>
        <v>LCOF3</v>
      </c>
      <c r="AD1470" s="80" t="str">
        <f t="shared" si="240"/>
        <v>CLF3</v>
      </c>
      <c r="AE1470" s="80" t="str">
        <f t="shared" si="241"/>
        <v>LCOG3</v>
      </c>
      <c r="AF1470" s="80" t="str">
        <f t="shared" si="242"/>
        <v>CLG3</v>
      </c>
      <c r="AG1470" s="80" t="str">
        <f t="shared" si="243"/>
        <v>LCOH3</v>
      </c>
      <c r="AH1470" s="80" t="str">
        <f t="shared" si="244"/>
        <v>LCOJ3</v>
      </c>
    </row>
    <row r="1471" spans="25:34" x14ac:dyDescent="0.35">
      <c r="Y1471" s="74">
        <f t="shared" si="245"/>
        <v>44874</v>
      </c>
      <c r="Z1471" s="74" t="e">
        <f t="shared" ca="1" si="236"/>
        <v>#N/A</v>
      </c>
      <c r="AA1471" s="80" t="str">
        <f t="shared" ca="1" si="237"/>
        <v>CLZ2</v>
      </c>
      <c r="AB1471" s="74" t="e">
        <f t="shared" si="239"/>
        <v>#N/A</v>
      </c>
      <c r="AC1471" s="80" t="str">
        <f t="shared" si="238"/>
        <v>LCOF3</v>
      </c>
      <c r="AD1471" s="80" t="str">
        <f t="shared" si="240"/>
        <v>CLF3</v>
      </c>
      <c r="AE1471" s="80" t="str">
        <f t="shared" si="241"/>
        <v>LCOG3</v>
      </c>
      <c r="AF1471" s="80" t="str">
        <f t="shared" si="242"/>
        <v>CLG3</v>
      </c>
      <c r="AG1471" s="80" t="str">
        <f t="shared" si="243"/>
        <v>LCOH3</v>
      </c>
      <c r="AH1471" s="80" t="str">
        <f t="shared" si="244"/>
        <v>LCOJ3</v>
      </c>
    </row>
    <row r="1472" spans="25:34" x14ac:dyDescent="0.35">
      <c r="Y1472" s="74">
        <f t="shared" si="245"/>
        <v>44875</v>
      </c>
      <c r="Z1472" s="74" t="e">
        <f t="shared" ca="1" si="236"/>
        <v>#N/A</v>
      </c>
      <c r="AA1472" s="80" t="str">
        <f t="shared" ca="1" si="237"/>
        <v>CLZ2</v>
      </c>
      <c r="AB1472" s="74" t="e">
        <f t="shared" si="239"/>
        <v>#N/A</v>
      </c>
      <c r="AC1472" s="80" t="str">
        <f t="shared" si="238"/>
        <v>LCOF3</v>
      </c>
      <c r="AD1472" s="80" t="str">
        <f t="shared" si="240"/>
        <v>CLF3</v>
      </c>
      <c r="AE1472" s="80" t="str">
        <f t="shared" si="241"/>
        <v>LCOG3</v>
      </c>
      <c r="AF1472" s="80" t="str">
        <f t="shared" si="242"/>
        <v>CLG3</v>
      </c>
      <c r="AG1472" s="80" t="str">
        <f t="shared" si="243"/>
        <v>LCOH3</v>
      </c>
      <c r="AH1472" s="80" t="str">
        <f t="shared" si="244"/>
        <v>LCOJ3</v>
      </c>
    </row>
    <row r="1473" spans="25:34" x14ac:dyDescent="0.35">
      <c r="Y1473" s="74">
        <f t="shared" si="245"/>
        <v>44876</v>
      </c>
      <c r="Z1473" s="74" t="e">
        <f t="shared" ca="1" si="236"/>
        <v>#N/A</v>
      </c>
      <c r="AA1473" s="80" t="str">
        <f t="shared" ca="1" si="237"/>
        <v>CLZ2</v>
      </c>
      <c r="AB1473" s="74" t="e">
        <f t="shared" si="239"/>
        <v>#N/A</v>
      </c>
      <c r="AC1473" s="80" t="str">
        <f t="shared" si="238"/>
        <v>LCOF3</v>
      </c>
      <c r="AD1473" s="80" t="str">
        <f t="shared" si="240"/>
        <v>CLF3</v>
      </c>
      <c r="AE1473" s="80" t="str">
        <f t="shared" si="241"/>
        <v>LCOG3</v>
      </c>
      <c r="AF1473" s="80" t="str">
        <f t="shared" si="242"/>
        <v>CLG3</v>
      </c>
      <c r="AG1473" s="80" t="str">
        <f t="shared" si="243"/>
        <v>LCOH3</v>
      </c>
      <c r="AH1473" s="80" t="str">
        <f t="shared" si="244"/>
        <v>LCOJ3</v>
      </c>
    </row>
    <row r="1474" spans="25:34" x14ac:dyDescent="0.35">
      <c r="Y1474" s="74">
        <f t="shared" si="245"/>
        <v>44877</v>
      </c>
      <c r="Z1474" s="74" t="e">
        <f t="shared" ref="Z1474:Z1537" ca="1" si="246">VLOOKUP(AA1474,$I$2:$K$39,3,FALSE)</f>
        <v>#N/A</v>
      </c>
      <c r="AA1474" s="80" t="str">
        <f t="shared" ref="AA1474:AA1537" ca="1" si="247">LOOKUP(2,1/($J$2:$J$700&lt;=$Y1474)/($K$2:$K$700&gt;=$Y1474),$L$2:$L$700)</f>
        <v>CLZ2</v>
      </c>
      <c r="AB1474" s="74" t="e">
        <f t="shared" si="239"/>
        <v>#N/A</v>
      </c>
      <c r="AC1474" s="80" t="str">
        <f t="shared" ref="AC1474:AC1537" si="248">LOOKUP(2,1/($R$2:$R$700&lt;=$Y1474)/($S$2:$S$700&gt;=$Y1474),$T$2:$T$700)</f>
        <v>LCOF3</v>
      </c>
      <c r="AD1474" s="80" t="str">
        <f t="shared" si="240"/>
        <v>CLF3</v>
      </c>
      <c r="AE1474" s="80" t="str">
        <f t="shared" si="241"/>
        <v>LCOG3</v>
      </c>
      <c r="AF1474" s="80" t="str">
        <f t="shared" si="242"/>
        <v>CLG3</v>
      </c>
      <c r="AG1474" s="80" t="str">
        <f t="shared" si="243"/>
        <v>LCOH3</v>
      </c>
      <c r="AH1474" s="80" t="str">
        <f t="shared" si="244"/>
        <v>LCOJ3</v>
      </c>
    </row>
    <row r="1475" spans="25:34" x14ac:dyDescent="0.35">
      <c r="Y1475" s="74">
        <f t="shared" si="245"/>
        <v>44878</v>
      </c>
      <c r="Z1475" s="74" t="e">
        <f t="shared" ca="1" si="246"/>
        <v>#N/A</v>
      </c>
      <c r="AA1475" s="80" t="str">
        <f t="shared" ca="1" si="247"/>
        <v>CLZ2</v>
      </c>
      <c r="AB1475" s="74" t="e">
        <f t="shared" ref="AB1475:AB1538" si="249">VLOOKUP(AC1475,$Q$2:$S$39,3,FALSE)</f>
        <v>#N/A</v>
      </c>
      <c r="AC1475" s="80" t="str">
        <f t="shared" si="248"/>
        <v>LCOF3</v>
      </c>
      <c r="AD1475" s="80" t="str">
        <f t="shared" ref="AD1475:AD1538" si="250">CONCATENATE("CL",RIGHT(AC1475,2))</f>
        <v>CLF3</v>
      </c>
      <c r="AE1475" s="80" t="str">
        <f t="shared" ref="AE1475:AE1538" si="251">LOOKUP(2,1/($R$2:$R$700&lt;=$Y1475)/($S$2:$S$700&gt;=$Y1475),$U$2:$U$700)</f>
        <v>LCOG3</v>
      </c>
      <c r="AF1475" s="80" t="str">
        <f t="shared" ref="AF1475:AF1538" si="252">CONCATENATE("CL",RIGHT(AE1475,2))</f>
        <v>CLG3</v>
      </c>
      <c r="AG1475" s="80" t="str">
        <f t="shared" ref="AG1475:AG1538" si="253">LOOKUP(2,1/($R$2:$R$700&lt;=$Y1475)/($S$2:$S$700&gt;=$Y1475),$V$2:$V$700)</f>
        <v>LCOH3</v>
      </c>
      <c r="AH1475" s="80" t="str">
        <f t="shared" ref="AH1475:AH1538" si="254">LOOKUP(2,1/($R$2:$R$700&lt;=$Y1475)/($S$2:$S$700&gt;=$Y1475),$W$2:$W$700)</f>
        <v>LCOJ3</v>
      </c>
    </row>
    <row r="1476" spans="25:34" x14ac:dyDescent="0.35">
      <c r="Y1476" s="74">
        <f t="shared" si="245"/>
        <v>44879</v>
      </c>
      <c r="Z1476" s="74" t="e">
        <f t="shared" ca="1" si="246"/>
        <v>#N/A</v>
      </c>
      <c r="AA1476" s="80" t="str">
        <f t="shared" ca="1" si="247"/>
        <v>CLZ2</v>
      </c>
      <c r="AB1476" s="74" t="e">
        <f t="shared" si="249"/>
        <v>#N/A</v>
      </c>
      <c r="AC1476" s="80" t="str">
        <f t="shared" si="248"/>
        <v>LCOF3</v>
      </c>
      <c r="AD1476" s="80" t="str">
        <f t="shared" si="250"/>
        <v>CLF3</v>
      </c>
      <c r="AE1476" s="80" t="str">
        <f t="shared" si="251"/>
        <v>LCOG3</v>
      </c>
      <c r="AF1476" s="80" t="str">
        <f t="shared" si="252"/>
        <v>CLG3</v>
      </c>
      <c r="AG1476" s="80" t="str">
        <f t="shared" si="253"/>
        <v>LCOH3</v>
      </c>
      <c r="AH1476" s="80" t="str">
        <f t="shared" si="254"/>
        <v>LCOJ3</v>
      </c>
    </row>
    <row r="1477" spans="25:34" x14ac:dyDescent="0.35">
      <c r="Y1477" s="74">
        <f t="shared" si="245"/>
        <v>44880</v>
      </c>
      <c r="Z1477" s="74" t="e">
        <f t="shared" ca="1" si="246"/>
        <v>#N/A</v>
      </c>
      <c r="AA1477" s="80" t="str">
        <f t="shared" ca="1" si="247"/>
        <v>CLZ2</v>
      </c>
      <c r="AB1477" s="74" t="e">
        <f t="shared" si="249"/>
        <v>#N/A</v>
      </c>
      <c r="AC1477" s="80" t="str">
        <f t="shared" si="248"/>
        <v>LCOF3</v>
      </c>
      <c r="AD1477" s="80" t="str">
        <f t="shared" si="250"/>
        <v>CLF3</v>
      </c>
      <c r="AE1477" s="80" t="str">
        <f t="shared" si="251"/>
        <v>LCOG3</v>
      </c>
      <c r="AF1477" s="80" t="str">
        <f t="shared" si="252"/>
        <v>CLG3</v>
      </c>
      <c r="AG1477" s="80" t="str">
        <f t="shared" si="253"/>
        <v>LCOH3</v>
      </c>
      <c r="AH1477" s="80" t="str">
        <f t="shared" si="254"/>
        <v>LCOJ3</v>
      </c>
    </row>
    <row r="1478" spans="25:34" x14ac:dyDescent="0.35">
      <c r="Y1478" s="74">
        <f t="shared" si="245"/>
        <v>44881</v>
      </c>
      <c r="Z1478" s="74" t="e">
        <f t="shared" ca="1" si="246"/>
        <v>#N/A</v>
      </c>
      <c r="AA1478" s="80" t="str">
        <f t="shared" ca="1" si="247"/>
        <v>CLZ2</v>
      </c>
      <c r="AB1478" s="74" t="e">
        <f t="shared" si="249"/>
        <v>#N/A</v>
      </c>
      <c r="AC1478" s="80" t="str">
        <f t="shared" si="248"/>
        <v>LCOF3</v>
      </c>
      <c r="AD1478" s="80" t="str">
        <f t="shared" si="250"/>
        <v>CLF3</v>
      </c>
      <c r="AE1478" s="80" t="str">
        <f t="shared" si="251"/>
        <v>LCOG3</v>
      </c>
      <c r="AF1478" s="80" t="str">
        <f t="shared" si="252"/>
        <v>CLG3</v>
      </c>
      <c r="AG1478" s="80" t="str">
        <f t="shared" si="253"/>
        <v>LCOH3</v>
      </c>
      <c r="AH1478" s="80" t="str">
        <f t="shared" si="254"/>
        <v>LCOJ3</v>
      </c>
    </row>
    <row r="1479" spans="25:34" x14ac:dyDescent="0.35">
      <c r="Y1479" s="74">
        <f t="shared" si="245"/>
        <v>44882</v>
      </c>
      <c r="Z1479" s="74" t="e">
        <f t="shared" ca="1" si="246"/>
        <v>#N/A</v>
      </c>
      <c r="AA1479" s="80" t="str">
        <f t="shared" ca="1" si="247"/>
        <v>CLZ2</v>
      </c>
      <c r="AB1479" s="74" t="e">
        <f t="shared" si="249"/>
        <v>#N/A</v>
      </c>
      <c r="AC1479" s="80" t="str">
        <f t="shared" si="248"/>
        <v>LCOF3</v>
      </c>
      <c r="AD1479" s="80" t="str">
        <f t="shared" si="250"/>
        <v>CLF3</v>
      </c>
      <c r="AE1479" s="80" t="str">
        <f t="shared" si="251"/>
        <v>LCOG3</v>
      </c>
      <c r="AF1479" s="80" t="str">
        <f t="shared" si="252"/>
        <v>CLG3</v>
      </c>
      <c r="AG1479" s="80" t="str">
        <f t="shared" si="253"/>
        <v>LCOH3</v>
      </c>
      <c r="AH1479" s="80" t="str">
        <f t="shared" si="254"/>
        <v>LCOJ3</v>
      </c>
    </row>
    <row r="1480" spans="25:34" x14ac:dyDescent="0.35">
      <c r="Y1480" s="74">
        <f t="shared" si="245"/>
        <v>44883</v>
      </c>
      <c r="Z1480" s="74" t="e">
        <f t="shared" ca="1" si="246"/>
        <v>#N/A</v>
      </c>
      <c r="AA1480" s="80" t="str">
        <f t="shared" ca="1" si="247"/>
        <v>CLZ2</v>
      </c>
      <c r="AB1480" s="74" t="e">
        <f t="shared" si="249"/>
        <v>#N/A</v>
      </c>
      <c r="AC1480" s="80" t="str">
        <f t="shared" si="248"/>
        <v>LCOF3</v>
      </c>
      <c r="AD1480" s="80" t="str">
        <f t="shared" si="250"/>
        <v>CLF3</v>
      </c>
      <c r="AE1480" s="80" t="str">
        <f t="shared" si="251"/>
        <v>LCOG3</v>
      </c>
      <c r="AF1480" s="80" t="str">
        <f t="shared" si="252"/>
        <v>CLG3</v>
      </c>
      <c r="AG1480" s="80" t="str">
        <f t="shared" si="253"/>
        <v>LCOH3</v>
      </c>
      <c r="AH1480" s="80" t="str">
        <f t="shared" si="254"/>
        <v>LCOJ3</v>
      </c>
    </row>
    <row r="1481" spans="25:34" x14ac:dyDescent="0.35">
      <c r="Y1481" s="74">
        <f t="shared" si="245"/>
        <v>44884</v>
      </c>
      <c r="Z1481" s="74" t="e">
        <f t="shared" ca="1" si="246"/>
        <v>#N/A</v>
      </c>
      <c r="AA1481" s="80" t="str">
        <f t="shared" ca="1" si="247"/>
        <v>CLZ2</v>
      </c>
      <c r="AB1481" s="74" t="e">
        <f t="shared" si="249"/>
        <v>#N/A</v>
      </c>
      <c r="AC1481" s="80" t="str">
        <f t="shared" si="248"/>
        <v>LCOF3</v>
      </c>
      <c r="AD1481" s="80" t="str">
        <f t="shared" si="250"/>
        <v>CLF3</v>
      </c>
      <c r="AE1481" s="80" t="str">
        <f t="shared" si="251"/>
        <v>LCOG3</v>
      </c>
      <c r="AF1481" s="80" t="str">
        <f t="shared" si="252"/>
        <v>CLG3</v>
      </c>
      <c r="AG1481" s="80" t="str">
        <f t="shared" si="253"/>
        <v>LCOH3</v>
      </c>
      <c r="AH1481" s="80" t="str">
        <f t="shared" si="254"/>
        <v>LCOJ3</v>
      </c>
    </row>
    <row r="1482" spans="25:34" x14ac:dyDescent="0.35">
      <c r="Y1482" s="74">
        <f t="shared" si="245"/>
        <v>44885</v>
      </c>
      <c r="Z1482" s="74" t="e">
        <f t="shared" ca="1" si="246"/>
        <v>#N/A</v>
      </c>
      <c r="AA1482" s="80" t="str">
        <f t="shared" ca="1" si="247"/>
        <v>CLZ2</v>
      </c>
      <c r="AB1482" s="74" t="e">
        <f t="shared" si="249"/>
        <v>#N/A</v>
      </c>
      <c r="AC1482" s="80" t="str">
        <f t="shared" si="248"/>
        <v>LCOF3</v>
      </c>
      <c r="AD1482" s="80" t="str">
        <f t="shared" si="250"/>
        <v>CLF3</v>
      </c>
      <c r="AE1482" s="80" t="str">
        <f t="shared" si="251"/>
        <v>LCOG3</v>
      </c>
      <c r="AF1482" s="80" t="str">
        <f t="shared" si="252"/>
        <v>CLG3</v>
      </c>
      <c r="AG1482" s="80" t="str">
        <f t="shared" si="253"/>
        <v>LCOH3</v>
      </c>
      <c r="AH1482" s="80" t="str">
        <f t="shared" si="254"/>
        <v>LCOJ3</v>
      </c>
    </row>
    <row r="1483" spans="25:34" x14ac:dyDescent="0.35">
      <c r="Y1483" s="74">
        <f t="shared" si="245"/>
        <v>44886</v>
      </c>
      <c r="Z1483" s="74" t="e">
        <f t="shared" ca="1" si="246"/>
        <v>#N/A</v>
      </c>
      <c r="AA1483" s="80" t="str">
        <f t="shared" ca="1" si="247"/>
        <v>CLZ2</v>
      </c>
      <c r="AB1483" s="74" t="e">
        <f t="shared" si="249"/>
        <v>#N/A</v>
      </c>
      <c r="AC1483" s="80" t="str">
        <f t="shared" si="248"/>
        <v>LCOF3</v>
      </c>
      <c r="AD1483" s="80" t="str">
        <f t="shared" si="250"/>
        <v>CLF3</v>
      </c>
      <c r="AE1483" s="80" t="str">
        <f t="shared" si="251"/>
        <v>LCOG3</v>
      </c>
      <c r="AF1483" s="80" t="str">
        <f t="shared" si="252"/>
        <v>CLG3</v>
      </c>
      <c r="AG1483" s="80" t="str">
        <f t="shared" si="253"/>
        <v>LCOH3</v>
      </c>
      <c r="AH1483" s="80" t="str">
        <f t="shared" si="254"/>
        <v>LCOJ3</v>
      </c>
    </row>
    <row r="1484" spans="25:34" x14ac:dyDescent="0.35">
      <c r="Y1484" s="74">
        <f t="shared" si="245"/>
        <v>44887</v>
      </c>
      <c r="Z1484" s="74" t="e">
        <f t="shared" ca="1" si="246"/>
        <v>#N/A</v>
      </c>
      <c r="AA1484" s="80" t="str">
        <f t="shared" ca="1" si="247"/>
        <v>CLF3</v>
      </c>
      <c r="AB1484" s="74" t="e">
        <f t="shared" si="249"/>
        <v>#N/A</v>
      </c>
      <c r="AC1484" s="80" t="str">
        <f t="shared" si="248"/>
        <v>LCOF3</v>
      </c>
      <c r="AD1484" s="80" t="str">
        <f t="shared" si="250"/>
        <v>CLF3</v>
      </c>
      <c r="AE1484" s="80" t="str">
        <f t="shared" si="251"/>
        <v>LCOG3</v>
      </c>
      <c r="AF1484" s="80" t="str">
        <f t="shared" si="252"/>
        <v>CLG3</v>
      </c>
      <c r="AG1484" s="80" t="str">
        <f t="shared" si="253"/>
        <v>LCOH3</v>
      </c>
      <c r="AH1484" s="80" t="str">
        <f t="shared" si="254"/>
        <v>LCOJ3</v>
      </c>
    </row>
    <row r="1485" spans="25:34" x14ac:dyDescent="0.35">
      <c r="Y1485" s="74">
        <f t="shared" si="245"/>
        <v>44888</v>
      </c>
      <c r="Z1485" s="74" t="e">
        <f t="shared" ca="1" si="246"/>
        <v>#N/A</v>
      </c>
      <c r="AA1485" s="80" t="str">
        <f t="shared" ca="1" si="247"/>
        <v>CLF3</v>
      </c>
      <c r="AB1485" s="74" t="e">
        <f t="shared" si="249"/>
        <v>#N/A</v>
      </c>
      <c r="AC1485" s="80" t="str">
        <f t="shared" si="248"/>
        <v>LCOF3</v>
      </c>
      <c r="AD1485" s="80" t="str">
        <f t="shared" si="250"/>
        <v>CLF3</v>
      </c>
      <c r="AE1485" s="80" t="str">
        <f t="shared" si="251"/>
        <v>LCOG3</v>
      </c>
      <c r="AF1485" s="80" t="str">
        <f t="shared" si="252"/>
        <v>CLG3</v>
      </c>
      <c r="AG1485" s="80" t="str">
        <f t="shared" si="253"/>
        <v>LCOH3</v>
      </c>
      <c r="AH1485" s="80" t="str">
        <f t="shared" si="254"/>
        <v>LCOJ3</v>
      </c>
    </row>
    <row r="1486" spans="25:34" x14ac:dyDescent="0.35">
      <c r="Y1486" s="74">
        <f t="shared" si="245"/>
        <v>44889</v>
      </c>
      <c r="Z1486" s="74" t="e">
        <f t="shared" ca="1" si="246"/>
        <v>#N/A</v>
      </c>
      <c r="AA1486" s="80" t="str">
        <f t="shared" ca="1" si="247"/>
        <v>CLF3</v>
      </c>
      <c r="AB1486" s="74" t="e">
        <f t="shared" si="249"/>
        <v>#N/A</v>
      </c>
      <c r="AC1486" s="80" t="str">
        <f t="shared" si="248"/>
        <v>LCOF3</v>
      </c>
      <c r="AD1486" s="80" t="str">
        <f t="shared" si="250"/>
        <v>CLF3</v>
      </c>
      <c r="AE1486" s="80" t="str">
        <f t="shared" si="251"/>
        <v>LCOG3</v>
      </c>
      <c r="AF1486" s="80" t="str">
        <f t="shared" si="252"/>
        <v>CLG3</v>
      </c>
      <c r="AG1486" s="80" t="str">
        <f t="shared" si="253"/>
        <v>LCOH3</v>
      </c>
      <c r="AH1486" s="80" t="str">
        <f t="shared" si="254"/>
        <v>LCOJ3</v>
      </c>
    </row>
    <row r="1487" spans="25:34" x14ac:dyDescent="0.35">
      <c r="Y1487" s="74">
        <f t="shared" si="245"/>
        <v>44890</v>
      </c>
      <c r="Z1487" s="74" t="e">
        <f t="shared" ca="1" si="246"/>
        <v>#N/A</v>
      </c>
      <c r="AA1487" s="80" t="str">
        <f t="shared" ca="1" si="247"/>
        <v>CLF3</v>
      </c>
      <c r="AB1487" s="74" t="e">
        <f t="shared" si="249"/>
        <v>#N/A</v>
      </c>
      <c r="AC1487" s="80" t="str">
        <f t="shared" si="248"/>
        <v>LCOF3</v>
      </c>
      <c r="AD1487" s="80" t="str">
        <f t="shared" si="250"/>
        <v>CLF3</v>
      </c>
      <c r="AE1487" s="80" t="str">
        <f t="shared" si="251"/>
        <v>LCOG3</v>
      </c>
      <c r="AF1487" s="80" t="str">
        <f t="shared" si="252"/>
        <v>CLG3</v>
      </c>
      <c r="AG1487" s="80" t="str">
        <f t="shared" si="253"/>
        <v>LCOH3</v>
      </c>
      <c r="AH1487" s="80" t="str">
        <f t="shared" si="254"/>
        <v>LCOJ3</v>
      </c>
    </row>
    <row r="1488" spans="25:34" x14ac:dyDescent="0.35">
      <c r="Y1488" s="74">
        <f t="shared" si="245"/>
        <v>44891</v>
      </c>
      <c r="Z1488" s="74" t="e">
        <f t="shared" ca="1" si="246"/>
        <v>#N/A</v>
      </c>
      <c r="AA1488" s="80" t="str">
        <f t="shared" ca="1" si="247"/>
        <v>CLF3</v>
      </c>
      <c r="AB1488" s="74" t="e">
        <f t="shared" si="249"/>
        <v>#N/A</v>
      </c>
      <c r="AC1488" s="80" t="str">
        <f t="shared" si="248"/>
        <v>LCOF3</v>
      </c>
      <c r="AD1488" s="80" t="str">
        <f t="shared" si="250"/>
        <v>CLF3</v>
      </c>
      <c r="AE1488" s="80" t="str">
        <f t="shared" si="251"/>
        <v>LCOG3</v>
      </c>
      <c r="AF1488" s="80" t="str">
        <f t="shared" si="252"/>
        <v>CLG3</v>
      </c>
      <c r="AG1488" s="80" t="str">
        <f t="shared" si="253"/>
        <v>LCOH3</v>
      </c>
      <c r="AH1488" s="80" t="str">
        <f t="shared" si="254"/>
        <v>LCOJ3</v>
      </c>
    </row>
    <row r="1489" spans="25:34" x14ac:dyDescent="0.35">
      <c r="Y1489" s="74">
        <f t="shared" si="245"/>
        <v>44892</v>
      </c>
      <c r="Z1489" s="74" t="e">
        <f t="shared" ca="1" si="246"/>
        <v>#N/A</v>
      </c>
      <c r="AA1489" s="80" t="str">
        <f t="shared" ca="1" si="247"/>
        <v>CLF3</v>
      </c>
      <c r="AB1489" s="74" t="e">
        <f t="shared" si="249"/>
        <v>#N/A</v>
      </c>
      <c r="AC1489" s="80" t="str">
        <f t="shared" si="248"/>
        <v>LCOF3</v>
      </c>
      <c r="AD1489" s="80" t="str">
        <f t="shared" si="250"/>
        <v>CLF3</v>
      </c>
      <c r="AE1489" s="80" t="str">
        <f t="shared" si="251"/>
        <v>LCOG3</v>
      </c>
      <c r="AF1489" s="80" t="str">
        <f t="shared" si="252"/>
        <v>CLG3</v>
      </c>
      <c r="AG1489" s="80" t="str">
        <f t="shared" si="253"/>
        <v>LCOH3</v>
      </c>
      <c r="AH1489" s="80" t="str">
        <f t="shared" si="254"/>
        <v>LCOJ3</v>
      </c>
    </row>
    <row r="1490" spans="25:34" x14ac:dyDescent="0.35">
      <c r="Y1490" s="74">
        <f t="shared" si="245"/>
        <v>44893</v>
      </c>
      <c r="Z1490" s="74" t="e">
        <f t="shared" ca="1" si="246"/>
        <v>#N/A</v>
      </c>
      <c r="AA1490" s="80" t="str">
        <f t="shared" ca="1" si="247"/>
        <v>CLF3</v>
      </c>
      <c r="AB1490" s="74" t="e">
        <f t="shared" si="249"/>
        <v>#N/A</v>
      </c>
      <c r="AC1490" s="80" t="str">
        <f t="shared" si="248"/>
        <v>LCOF3</v>
      </c>
      <c r="AD1490" s="80" t="str">
        <f t="shared" si="250"/>
        <v>CLF3</v>
      </c>
      <c r="AE1490" s="80" t="str">
        <f t="shared" si="251"/>
        <v>LCOG3</v>
      </c>
      <c r="AF1490" s="80" t="str">
        <f t="shared" si="252"/>
        <v>CLG3</v>
      </c>
      <c r="AG1490" s="80" t="str">
        <f t="shared" si="253"/>
        <v>LCOH3</v>
      </c>
      <c r="AH1490" s="80" t="str">
        <f t="shared" si="254"/>
        <v>LCOJ3</v>
      </c>
    </row>
    <row r="1491" spans="25:34" x14ac:dyDescent="0.35">
      <c r="Y1491" s="74">
        <f t="shared" si="245"/>
        <v>44894</v>
      </c>
      <c r="Z1491" s="74" t="e">
        <f t="shared" ca="1" si="246"/>
        <v>#N/A</v>
      </c>
      <c r="AA1491" s="80" t="str">
        <f t="shared" ca="1" si="247"/>
        <v>CLF3</v>
      </c>
      <c r="AB1491" s="74" t="e">
        <f t="shared" si="249"/>
        <v>#N/A</v>
      </c>
      <c r="AC1491" s="80" t="str">
        <f t="shared" si="248"/>
        <v>LCOF3</v>
      </c>
      <c r="AD1491" s="80" t="str">
        <f t="shared" si="250"/>
        <v>CLF3</v>
      </c>
      <c r="AE1491" s="80" t="str">
        <f t="shared" si="251"/>
        <v>LCOG3</v>
      </c>
      <c r="AF1491" s="80" t="str">
        <f t="shared" si="252"/>
        <v>CLG3</v>
      </c>
      <c r="AG1491" s="80" t="str">
        <f t="shared" si="253"/>
        <v>LCOH3</v>
      </c>
      <c r="AH1491" s="80" t="str">
        <f t="shared" si="254"/>
        <v>LCOJ3</v>
      </c>
    </row>
    <row r="1492" spans="25:34" x14ac:dyDescent="0.35">
      <c r="Y1492" s="74">
        <f t="shared" si="245"/>
        <v>44895</v>
      </c>
      <c r="Z1492" s="74" t="e">
        <f t="shared" ca="1" si="246"/>
        <v>#N/A</v>
      </c>
      <c r="AA1492" s="80" t="str">
        <f t="shared" ca="1" si="247"/>
        <v>CLF3</v>
      </c>
      <c r="AB1492" s="74" t="e">
        <f t="shared" si="249"/>
        <v>#N/A</v>
      </c>
      <c r="AC1492" s="80" t="str">
        <f t="shared" si="248"/>
        <v>LCOF3</v>
      </c>
      <c r="AD1492" s="80" t="str">
        <f t="shared" si="250"/>
        <v>CLF3</v>
      </c>
      <c r="AE1492" s="80" t="str">
        <f t="shared" si="251"/>
        <v>LCOG3</v>
      </c>
      <c r="AF1492" s="80" t="str">
        <f t="shared" si="252"/>
        <v>CLG3</v>
      </c>
      <c r="AG1492" s="80" t="str">
        <f t="shared" si="253"/>
        <v>LCOH3</v>
      </c>
      <c r="AH1492" s="80" t="str">
        <f t="shared" si="254"/>
        <v>LCOJ3</v>
      </c>
    </row>
    <row r="1493" spans="25:34" x14ac:dyDescent="0.35">
      <c r="Y1493" s="74">
        <f t="shared" si="245"/>
        <v>44896</v>
      </c>
      <c r="Z1493" s="74" t="e">
        <f t="shared" ca="1" si="246"/>
        <v>#N/A</v>
      </c>
      <c r="AA1493" s="80" t="str">
        <f t="shared" ca="1" si="247"/>
        <v>CLF3</v>
      </c>
      <c r="AB1493" s="74" t="e">
        <f t="shared" si="249"/>
        <v>#N/A</v>
      </c>
      <c r="AC1493" s="80" t="str">
        <f t="shared" si="248"/>
        <v>LCOG3</v>
      </c>
      <c r="AD1493" s="80" t="str">
        <f t="shared" si="250"/>
        <v>CLG3</v>
      </c>
      <c r="AE1493" s="80" t="str">
        <f t="shared" si="251"/>
        <v>LCOH3</v>
      </c>
      <c r="AF1493" s="80" t="str">
        <f t="shared" si="252"/>
        <v>CLH3</v>
      </c>
      <c r="AG1493" s="80" t="str">
        <f t="shared" si="253"/>
        <v>LCOJ3</v>
      </c>
      <c r="AH1493" s="80" t="str">
        <f t="shared" si="254"/>
        <v>LCOK3</v>
      </c>
    </row>
    <row r="1494" spans="25:34" x14ac:dyDescent="0.35">
      <c r="Y1494" s="74">
        <f t="shared" si="245"/>
        <v>44897</v>
      </c>
      <c r="Z1494" s="74" t="e">
        <f t="shared" ca="1" si="246"/>
        <v>#N/A</v>
      </c>
      <c r="AA1494" s="80" t="str">
        <f t="shared" ca="1" si="247"/>
        <v>CLF3</v>
      </c>
      <c r="AB1494" s="74" t="e">
        <f t="shared" si="249"/>
        <v>#N/A</v>
      </c>
      <c r="AC1494" s="80" t="str">
        <f t="shared" si="248"/>
        <v>LCOG3</v>
      </c>
      <c r="AD1494" s="80" t="str">
        <f t="shared" si="250"/>
        <v>CLG3</v>
      </c>
      <c r="AE1494" s="80" t="str">
        <f t="shared" si="251"/>
        <v>LCOH3</v>
      </c>
      <c r="AF1494" s="80" t="str">
        <f t="shared" si="252"/>
        <v>CLH3</v>
      </c>
      <c r="AG1494" s="80" t="str">
        <f t="shared" si="253"/>
        <v>LCOJ3</v>
      </c>
      <c r="AH1494" s="80" t="str">
        <f t="shared" si="254"/>
        <v>LCOK3</v>
      </c>
    </row>
    <row r="1495" spans="25:34" x14ac:dyDescent="0.35">
      <c r="Y1495" s="74">
        <f t="shared" si="245"/>
        <v>44898</v>
      </c>
      <c r="Z1495" s="74" t="e">
        <f t="shared" ca="1" si="246"/>
        <v>#N/A</v>
      </c>
      <c r="AA1495" s="80" t="str">
        <f t="shared" ca="1" si="247"/>
        <v>CLF3</v>
      </c>
      <c r="AB1495" s="74" t="e">
        <f t="shared" si="249"/>
        <v>#N/A</v>
      </c>
      <c r="AC1495" s="80" t="str">
        <f t="shared" si="248"/>
        <v>LCOG3</v>
      </c>
      <c r="AD1495" s="80" t="str">
        <f t="shared" si="250"/>
        <v>CLG3</v>
      </c>
      <c r="AE1495" s="80" t="str">
        <f t="shared" si="251"/>
        <v>LCOH3</v>
      </c>
      <c r="AF1495" s="80" t="str">
        <f t="shared" si="252"/>
        <v>CLH3</v>
      </c>
      <c r="AG1495" s="80" t="str">
        <f t="shared" si="253"/>
        <v>LCOJ3</v>
      </c>
      <c r="AH1495" s="80" t="str">
        <f t="shared" si="254"/>
        <v>LCOK3</v>
      </c>
    </row>
    <row r="1496" spans="25:34" x14ac:dyDescent="0.35">
      <c r="Y1496" s="74">
        <f t="shared" si="245"/>
        <v>44899</v>
      </c>
      <c r="Z1496" s="74" t="e">
        <f t="shared" ca="1" si="246"/>
        <v>#N/A</v>
      </c>
      <c r="AA1496" s="80" t="str">
        <f t="shared" ca="1" si="247"/>
        <v>CLF3</v>
      </c>
      <c r="AB1496" s="74" t="e">
        <f t="shared" si="249"/>
        <v>#N/A</v>
      </c>
      <c r="AC1496" s="80" t="str">
        <f t="shared" si="248"/>
        <v>LCOG3</v>
      </c>
      <c r="AD1496" s="80" t="str">
        <f t="shared" si="250"/>
        <v>CLG3</v>
      </c>
      <c r="AE1496" s="80" t="str">
        <f t="shared" si="251"/>
        <v>LCOH3</v>
      </c>
      <c r="AF1496" s="80" t="str">
        <f t="shared" si="252"/>
        <v>CLH3</v>
      </c>
      <c r="AG1496" s="80" t="str">
        <f t="shared" si="253"/>
        <v>LCOJ3</v>
      </c>
      <c r="AH1496" s="80" t="str">
        <f t="shared" si="254"/>
        <v>LCOK3</v>
      </c>
    </row>
    <row r="1497" spans="25:34" x14ac:dyDescent="0.35">
      <c r="Y1497" s="74">
        <f t="shared" si="245"/>
        <v>44900</v>
      </c>
      <c r="Z1497" s="74" t="e">
        <f t="shared" ca="1" si="246"/>
        <v>#N/A</v>
      </c>
      <c r="AA1497" s="80" t="str">
        <f t="shared" ca="1" si="247"/>
        <v>CLF3</v>
      </c>
      <c r="AB1497" s="74" t="e">
        <f t="shared" si="249"/>
        <v>#N/A</v>
      </c>
      <c r="AC1497" s="80" t="str">
        <f t="shared" si="248"/>
        <v>LCOG3</v>
      </c>
      <c r="AD1497" s="80" t="str">
        <f t="shared" si="250"/>
        <v>CLG3</v>
      </c>
      <c r="AE1497" s="80" t="str">
        <f t="shared" si="251"/>
        <v>LCOH3</v>
      </c>
      <c r="AF1497" s="80" t="str">
        <f t="shared" si="252"/>
        <v>CLH3</v>
      </c>
      <c r="AG1497" s="80" t="str">
        <f t="shared" si="253"/>
        <v>LCOJ3</v>
      </c>
      <c r="AH1497" s="80" t="str">
        <f t="shared" si="254"/>
        <v>LCOK3</v>
      </c>
    </row>
    <row r="1498" spans="25:34" x14ac:dyDescent="0.35">
      <c r="Y1498" s="74">
        <f t="shared" si="245"/>
        <v>44901</v>
      </c>
      <c r="Z1498" s="74" t="e">
        <f t="shared" ca="1" si="246"/>
        <v>#N/A</v>
      </c>
      <c r="AA1498" s="80" t="str">
        <f t="shared" ca="1" si="247"/>
        <v>CLF3</v>
      </c>
      <c r="AB1498" s="74" t="e">
        <f t="shared" si="249"/>
        <v>#N/A</v>
      </c>
      <c r="AC1498" s="80" t="str">
        <f t="shared" si="248"/>
        <v>LCOG3</v>
      </c>
      <c r="AD1498" s="80" t="str">
        <f t="shared" si="250"/>
        <v>CLG3</v>
      </c>
      <c r="AE1498" s="80" t="str">
        <f t="shared" si="251"/>
        <v>LCOH3</v>
      </c>
      <c r="AF1498" s="80" t="str">
        <f t="shared" si="252"/>
        <v>CLH3</v>
      </c>
      <c r="AG1498" s="80" t="str">
        <f t="shared" si="253"/>
        <v>LCOJ3</v>
      </c>
      <c r="AH1498" s="80" t="str">
        <f t="shared" si="254"/>
        <v>LCOK3</v>
      </c>
    </row>
    <row r="1499" spans="25:34" x14ac:dyDescent="0.35">
      <c r="Y1499" s="74">
        <f t="shared" si="245"/>
        <v>44902</v>
      </c>
      <c r="Z1499" s="74" t="e">
        <f t="shared" ca="1" si="246"/>
        <v>#N/A</v>
      </c>
      <c r="AA1499" s="80" t="str">
        <f t="shared" ca="1" si="247"/>
        <v>CLF3</v>
      </c>
      <c r="AB1499" s="74" t="e">
        <f t="shared" si="249"/>
        <v>#N/A</v>
      </c>
      <c r="AC1499" s="80" t="str">
        <f t="shared" si="248"/>
        <v>LCOG3</v>
      </c>
      <c r="AD1499" s="80" t="str">
        <f t="shared" si="250"/>
        <v>CLG3</v>
      </c>
      <c r="AE1499" s="80" t="str">
        <f t="shared" si="251"/>
        <v>LCOH3</v>
      </c>
      <c r="AF1499" s="80" t="str">
        <f t="shared" si="252"/>
        <v>CLH3</v>
      </c>
      <c r="AG1499" s="80" t="str">
        <f t="shared" si="253"/>
        <v>LCOJ3</v>
      </c>
      <c r="AH1499" s="80" t="str">
        <f t="shared" si="254"/>
        <v>LCOK3</v>
      </c>
    </row>
    <row r="1500" spans="25:34" x14ac:dyDescent="0.35">
      <c r="Y1500" s="74">
        <f t="shared" si="245"/>
        <v>44903</v>
      </c>
      <c r="Z1500" s="74" t="e">
        <f t="shared" ca="1" si="246"/>
        <v>#N/A</v>
      </c>
      <c r="AA1500" s="80" t="str">
        <f t="shared" ca="1" si="247"/>
        <v>CLF3</v>
      </c>
      <c r="AB1500" s="74" t="e">
        <f t="shared" si="249"/>
        <v>#N/A</v>
      </c>
      <c r="AC1500" s="80" t="str">
        <f t="shared" si="248"/>
        <v>LCOG3</v>
      </c>
      <c r="AD1500" s="80" t="str">
        <f t="shared" si="250"/>
        <v>CLG3</v>
      </c>
      <c r="AE1500" s="80" t="str">
        <f t="shared" si="251"/>
        <v>LCOH3</v>
      </c>
      <c r="AF1500" s="80" t="str">
        <f t="shared" si="252"/>
        <v>CLH3</v>
      </c>
      <c r="AG1500" s="80" t="str">
        <f t="shared" si="253"/>
        <v>LCOJ3</v>
      </c>
      <c r="AH1500" s="80" t="str">
        <f t="shared" si="254"/>
        <v>LCOK3</v>
      </c>
    </row>
    <row r="1501" spans="25:34" x14ac:dyDescent="0.35">
      <c r="Y1501" s="74">
        <f t="shared" si="245"/>
        <v>44904</v>
      </c>
      <c r="Z1501" s="74" t="e">
        <f t="shared" ca="1" si="246"/>
        <v>#N/A</v>
      </c>
      <c r="AA1501" s="80" t="str">
        <f t="shared" ca="1" si="247"/>
        <v>CLF3</v>
      </c>
      <c r="AB1501" s="74" t="e">
        <f t="shared" si="249"/>
        <v>#N/A</v>
      </c>
      <c r="AC1501" s="80" t="str">
        <f t="shared" si="248"/>
        <v>LCOG3</v>
      </c>
      <c r="AD1501" s="80" t="str">
        <f t="shared" si="250"/>
        <v>CLG3</v>
      </c>
      <c r="AE1501" s="80" t="str">
        <f t="shared" si="251"/>
        <v>LCOH3</v>
      </c>
      <c r="AF1501" s="80" t="str">
        <f t="shared" si="252"/>
        <v>CLH3</v>
      </c>
      <c r="AG1501" s="80" t="str">
        <f t="shared" si="253"/>
        <v>LCOJ3</v>
      </c>
      <c r="AH1501" s="80" t="str">
        <f t="shared" si="254"/>
        <v>LCOK3</v>
      </c>
    </row>
    <row r="1502" spans="25:34" x14ac:dyDescent="0.35">
      <c r="Y1502" s="74">
        <f t="shared" si="245"/>
        <v>44905</v>
      </c>
      <c r="Z1502" s="74" t="e">
        <f t="shared" ca="1" si="246"/>
        <v>#N/A</v>
      </c>
      <c r="AA1502" s="80" t="str">
        <f t="shared" ca="1" si="247"/>
        <v>CLF3</v>
      </c>
      <c r="AB1502" s="74" t="e">
        <f t="shared" si="249"/>
        <v>#N/A</v>
      </c>
      <c r="AC1502" s="80" t="str">
        <f t="shared" si="248"/>
        <v>LCOG3</v>
      </c>
      <c r="AD1502" s="80" t="str">
        <f t="shared" si="250"/>
        <v>CLG3</v>
      </c>
      <c r="AE1502" s="80" t="str">
        <f t="shared" si="251"/>
        <v>LCOH3</v>
      </c>
      <c r="AF1502" s="80" t="str">
        <f t="shared" si="252"/>
        <v>CLH3</v>
      </c>
      <c r="AG1502" s="80" t="str">
        <f t="shared" si="253"/>
        <v>LCOJ3</v>
      </c>
      <c r="AH1502" s="80" t="str">
        <f t="shared" si="254"/>
        <v>LCOK3</v>
      </c>
    </row>
    <row r="1503" spans="25:34" x14ac:dyDescent="0.35">
      <c r="Y1503" s="74">
        <f t="shared" si="245"/>
        <v>44906</v>
      </c>
      <c r="Z1503" s="74" t="e">
        <f t="shared" ca="1" si="246"/>
        <v>#N/A</v>
      </c>
      <c r="AA1503" s="80" t="str">
        <f t="shared" ca="1" si="247"/>
        <v>CLF3</v>
      </c>
      <c r="AB1503" s="74" t="e">
        <f t="shared" si="249"/>
        <v>#N/A</v>
      </c>
      <c r="AC1503" s="80" t="str">
        <f t="shared" si="248"/>
        <v>LCOG3</v>
      </c>
      <c r="AD1503" s="80" t="str">
        <f t="shared" si="250"/>
        <v>CLG3</v>
      </c>
      <c r="AE1503" s="80" t="str">
        <f t="shared" si="251"/>
        <v>LCOH3</v>
      </c>
      <c r="AF1503" s="80" t="str">
        <f t="shared" si="252"/>
        <v>CLH3</v>
      </c>
      <c r="AG1503" s="80" t="str">
        <f t="shared" si="253"/>
        <v>LCOJ3</v>
      </c>
      <c r="AH1503" s="80" t="str">
        <f t="shared" si="254"/>
        <v>LCOK3</v>
      </c>
    </row>
    <row r="1504" spans="25:34" x14ac:dyDescent="0.35">
      <c r="Y1504" s="74">
        <f t="shared" si="245"/>
        <v>44907</v>
      </c>
      <c r="Z1504" s="74" t="e">
        <f t="shared" ca="1" si="246"/>
        <v>#N/A</v>
      </c>
      <c r="AA1504" s="80" t="str">
        <f t="shared" ca="1" si="247"/>
        <v>CLF3</v>
      </c>
      <c r="AB1504" s="74" t="e">
        <f t="shared" si="249"/>
        <v>#N/A</v>
      </c>
      <c r="AC1504" s="80" t="str">
        <f t="shared" si="248"/>
        <v>LCOG3</v>
      </c>
      <c r="AD1504" s="80" t="str">
        <f t="shared" si="250"/>
        <v>CLG3</v>
      </c>
      <c r="AE1504" s="80" t="str">
        <f t="shared" si="251"/>
        <v>LCOH3</v>
      </c>
      <c r="AF1504" s="80" t="str">
        <f t="shared" si="252"/>
        <v>CLH3</v>
      </c>
      <c r="AG1504" s="80" t="str">
        <f t="shared" si="253"/>
        <v>LCOJ3</v>
      </c>
      <c r="AH1504" s="80" t="str">
        <f t="shared" si="254"/>
        <v>LCOK3</v>
      </c>
    </row>
    <row r="1505" spans="25:34" x14ac:dyDescent="0.35">
      <c r="Y1505" s="74">
        <f t="shared" ref="Y1505:Y1568" si="255">Y1504+1</f>
        <v>44908</v>
      </c>
      <c r="Z1505" s="74" t="e">
        <f t="shared" ca="1" si="246"/>
        <v>#N/A</v>
      </c>
      <c r="AA1505" s="80" t="str">
        <f t="shared" ca="1" si="247"/>
        <v>CLF3</v>
      </c>
      <c r="AB1505" s="74" t="e">
        <f t="shared" si="249"/>
        <v>#N/A</v>
      </c>
      <c r="AC1505" s="80" t="str">
        <f t="shared" si="248"/>
        <v>LCOG3</v>
      </c>
      <c r="AD1505" s="80" t="str">
        <f t="shared" si="250"/>
        <v>CLG3</v>
      </c>
      <c r="AE1505" s="80" t="str">
        <f t="shared" si="251"/>
        <v>LCOH3</v>
      </c>
      <c r="AF1505" s="80" t="str">
        <f t="shared" si="252"/>
        <v>CLH3</v>
      </c>
      <c r="AG1505" s="80" t="str">
        <f t="shared" si="253"/>
        <v>LCOJ3</v>
      </c>
      <c r="AH1505" s="80" t="str">
        <f t="shared" si="254"/>
        <v>LCOK3</v>
      </c>
    </row>
    <row r="1506" spans="25:34" x14ac:dyDescent="0.35">
      <c r="Y1506" s="74">
        <f t="shared" si="255"/>
        <v>44909</v>
      </c>
      <c r="Z1506" s="74" t="e">
        <f t="shared" ca="1" si="246"/>
        <v>#N/A</v>
      </c>
      <c r="AA1506" s="80" t="str">
        <f t="shared" ca="1" si="247"/>
        <v>CLF3</v>
      </c>
      <c r="AB1506" s="74" t="e">
        <f t="shared" si="249"/>
        <v>#N/A</v>
      </c>
      <c r="AC1506" s="80" t="str">
        <f t="shared" si="248"/>
        <v>LCOG3</v>
      </c>
      <c r="AD1506" s="80" t="str">
        <f t="shared" si="250"/>
        <v>CLG3</v>
      </c>
      <c r="AE1506" s="80" t="str">
        <f t="shared" si="251"/>
        <v>LCOH3</v>
      </c>
      <c r="AF1506" s="80" t="str">
        <f t="shared" si="252"/>
        <v>CLH3</v>
      </c>
      <c r="AG1506" s="80" t="str">
        <f t="shared" si="253"/>
        <v>LCOJ3</v>
      </c>
      <c r="AH1506" s="80" t="str">
        <f t="shared" si="254"/>
        <v>LCOK3</v>
      </c>
    </row>
    <row r="1507" spans="25:34" x14ac:dyDescent="0.35">
      <c r="Y1507" s="74">
        <f t="shared" si="255"/>
        <v>44910</v>
      </c>
      <c r="Z1507" s="74" t="e">
        <f t="shared" ca="1" si="246"/>
        <v>#N/A</v>
      </c>
      <c r="AA1507" s="80" t="str">
        <f t="shared" ca="1" si="247"/>
        <v>CLF3</v>
      </c>
      <c r="AB1507" s="74" t="e">
        <f t="shared" si="249"/>
        <v>#N/A</v>
      </c>
      <c r="AC1507" s="80" t="str">
        <f t="shared" si="248"/>
        <v>LCOG3</v>
      </c>
      <c r="AD1507" s="80" t="str">
        <f t="shared" si="250"/>
        <v>CLG3</v>
      </c>
      <c r="AE1507" s="80" t="str">
        <f t="shared" si="251"/>
        <v>LCOH3</v>
      </c>
      <c r="AF1507" s="80" t="str">
        <f t="shared" si="252"/>
        <v>CLH3</v>
      </c>
      <c r="AG1507" s="80" t="str">
        <f t="shared" si="253"/>
        <v>LCOJ3</v>
      </c>
      <c r="AH1507" s="80" t="str">
        <f t="shared" si="254"/>
        <v>LCOK3</v>
      </c>
    </row>
    <row r="1508" spans="25:34" x14ac:dyDescent="0.35">
      <c r="Y1508" s="74">
        <f t="shared" si="255"/>
        <v>44911</v>
      </c>
      <c r="Z1508" s="74" t="e">
        <f t="shared" ca="1" si="246"/>
        <v>#N/A</v>
      </c>
      <c r="AA1508" s="80" t="str">
        <f t="shared" ca="1" si="247"/>
        <v>CLF3</v>
      </c>
      <c r="AB1508" s="74" t="e">
        <f t="shared" si="249"/>
        <v>#N/A</v>
      </c>
      <c r="AC1508" s="80" t="str">
        <f t="shared" si="248"/>
        <v>LCOG3</v>
      </c>
      <c r="AD1508" s="80" t="str">
        <f t="shared" si="250"/>
        <v>CLG3</v>
      </c>
      <c r="AE1508" s="80" t="str">
        <f t="shared" si="251"/>
        <v>LCOH3</v>
      </c>
      <c r="AF1508" s="80" t="str">
        <f t="shared" si="252"/>
        <v>CLH3</v>
      </c>
      <c r="AG1508" s="80" t="str">
        <f t="shared" si="253"/>
        <v>LCOJ3</v>
      </c>
      <c r="AH1508" s="80" t="str">
        <f t="shared" si="254"/>
        <v>LCOK3</v>
      </c>
    </row>
    <row r="1509" spans="25:34" x14ac:dyDescent="0.35">
      <c r="Y1509" s="74">
        <f t="shared" si="255"/>
        <v>44912</v>
      </c>
      <c r="Z1509" s="74" t="e">
        <f t="shared" ca="1" si="246"/>
        <v>#N/A</v>
      </c>
      <c r="AA1509" s="80" t="str">
        <f t="shared" ca="1" si="247"/>
        <v>CLF3</v>
      </c>
      <c r="AB1509" s="74" t="e">
        <f t="shared" si="249"/>
        <v>#N/A</v>
      </c>
      <c r="AC1509" s="80" t="str">
        <f t="shared" si="248"/>
        <v>LCOG3</v>
      </c>
      <c r="AD1509" s="80" t="str">
        <f t="shared" si="250"/>
        <v>CLG3</v>
      </c>
      <c r="AE1509" s="80" t="str">
        <f t="shared" si="251"/>
        <v>LCOH3</v>
      </c>
      <c r="AF1509" s="80" t="str">
        <f t="shared" si="252"/>
        <v>CLH3</v>
      </c>
      <c r="AG1509" s="80" t="str">
        <f t="shared" si="253"/>
        <v>LCOJ3</v>
      </c>
      <c r="AH1509" s="80" t="str">
        <f t="shared" si="254"/>
        <v>LCOK3</v>
      </c>
    </row>
    <row r="1510" spans="25:34" x14ac:dyDescent="0.35">
      <c r="Y1510" s="74">
        <f t="shared" si="255"/>
        <v>44913</v>
      </c>
      <c r="Z1510" s="74" t="e">
        <f t="shared" ca="1" si="246"/>
        <v>#N/A</v>
      </c>
      <c r="AA1510" s="80" t="str">
        <f t="shared" ca="1" si="247"/>
        <v>CLF3</v>
      </c>
      <c r="AB1510" s="74" t="e">
        <f t="shared" si="249"/>
        <v>#N/A</v>
      </c>
      <c r="AC1510" s="80" t="str">
        <f t="shared" si="248"/>
        <v>LCOG3</v>
      </c>
      <c r="AD1510" s="80" t="str">
        <f t="shared" si="250"/>
        <v>CLG3</v>
      </c>
      <c r="AE1510" s="80" t="str">
        <f t="shared" si="251"/>
        <v>LCOH3</v>
      </c>
      <c r="AF1510" s="80" t="str">
        <f t="shared" si="252"/>
        <v>CLH3</v>
      </c>
      <c r="AG1510" s="80" t="str">
        <f t="shared" si="253"/>
        <v>LCOJ3</v>
      </c>
      <c r="AH1510" s="80" t="str">
        <f t="shared" si="254"/>
        <v>LCOK3</v>
      </c>
    </row>
    <row r="1511" spans="25:34" x14ac:dyDescent="0.35">
      <c r="Y1511" s="74">
        <f t="shared" si="255"/>
        <v>44914</v>
      </c>
      <c r="Z1511" s="74" t="e">
        <f t="shared" ca="1" si="246"/>
        <v>#N/A</v>
      </c>
      <c r="AA1511" s="80" t="str">
        <f t="shared" ca="1" si="247"/>
        <v>CLF3</v>
      </c>
      <c r="AB1511" s="74" t="e">
        <f t="shared" si="249"/>
        <v>#N/A</v>
      </c>
      <c r="AC1511" s="80" t="str">
        <f t="shared" si="248"/>
        <v>LCOG3</v>
      </c>
      <c r="AD1511" s="80" t="str">
        <f t="shared" si="250"/>
        <v>CLG3</v>
      </c>
      <c r="AE1511" s="80" t="str">
        <f t="shared" si="251"/>
        <v>LCOH3</v>
      </c>
      <c r="AF1511" s="80" t="str">
        <f t="shared" si="252"/>
        <v>CLH3</v>
      </c>
      <c r="AG1511" s="80" t="str">
        <f t="shared" si="253"/>
        <v>LCOJ3</v>
      </c>
      <c r="AH1511" s="80" t="str">
        <f t="shared" si="254"/>
        <v>LCOK3</v>
      </c>
    </row>
    <row r="1512" spans="25:34" x14ac:dyDescent="0.35">
      <c r="Y1512" s="74">
        <f t="shared" si="255"/>
        <v>44915</v>
      </c>
      <c r="Z1512" s="74" t="e">
        <f t="shared" ca="1" si="246"/>
        <v>#N/A</v>
      </c>
      <c r="AA1512" s="80" t="str">
        <f t="shared" ca="1" si="247"/>
        <v>CLF3</v>
      </c>
      <c r="AB1512" s="74" t="e">
        <f t="shared" si="249"/>
        <v>#N/A</v>
      </c>
      <c r="AC1512" s="80" t="str">
        <f t="shared" si="248"/>
        <v>LCOG3</v>
      </c>
      <c r="AD1512" s="80" t="str">
        <f t="shared" si="250"/>
        <v>CLG3</v>
      </c>
      <c r="AE1512" s="80" t="str">
        <f t="shared" si="251"/>
        <v>LCOH3</v>
      </c>
      <c r="AF1512" s="80" t="str">
        <f t="shared" si="252"/>
        <v>CLH3</v>
      </c>
      <c r="AG1512" s="80" t="str">
        <f t="shared" si="253"/>
        <v>LCOJ3</v>
      </c>
      <c r="AH1512" s="80" t="str">
        <f t="shared" si="254"/>
        <v>LCOK3</v>
      </c>
    </row>
    <row r="1513" spans="25:34" x14ac:dyDescent="0.35">
      <c r="Y1513" s="74">
        <f t="shared" si="255"/>
        <v>44916</v>
      </c>
      <c r="Z1513" s="74" t="e">
        <f t="shared" ca="1" si="246"/>
        <v>#N/A</v>
      </c>
      <c r="AA1513" s="80" t="str">
        <f t="shared" ca="1" si="247"/>
        <v>CLG3</v>
      </c>
      <c r="AB1513" s="74" t="e">
        <f t="shared" si="249"/>
        <v>#N/A</v>
      </c>
      <c r="AC1513" s="80" t="str">
        <f t="shared" si="248"/>
        <v>LCOG3</v>
      </c>
      <c r="AD1513" s="80" t="str">
        <f t="shared" si="250"/>
        <v>CLG3</v>
      </c>
      <c r="AE1513" s="80" t="str">
        <f t="shared" si="251"/>
        <v>LCOH3</v>
      </c>
      <c r="AF1513" s="80" t="str">
        <f t="shared" si="252"/>
        <v>CLH3</v>
      </c>
      <c r="AG1513" s="80" t="str">
        <f t="shared" si="253"/>
        <v>LCOJ3</v>
      </c>
      <c r="AH1513" s="80" t="str">
        <f t="shared" si="254"/>
        <v>LCOK3</v>
      </c>
    </row>
    <row r="1514" spans="25:34" x14ac:dyDescent="0.35">
      <c r="Y1514" s="74">
        <f t="shared" si="255"/>
        <v>44917</v>
      </c>
      <c r="Z1514" s="74" t="e">
        <f t="shared" ca="1" si="246"/>
        <v>#N/A</v>
      </c>
      <c r="AA1514" s="80" t="str">
        <f t="shared" ca="1" si="247"/>
        <v>CLG3</v>
      </c>
      <c r="AB1514" s="74" t="e">
        <f t="shared" si="249"/>
        <v>#N/A</v>
      </c>
      <c r="AC1514" s="80" t="str">
        <f t="shared" si="248"/>
        <v>LCOG3</v>
      </c>
      <c r="AD1514" s="80" t="str">
        <f t="shared" si="250"/>
        <v>CLG3</v>
      </c>
      <c r="AE1514" s="80" t="str">
        <f t="shared" si="251"/>
        <v>LCOH3</v>
      </c>
      <c r="AF1514" s="80" t="str">
        <f t="shared" si="252"/>
        <v>CLH3</v>
      </c>
      <c r="AG1514" s="80" t="str">
        <f t="shared" si="253"/>
        <v>LCOJ3</v>
      </c>
      <c r="AH1514" s="80" t="str">
        <f t="shared" si="254"/>
        <v>LCOK3</v>
      </c>
    </row>
    <row r="1515" spans="25:34" x14ac:dyDescent="0.35">
      <c r="Y1515" s="74">
        <f t="shared" si="255"/>
        <v>44918</v>
      </c>
      <c r="Z1515" s="74" t="e">
        <f t="shared" ca="1" si="246"/>
        <v>#N/A</v>
      </c>
      <c r="AA1515" s="80" t="str">
        <f t="shared" ca="1" si="247"/>
        <v>CLG3</v>
      </c>
      <c r="AB1515" s="74" t="e">
        <f t="shared" si="249"/>
        <v>#N/A</v>
      </c>
      <c r="AC1515" s="80" t="str">
        <f t="shared" si="248"/>
        <v>LCOG3</v>
      </c>
      <c r="AD1515" s="80" t="str">
        <f t="shared" si="250"/>
        <v>CLG3</v>
      </c>
      <c r="AE1515" s="80" t="str">
        <f t="shared" si="251"/>
        <v>LCOH3</v>
      </c>
      <c r="AF1515" s="80" t="str">
        <f t="shared" si="252"/>
        <v>CLH3</v>
      </c>
      <c r="AG1515" s="80" t="str">
        <f t="shared" si="253"/>
        <v>LCOJ3</v>
      </c>
      <c r="AH1515" s="80" t="str">
        <f t="shared" si="254"/>
        <v>LCOK3</v>
      </c>
    </row>
    <row r="1516" spans="25:34" x14ac:dyDescent="0.35">
      <c r="Y1516" s="74">
        <f t="shared" si="255"/>
        <v>44919</v>
      </c>
      <c r="Z1516" s="74" t="e">
        <f t="shared" ca="1" si="246"/>
        <v>#N/A</v>
      </c>
      <c r="AA1516" s="80" t="str">
        <f t="shared" ca="1" si="247"/>
        <v>CLG3</v>
      </c>
      <c r="AB1516" s="74" t="e">
        <f t="shared" si="249"/>
        <v>#N/A</v>
      </c>
      <c r="AC1516" s="80" t="str">
        <f t="shared" si="248"/>
        <v>LCOG3</v>
      </c>
      <c r="AD1516" s="80" t="str">
        <f t="shared" si="250"/>
        <v>CLG3</v>
      </c>
      <c r="AE1516" s="80" t="str">
        <f t="shared" si="251"/>
        <v>LCOH3</v>
      </c>
      <c r="AF1516" s="80" t="str">
        <f t="shared" si="252"/>
        <v>CLH3</v>
      </c>
      <c r="AG1516" s="80" t="str">
        <f t="shared" si="253"/>
        <v>LCOJ3</v>
      </c>
      <c r="AH1516" s="80" t="str">
        <f t="shared" si="254"/>
        <v>LCOK3</v>
      </c>
    </row>
    <row r="1517" spans="25:34" x14ac:dyDescent="0.35">
      <c r="Y1517" s="74">
        <f t="shared" si="255"/>
        <v>44920</v>
      </c>
      <c r="Z1517" s="74" t="e">
        <f t="shared" ca="1" si="246"/>
        <v>#N/A</v>
      </c>
      <c r="AA1517" s="80" t="str">
        <f t="shared" ca="1" si="247"/>
        <v>CLG3</v>
      </c>
      <c r="AB1517" s="74" t="e">
        <f t="shared" si="249"/>
        <v>#N/A</v>
      </c>
      <c r="AC1517" s="80" t="str">
        <f t="shared" si="248"/>
        <v>LCOG3</v>
      </c>
      <c r="AD1517" s="80" t="str">
        <f t="shared" si="250"/>
        <v>CLG3</v>
      </c>
      <c r="AE1517" s="80" t="str">
        <f t="shared" si="251"/>
        <v>LCOH3</v>
      </c>
      <c r="AF1517" s="80" t="str">
        <f t="shared" si="252"/>
        <v>CLH3</v>
      </c>
      <c r="AG1517" s="80" t="str">
        <f t="shared" si="253"/>
        <v>LCOJ3</v>
      </c>
      <c r="AH1517" s="80" t="str">
        <f t="shared" si="254"/>
        <v>LCOK3</v>
      </c>
    </row>
    <row r="1518" spans="25:34" x14ac:dyDescent="0.35">
      <c r="Y1518" s="74">
        <f t="shared" si="255"/>
        <v>44921</v>
      </c>
      <c r="Z1518" s="74" t="e">
        <f t="shared" ca="1" si="246"/>
        <v>#N/A</v>
      </c>
      <c r="AA1518" s="80" t="str">
        <f t="shared" ca="1" si="247"/>
        <v>CLG3</v>
      </c>
      <c r="AB1518" s="74" t="e">
        <f t="shared" si="249"/>
        <v>#N/A</v>
      </c>
      <c r="AC1518" s="80" t="str">
        <f t="shared" si="248"/>
        <v>LCOG3</v>
      </c>
      <c r="AD1518" s="80" t="str">
        <f t="shared" si="250"/>
        <v>CLG3</v>
      </c>
      <c r="AE1518" s="80" t="str">
        <f t="shared" si="251"/>
        <v>LCOH3</v>
      </c>
      <c r="AF1518" s="80" t="str">
        <f t="shared" si="252"/>
        <v>CLH3</v>
      </c>
      <c r="AG1518" s="80" t="str">
        <f t="shared" si="253"/>
        <v>LCOJ3</v>
      </c>
      <c r="AH1518" s="80" t="str">
        <f t="shared" si="254"/>
        <v>LCOK3</v>
      </c>
    </row>
    <row r="1519" spans="25:34" x14ac:dyDescent="0.35">
      <c r="Y1519" s="74">
        <f t="shared" si="255"/>
        <v>44922</v>
      </c>
      <c r="Z1519" s="74" t="e">
        <f t="shared" ca="1" si="246"/>
        <v>#N/A</v>
      </c>
      <c r="AA1519" s="80" t="str">
        <f t="shared" ca="1" si="247"/>
        <v>CLG3</v>
      </c>
      <c r="AB1519" s="74" t="e">
        <f t="shared" si="249"/>
        <v>#N/A</v>
      </c>
      <c r="AC1519" s="80" t="str">
        <f t="shared" si="248"/>
        <v>LCOG3</v>
      </c>
      <c r="AD1519" s="80" t="str">
        <f t="shared" si="250"/>
        <v>CLG3</v>
      </c>
      <c r="AE1519" s="80" t="str">
        <f t="shared" si="251"/>
        <v>LCOH3</v>
      </c>
      <c r="AF1519" s="80" t="str">
        <f t="shared" si="252"/>
        <v>CLH3</v>
      </c>
      <c r="AG1519" s="80" t="str">
        <f t="shared" si="253"/>
        <v>LCOJ3</v>
      </c>
      <c r="AH1519" s="80" t="str">
        <f t="shared" si="254"/>
        <v>LCOK3</v>
      </c>
    </row>
    <row r="1520" spans="25:34" x14ac:dyDescent="0.35">
      <c r="Y1520" s="74">
        <f t="shared" si="255"/>
        <v>44923</v>
      </c>
      <c r="Z1520" s="74" t="e">
        <f t="shared" ca="1" si="246"/>
        <v>#N/A</v>
      </c>
      <c r="AA1520" s="80" t="str">
        <f t="shared" ca="1" si="247"/>
        <v>CLG3</v>
      </c>
      <c r="AB1520" s="74" t="e">
        <f t="shared" si="249"/>
        <v>#N/A</v>
      </c>
      <c r="AC1520" s="80" t="str">
        <f t="shared" si="248"/>
        <v>LCOG3</v>
      </c>
      <c r="AD1520" s="80" t="str">
        <f t="shared" si="250"/>
        <v>CLG3</v>
      </c>
      <c r="AE1520" s="80" t="str">
        <f t="shared" si="251"/>
        <v>LCOH3</v>
      </c>
      <c r="AF1520" s="80" t="str">
        <f t="shared" si="252"/>
        <v>CLH3</v>
      </c>
      <c r="AG1520" s="80" t="str">
        <f t="shared" si="253"/>
        <v>LCOJ3</v>
      </c>
      <c r="AH1520" s="80" t="str">
        <f t="shared" si="254"/>
        <v>LCOK3</v>
      </c>
    </row>
    <row r="1521" spans="25:34" x14ac:dyDescent="0.35">
      <c r="Y1521" s="74">
        <f t="shared" si="255"/>
        <v>44924</v>
      </c>
      <c r="Z1521" s="74" t="e">
        <f t="shared" ca="1" si="246"/>
        <v>#N/A</v>
      </c>
      <c r="AA1521" s="80" t="str">
        <f t="shared" ca="1" si="247"/>
        <v>CLG3</v>
      </c>
      <c r="AB1521" s="74" t="e">
        <f t="shared" si="249"/>
        <v>#N/A</v>
      </c>
      <c r="AC1521" s="80" t="str">
        <f t="shared" si="248"/>
        <v>LCOG3</v>
      </c>
      <c r="AD1521" s="80" t="str">
        <f t="shared" si="250"/>
        <v>CLG3</v>
      </c>
      <c r="AE1521" s="80" t="str">
        <f t="shared" si="251"/>
        <v>LCOH3</v>
      </c>
      <c r="AF1521" s="80" t="str">
        <f t="shared" si="252"/>
        <v>CLH3</v>
      </c>
      <c r="AG1521" s="80" t="str">
        <f t="shared" si="253"/>
        <v>LCOJ3</v>
      </c>
      <c r="AH1521" s="80" t="str">
        <f t="shared" si="254"/>
        <v>LCOK3</v>
      </c>
    </row>
    <row r="1522" spans="25:34" x14ac:dyDescent="0.35">
      <c r="Y1522" s="74">
        <f t="shared" si="255"/>
        <v>44925</v>
      </c>
      <c r="Z1522" s="74" t="e">
        <f t="shared" ca="1" si="246"/>
        <v>#N/A</v>
      </c>
      <c r="AA1522" s="80" t="str">
        <f t="shared" ca="1" si="247"/>
        <v>CLG3</v>
      </c>
      <c r="AB1522" s="74" t="e">
        <f t="shared" si="249"/>
        <v>#N/A</v>
      </c>
      <c r="AC1522" s="80" t="str">
        <f t="shared" si="248"/>
        <v>LCOH3</v>
      </c>
      <c r="AD1522" s="80" t="str">
        <f t="shared" si="250"/>
        <v>CLH3</v>
      </c>
      <c r="AE1522" s="80" t="str">
        <f t="shared" si="251"/>
        <v>LCOJ3</v>
      </c>
      <c r="AF1522" s="80" t="str">
        <f t="shared" si="252"/>
        <v>CLJ3</v>
      </c>
      <c r="AG1522" s="80" t="str">
        <f t="shared" si="253"/>
        <v>LCOK3</v>
      </c>
      <c r="AH1522" s="80" t="str">
        <f t="shared" si="254"/>
        <v>LCOM3</v>
      </c>
    </row>
    <row r="1523" spans="25:34" x14ac:dyDescent="0.35">
      <c r="Y1523" s="74">
        <f t="shared" si="255"/>
        <v>44926</v>
      </c>
      <c r="Z1523" s="74" t="e">
        <f t="shared" ca="1" si="246"/>
        <v>#N/A</v>
      </c>
      <c r="AA1523" s="80" t="str">
        <f t="shared" ca="1" si="247"/>
        <v>CLG3</v>
      </c>
      <c r="AB1523" s="74" t="e">
        <f t="shared" si="249"/>
        <v>#N/A</v>
      </c>
      <c r="AC1523" s="80" t="str">
        <f t="shared" si="248"/>
        <v>LCOH3</v>
      </c>
      <c r="AD1523" s="80" t="str">
        <f t="shared" si="250"/>
        <v>CLH3</v>
      </c>
      <c r="AE1523" s="80" t="str">
        <f t="shared" si="251"/>
        <v>LCOJ3</v>
      </c>
      <c r="AF1523" s="80" t="str">
        <f t="shared" si="252"/>
        <v>CLJ3</v>
      </c>
      <c r="AG1523" s="80" t="str">
        <f t="shared" si="253"/>
        <v>LCOK3</v>
      </c>
      <c r="AH1523" s="80" t="str">
        <f t="shared" si="254"/>
        <v>LCOM3</v>
      </c>
    </row>
    <row r="1524" spans="25:34" x14ac:dyDescent="0.35">
      <c r="Y1524" s="74">
        <f t="shared" si="255"/>
        <v>44927</v>
      </c>
      <c r="Z1524" s="74" t="e">
        <f t="shared" ca="1" si="246"/>
        <v>#N/A</v>
      </c>
      <c r="AA1524" s="80" t="str">
        <f t="shared" ca="1" si="247"/>
        <v>CLG3</v>
      </c>
      <c r="AB1524" s="74" t="e">
        <f t="shared" si="249"/>
        <v>#N/A</v>
      </c>
      <c r="AC1524" s="80" t="str">
        <f t="shared" si="248"/>
        <v>LCOH3</v>
      </c>
      <c r="AD1524" s="80" t="str">
        <f t="shared" si="250"/>
        <v>CLH3</v>
      </c>
      <c r="AE1524" s="80" t="str">
        <f t="shared" si="251"/>
        <v>LCOJ3</v>
      </c>
      <c r="AF1524" s="80" t="str">
        <f t="shared" si="252"/>
        <v>CLJ3</v>
      </c>
      <c r="AG1524" s="80" t="str">
        <f t="shared" si="253"/>
        <v>LCOK3</v>
      </c>
      <c r="AH1524" s="80" t="str">
        <f t="shared" si="254"/>
        <v>LCOM3</v>
      </c>
    </row>
    <row r="1525" spans="25:34" x14ac:dyDescent="0.35">
      <c r="Y1525" s="74">
        <f t="shared" si="255"/>
        <v>44928</v>
      </c>
      <c r="Z1525" s="74" t="e">
        <f t="shared" ca="1" si="246"/>
        <v>#N/A</v>
      </c>
      <c r="AA1525" s="80" t="str">
        <f t="shared" ca="1" si="247"/>
        <v>CLG3</v>
      </c>
      <c r="AB1525" s="74" t="e">
        <f t="shared" si="249"/>
        <v>#N/A</v>
      </c>
      <c r="AC1525" s="80" t="str">
        <f t="shared" si="248"/>
        <v>LCOH3</v>
      </c>
      <c r="AD1525" s="80" t="str">
        <f t="shared" si="250"/>
        <v>CLH3</v>
      </c>
      <c r="AE1525" s="80" t="str">
        <f t="shared" si="251"/>
        <v>LCOJ3</v>
      </c>
      <c r="AF1525" s="80" t="str">
        <f t="shared" si="252"/>
        <v>CLJ3</v>
      </c>
      <c r="AG1525" s="80" t="str">
        <f t="shared" si="253"/>
        <v>LCOK3</v>
      </c>
      <c r="AH1525" s="80" t="str">
        <f t="shared" si="254"/>
        <v>LCOM3</v>
      </c>
    </row>
    <row r="1526" spans="25:34" x14ac:dyDescent="0.35">
      <c r="Y1526" s="74">
        <f t="shared" si="255"/>
        <v>44929</v>
      </c>
      <c r="Z1526" s="74" t="e">
        <f t="shared" ca="1" si="246"/>
        <v>#N/A</v>
      </c>
      <c r="AA1526" s="80" t="str">
        <f t="shared" ca="1" si="247"/>
        <v>CLG3</v>
      </c>
      <c r="AB1526" s="74" t="e">
        <f t="shared" si="249"/>
        <v>#N/A</v>
      </c>
      <c r="AC1526" s="80" t="str">
        <f t="shared" si="248"/>
        <v>LCOH3</v>
      </c>
      <c r="AD1526" s="80" t="str">
        <f t="shared" si="250"/>
        <v>CLH3</v>
      </c>
      <c r="AE1526" s="80" t="str">
        <f t="shared" si="251"/>
        <v>LCOJ3</v>
      </c>
      <c r="AF1526" s="80" t="str">
        <f t="shared" si="252"/>
        <v>CLJ3</v>
      </c>
      <c r="AG1526" s="80" t="str">
        <f t="shared" si="253"/>
        <v>LCOK3</v>
      </c>
      <c r="AH1526" s="80" t="str">
        <f t="shared" si="254"/>
        <v>LCOM3</v>
      </c>
    </row>
    <row r="1527" spans="25:34" x14ac:dyDescent="0.35">
      <c r="Y1527" s="74">
        <f t="shared" si="255"/>
        <v>44930</v>
      </c>
      <c r="Z1527" s="74" t="e">
        <f t="shared" ca="1" si="246"/>
        <v>#N/A</v>
      </c>
      <c r="AA1527" s="80" t="str">
        <f t="shared" ca="1" si="247"/>
        <v>CLG3</v>
      </c>
      <c r="AB1527" s="74" t="e">
        <f t="shared" si="249"/>
        <v>#N/A</v>
      </c>
      <c r="AC1527" s="80" t="str">
        <f t="shared" si="248"/>
        <v>LCOH3</v>
      </c>
      <c r="AD1527" s="80" t="str">
        <f t="shared" si="250"/>
        <v>CLH3</v>
      </c>
      <c r="AE1527" s="80" t="str">
        <f t="shared" si="251"/>
        <v>LCOJ3</v>
      </c>
      <c r="AF1527" s="80" t="str">
        <f t="shared" si="252"/>
        <v>CLJ3</v>
      </c>
      <c r="AG1527" s="80" t="str">
        <f t="shared" si="253"/>
        <v>LCOK3</v>
      </c>
      <c r="AH1527" s="80" t="str">
        <f t="shared" si="254"/>
        <v>LCOM3</v>
      </c>
    </row>
    <row r="1528" spans="25:34" x14ac:dyDescent="0.35">
      <c r="Y1528" s="74">
        <f t="shared" si="255"/>
        <v>44931</v>
      </c>
      <c r="Z1528" s="74" t="e">
        <f t="shared" ca="1" si="246"/>
        <v>#N/A</v>
      </c>
      <c r="AA1528" s="80" t="str">
        <f t="shared" ca="1" si="247"/>
        <v>CLG3</v>
      </c>
      <c r="AB1528" s="74" t="e">
        <f t="shared" si="249"/>
        <v>#N/A</v>
      </c>
      <c r="AC1528" s="80" t="str">
        <f t="shared" si="248"/>
        <v>LCOH3</v>
      </c>
      <c r="AD1528" s="80" t="str">
        <f t="shared" si="250"/>
        <v>CLH3</v>
      </c>
      <c r="AE1528" s="80" t="str">
        <f t="shared" si="251"/>
        <v>LCOJ3</v>
      </c>
      <c r="AF1528" s="80" t="str">
        <f t="shared" si="252"/>
        <v>CLJ3</v>
      </c>
      <c r="AG1528" s="80" t="str">
        <f t="shared" si="253"/>
        <v>LCOK3</v>
      </c>
      <c r="AH1528" s="80" t="str">
        <f t="shared" si="254"/>
        <v>LCOM3</v>
      </c>
    </row>
    <row r="1529" spans="25:34" x14ac:dyDescent="0.35">
      <c r="Y1529" s="74">
        <f t="shared" si="255"/>
        <v>44932</v>
      </c>
      <c r="Z1529" s="74" t="e">
        <f t="shared" ca="1" si="246"/>
        <v>#N/A</v>
      </c>
      <c r="AA1529" s="80" t="str">
        <f t="shared" ca="1" si="247"/>
        <v>CLG3</v>
      </c>
      <c r="AB1529" s="74" t="e">
        <f t="shared" si="249"/>
        <v>#N/A</v>
      </c>
      <c r="AC1529" s="80" t="str">
        <f t="shared" si="248"/>
        <v>LCOH3</v>
      </c>
      <c r="AD1529" s="80" t="str">
        <f t="shared" si="250"/>
        <v>CLH3</v>
      </c>
      <c r="AE1529" s="80" t="str">
        <f t="shared" si="251"/>
        <v>LCOJ3</v>
      </c>
      <c r="AF1529" s="80" t="str">
        <f t="shared" si="252"/>
        <v>CLJ3</v>
      </c>
      <c r="AG1529" s="80" t="str">
        <f t="shared" si="253"/>
        <v>LCOK3</v>
      </c>
      <c r="AH1529" s="80" t="str">
        <f t="shared" si="254"/>
        <v>LCOM3</v>
      </c>
    </row>
    <row r="1530" spans="25:34" x14ac:dyDescent="0.35">
      <c r="Y1530" s="74">
        <f t="shared" si="255"/>
        <v>44933</v>
      </c>
      <c r="Z1530" s="74" t="e">
        <f t="shared" ca="1" si="246"/>
        <v>#N/A</v>
      </c>
      <c r="AA1530" s="80" t="str">
        <f t="shared" ca="1" si="247"/>
        <v>CLG3</v>
      </c>
      <c r="AB1530" s="74" t="e">
        <f t="shared" si="249"/>
        <v>#N/A</v>
      </c>
      <c r="AC1530" s="80" t="str">
        <f t="shared" si="248"/>
        <v>LCOH3</v>
      </c>
      <c r="AD1530" s="80" t="str">
        <f t="shared" si="250"/>
        <v>CLH3</v>
      </c>
      <c r="AE1530" s="80" t="str">
        <f t="shared" si="251"/>
        <v>LCOJ3</v>
      </c>
      <c r="AF1530" s="80" t="str">
        <f t="shared" si="252"/>
        <v>CLJ3</v>
      </c>
      <c r="AG1530" s="80" t="str">
        <f t="shared" si="253"/>
        <v>LCOK3</v>
      </c>
      <c r="AH1530" s="80" t="str">
        <f t="shared" si="254"/>
        <v>LCOM3</v>
      </c>
    </row>
    <row r="1531" spans="25:34" x14ac:dyDescent="0.35">
      <c r="Y1531" s="74">
        <f t="shared" si="255"/>
        <v>44934</v>
      </c>
      <c r="Z1531" s="74" t="e">
        <f t="shared" ca="1" si="246"/>
        <v>#N/A</v>
      </c>
      <c r="AA1531" s="80" t="str">
        <f t="shared" ca="1" si="247"/>
        <v>CLG3</v>
      </c>
      <c r="AB1531" s="74" t="e">
        <f t="shared" si="249"/>
        <v>#N/A</v>
      </c>
      <c r="AC1531" s="80" t="str">
        <f t="shared" si="248"/>
        <v>LCOH3</v>
      </c>
      <c r="AD1531" s="80" t="str">
        <f t="shared" si="250"/>
        <v>CLH3</v>
      </c>
      <c r="AE1531" s="80" t="str">
        <f t="shared" si="251"/>
        <v>LCOJ3</v>
      </c>
      <c r="AF1531" s="80" t="str">
        <f t="shared" si="252"/>
        <v>CLJ3</v>
      </c>
      <c r="AG1531" s="80" t="str">
        <f t="shared" si="253"/>
        <v>LCOK3</v>
      </c>
      <c r="AH1531" s="80" t="str">
        <f t="shared" si="254"/>
        <v>LCOM3</v>
      </c>
    </row>
    <row r="1532" spans="25:34" x14ac:dyDescent="0.35">
      <c r="Y1532" s="74">
        <f t="shared" si="255"/>
        <v>44935</v>
      </c>
      <c r="Z1532" s="74" t="e">
        <f t="shared" ca="1" si="246"/>
        <v>#N/A</v>
      </c>
      <c r="AA1532" s="80" t="str">
        <f t="shared" ca="1" si="247"/>
        <v>CLG3</v>
      </c>
      <c r="AB1532" s="74" t="e">
        <f t="shared" si="249"/>
        <v>#N/A</v>
      </c>
      <c r="AC1532" s="80" t="str">
        <f t="shared" si="248"/>
        <v>LCOH3</v>
      </c>
      <c r="AD1532" s="80" t="str">
        <f t="shared" si="250"/>
        <v>CLH3</v>
      </c>
      <c r="AE1532" s="80" t="str">
        <f t="shared" si="251"/>
        <v>LCOJ3</v>
      </c>
      <c r="AF1532" s="80" t="str">
        <f t="shared" si="252"/>
        <v>CLJ3</v>
      </c>
      <c r="AG1532" s="80" t="str">
        <f t="shared" si="253"/>
        <v>LCOK3</v>
      </c>
      <c r="AH1532" s="80" t="str">
        <f t="shared" si="254"/>
        <v>LCOM3</v>
      </c>
    </row>
    <row r="1533" spans="25:34" x14ac:dyDescent="0.35">
      <c r="Y1533" s="74">
        <f t="shared" si="255"/>
        <v>44936</v>
      </c>
      <c r="Z1533" s="74" t="e">
        <f t="shared" ca="1" si="246"/>
        <v>#N/A</v>
      </c>
      <c r="AA1533" s="80" t="str">
        <f t="shared" ca="1" si="247"/>
        <v>CLG3</v>
      </c>
      <c r="AB1533" s="74" t="e">
        <f t="shared" si="249"/>
        <v>#N/A</v>
      </c>
      <c r="AC1533" s="80" t="str">
        <f t="shared" si="248"/>
        <v>LCOH3</v>
      </c>
      <c r="AD1533" s="80" t="str">
        <f t="shared" si="250"/>
        <v>CLH3</v>
      </c>
      <c r="AE1533" s="80" t="str">
        <f t="shared" si="251"/>
        <v>LCOJ3</v>
      </c>
      <c r="AF1533" s="80" t="str">
        <f t="shared" si="252"/>
        <v>CLJ3</v>
      </c>
      <c r="AG1533" s="80" t="str">
        <f t="shared" si="253"/>
        <v>LCOK3</v>
      </c>
      <c r="AH1533" s="80" t="str">
        <f t="shared" si="254"/>
        <v>LCOM3</v>
      </c>
    </row>
    <row r="1534" spans="25:34" x14ac:dyDescent="0.35">
      <c r="Y1534" s="74">
        <f t="shared" si="255"/>
        <v>44937</v>
      </c>
      <c r="Z1534" s="74" t="e">
        <f t="shared" ca="1" si="246"/>
        <v>#N/A</v>
      </c>
      <c r="AA1534" s="80" t="str">
        <f t="shared" ca="1" si="247"/>
        <v>CLG3</v>
      </c>
      <c r="AB1534" s="74" t="e">
        <f t="shared" si="249"/>
        <v>#N/A</v>
      </c>
      <c r="AC1534" s="80" t="str">
        <f t="shared" si="248"/>
        <v>LCOH3</v>
      </c>
      <c r="AD1534" s="80" t="str">
        <f t="shared" si="250"/>
        <v>CLH3</v>
      </c>
      <c r="AE1534" s="80" t="str">
        <f t="shared" si="251"/>
        <v>LCOJ3</v>
      </c>
      <c r="AF1534" s="80" t="str">
        <f t="shared" si="252"/>
        <v>CLJ3</v>
      </c>
      <c r="AG1534" s="80" t="str">
        <f t="shared" si="253"/>
        <v>LCOK3</v>
      </c>
      <c r="AH1534" s="80" t="str">
        <f t="shared" si="254"/>
        <v>LCOM3</v>
      </c>
    </row>
    <row r="1535" spans="25:34" x14ac:dyDescent="0.35">
      <c r="Y1535" s="74">
        <f t="shared" si="255"/>
        <v>44938</v>
      </c>
      <c r="Z1535" s="74" t="e">
        <f t="shared" ca="1" si="246"/>
        <v>#N/A</v>
      </c>
      <c r="AA1535" s="80" t="str">
        <f t="shared" ca="1" si="247"/>
        <v>CLG3</v>
      </c>
      <c r="AB1535" s="74" t="e">
        <f t="shared" si="249"/>
        <v>#N/A</v>
      </c>
      <c r="AC1535" s="80" t="str">
        <f t="shared" si="248"/>
        <v>LCOH3</v>
      </c>
      <c r="AD1535" s="80" t="str">
        <f t="shared" si="250"/>
        <v>CLH3</v>
      </c>
      <c r="AE1535" s="80" t="str">
        <f t="shared" si="251"/>
        <v>LCOJ3</v>
      </c>
      <c r="AF1535" s="80" t="str">
        <f t="shared" si="252"/>
        <v>CLJ3</v>
      </c>
      <c r="AG1535" s="80" t="str">
        <f t="shared" si="253"/>
        <v>LCOK3</v>
      </c>
      <c r="AH1535" s="80" t="str">
        <f t="shared" si="254"/>
        <v>LCOM3</v>
      </c>
    </row>
    <row r="1536" spans="25:34" x14ac:dyDescent="0.35">
      <c r="Y1536" s="74">
        <f t="shared" si="255"/>
        <v>44939</v>
      </c>
      <c r="Z1536" s="74" t="e">
        <f t="shared" ca="1" si="246"/>
        <v>#N/A</v>
      </c>
      <c r="AA1536" s="80" t="str">
        <f t="shared" ca="1" si="247"/>
        <v>CLG3</v>
      </c>
      <c r="AB1536" s="74" t="e">
        <f t="shared" si="249"/>
        <v>#N/A</v>
      </c>
      <c r="AC1536" s="80" t="str">
        <f t="shared" si="248"/>
        <v>LCOH3</v>
      </c>
      <c r="AD1536" s="80" t="str">
        <f t="shared" si="250"/>
        <v>CLH3</v>
      </c>
      <c r="AE1536" s="80" t="str">
        <f t="shared" si="251"/>
        <v>LCOJ3</v>
      </c>
      <c r="AF1536" s="80" t="str">
        <f t="shared" si="252"/>
        <v>CLJ3</v>
      </c>
      <c r="AG1536" s="80" t="str">
        <f t="shared" si="253"/>
        <v>LCOK3</v>
      </c>
      <c r="AH1536" s="80" t="str">
        <f t="shared" si="254"/>
        <v>LCOM3</v>
      </c>
    </row>
    <row r="1537" spans="25:34" x14ac:dyDescent="0.35">
      <c r="Y1537" s="74">
        <f t="shared" si="255"/>
        <v>44940</v>
      </c>
      <c r="Z1537" s="74" t="e">
        <f t="shared" ca="1" si="246"/>
        <v>#N/A</v>
      </c>
      <c r="AA1537" s="80" t="str">
        <f t="shared" ca="1" si="247"/>
        <v>CLG3</v>
      </c>
      <c r="AB1537" s="74" t="e">
        <f t="shared" si="249"/>
        <v>#N/A</v>
      </c>
      <c r="AC1537" s="80" t="str">
        <f t="shared" si="248"/>
        <v>LCOH3</v>
      </c>
      <c r="AD1537" s="80" t="str">
        <f t="shared" si="250"/>
        <v>CLH3</v>
      </c>
      <c r="AE1537" s="80" t="str">
        <f t="shared" si="251"/>
        <v>LCOJ3</v>
      </c>
      <c r="AF1537" s="80" t="str">
        <f t="shared" si="252"/>
        <v>CLJ3</v>
      </c>
      <c r="AG1537" s="80" t="str">
        <f t="shared" si="253"/>
        <v>LCOK3</v>
      </c>
      <c r="AH1537" s="80" t="str">
        <f t="shared" si="254"/>
        <v>LCOM3</v>
      </c>
    </row>
    <row r="1538" spans="25:34" x14ac:dyDescent="0.35">
      <c r="Y1538" s="74">
        <f t="shared" si="255"/>
        <v>44941</v>
      </c>
      <c r="Z1538" s="74" t="e">
        <f t="shared" ref="Z1538:Z1601" ca="1" si="256">VLOOKUP(AA1538,$I$2:$K$39,3,FALSE)</f>
        <v>#N/A</v>
      </c>
      <c r="AA1538" s="80" t="str">
        <f t="shared" ref="AA1538:AA1601" ca="1" si="257">LOOKUP(2,1/($J$2:$J$700&lt;=$Y1538)/($K$2:$K$700&gt;=$Y1538),$L$2:$L$700)</f>
        <v>CLG3</v>
      </c>
      <c r="AB1538" s="74" t="e">
        <f t="shared" si="249"/>
        <v>#N/A</v>
      </c>
      <c r="AC1538" s="80" t="str">
        <f t="shared" ref="AC1538:AC1601" si="258">LOOKUP(2,1/($R$2:$R$700&lt;=$Y1538)/($S$2:$S$700&gt;=$Y1538),$T$2:$T$700)</f>
        <v>LCOH3</v>
      </c>
      <c r="AD1538" s="80" t="str">
        <f t="shared" si="250"/>
        <v>CLH3</v>
      </c>
      <c r="AE1538" s="80" t="str">
        <f t="shared" si="251"/>
        <v>LCOJ3</v>
      </c>
      <c r="AF1538" s="80" t="str">
        <f t="shared" si="252"/>
        <v>CLJ3</v>
      </c>
      <c r="AG1538" s="80" t="str">
        <f t="shared" si="253"/>
        <v>LCOK3</v>
      </c>
      <c r="AH1538" s="80" t="str">
        <f t="shared" si="254"/>
        <v>LCOM3</v>
      </c>
    </row>
    <row r="1539" spans="25:34" x14ac:dyDescent="0.35">
      <c r="Y1539" s="74">
        <f t="shared" si="255"/>
        <v>44942</v>
      </c>
      <c r="Z1539" s="74" t="e">
        <f t="shared" ca="1" si="256"/>
        <v>#N/A</v>
      </c>
      <c r="AA1539" s="80" t="str">
        <f t="shared" ca="1" si="257"/>
        <v>CLG3</v>
      </c>
      <c r="AB1539" s="74" t="e">
        <f t="shared" ref="AB1539:AB1602" si="259">VLOOKUP(AC1539,$Q$2:$S$39,3,FALSE)</f>
        <v>#N/A</v>
      </c>
      <c r="AC1539" s="80" t="str">
        <f t="shared" si="258"/>
        <v>LCOH3</v>
      </c>
      <c r="AD1539" s="80" t="str">
        <f t="shared" ref="AD1539:AD1602" si="260">CONCATENATE("CL",RIGHT(AC1539,2))</f>
        <v>CLH3</v>
      </c>
      <c r="AE1539" s="80" t="str">
        <f t="shared" ref="AE1539:AE1602" si="261">LOOKUP(2,1/($R$2:$R$700&lt;=$Y1539)/($S$2:$S$700&gt;=$Y1539),$U$2:$U$700)</f>
        <v>LCOJ3</v>
      </c>
      <c r="AF1539" s="80" t="str">
        <f t="shared" ref="AF1539:AF1602" si="262">CONCATENATE("CL",RIGHT(AE1539,2))</f>
        <v>CLJ3</v>
      </c>
      <c r="AG1539" s="80" t="str">
        <f t="shared" ref="AG1539:AG1602" si="263">LOOKUP(2,1/($R$2:$R$700&lt;=$Y1539)/($S$2:$S$700&gt;=$Y1539),$V$2:$V$700)</f>
        <v>LCOK3</v>
      </c>
      <c r="AH1539" s="80" t="str">
        <f t="shared" ref="AH1539:AH1602" si="264">LOOKUP(2,1/($R$2:$R$700&lt;=$Y1539)/($S$2:$S$700&gt;=$Y1539),$W$2:$W$700)</f>
        <v>LCOM3</v>
      </c>
    </row>
    <row r="1540" spans="25:34" x14ac:dyDescent="0.35">
      <c r="Y1540" s="74">
        <f t="shared" si="255"/>
        <v>44943</v>
      </c>
      <c r="Z1540" s="74" t="e">
        <f t="shared" ca="1" si="256"/>
        <v>#N/A</v>
      </c>
      <c r="AA1540" s="80" t="str">
        <f t="shared" ca="1" si="257"/>
        <v>CLG3</v>
      </c>
      <c r="AB1540" s="74" t="e">
        <f t="shared" si="259"/>
        <v>#N/A</v>
      </c>
      <c r="AC1540" s="80" t="str">
        <f t="shared" si="258"/>
        <v>LCOH3</v>
      </c>
      <c r="AD1540" s="80" t="str">
        <f t="shared" si="260"/>
        <v>CLH3</v>
      </c>
      <c r="AE1540" s="80" t="str">
        <f t="shared" si="261"/>
        <v>LCOJ3</v>
      </c>
      <c r="AF1540" s="80" t="str">
        <f t="shared" si="262"/>
        <v>CLJ3</v>
      </c>
      <c r="AG1540" s="80" t="str">
        <f t="shared" si="263"/>
        <v>LCOK3</v>
      </c>
      <c r="AH1540" s="80" t="str">
        <f t="shared" si="264"/>
        <v>LCOM3</v>
      </c>
    </row>
    <row r="1541" spans="25:34" x14ac:dyDescent="0.35">
      <c r="Y1541" s="74">
        <f t="shared" si="255"/>
        <v>44944</v>
      </c>
      <c r="Z1541" s="74" t="e">
        <f t="shared" ca="1" si="256"/>
        <v>#N/A</v>
      </c>
      <c r="AA1541" s="80" t="str">
        <f t="shared" ca="1" si="257"/>
        <v>CLG3</v>
      </c>
      <c r="AB1541" s="74" t="e">
        <f t="shared" si="259"/>
        <v>#N/A</v>
      </c>
      <c r="AC1541" s="80" t="str">
        <f t="shared" si="258"/>
        <v>LCOH3</v>
      </c>
      <c r="AD1541" s="80" t="str">
        <f t="shared" si="260"/>
        <v>CLH3</v>
      </c>
      <c r="AE1541" s="80" t="str">
        <f t="shared" si="261"/>
        <v>LCOJ3</v>
      </c>
      <c r="AF1541" s="80" t="str">
        <f t="shared" si="262"/>
        <v>CLJ3</v>
      </c>
      <c r="AG1541" s="80" t="str">
        <f t="shared" si="263"/>
        <v>LCOK3</v>
      </c>
      <c r="AH1541" s="80" t="str">
        <f t="shared" si="264"/>
        <v>LCOM3</v>
      </c>
    </row>
    <row r="1542" spans="25:34" x14ac:dyDescent="0.35">
      <c r="Y1542" s="74">
        <f t="shared" si="255"/>
        <v>44945</v>
      </c>
      <c r="Z1542" s="74" t="e">
        <f t="shared" ca="1" si="256"/>
        <v>#N/A</v>
      </c>
      <c r="AA1542" s="80" t="str">
        <f t="shared" ca="1" si="257"/>
        <v>CLG3</v>
      </c>
      <c r="AB1542" s="74" t="e">
        <f t="shared" si="259"/>
        <v>#N/A</v>
      </c>
      <c r="AC1542" s="80" t="str">
        <f t="shared" si="258"/>
        <v>LCOH3</v>
      </c>
      <c r="AD1542" s="80" t="str">
        <f t="shared" si="260"/>
        <v>CLH3</v>
      </c>
      <c r="AE1542" s="80" t="str">
        <f t="shared" si="261"/>
        <v>LCOJ3</v>
      </c>
      <c r="AF1542" s="80" t="str">
        <f t="shared" si="262"/>
        <v>CLJ3</v>
      </c>
      <c r="AG1542" s="80" t="str">
        <f t="shared" si="263"/>
        <v>LCOK3</v>
      </c>
      <c r="AH1542" s="80" t="str">
        <f t="shared" si="264"/>
        <v>LCOM3</v>
      </c>
    </row>
    <row r="1543" spans="25:34" x14ac:dyDescent="0.35">
      <c r="Y1543" s="74">
        <f t="shared" si="255"/>
        <v>44946</v>
      </c>
      <c r="Z1543" s="74" t="e">
        <f t="shared" ca="1" si="256"/>
        <v>#N/A</v>
      </c>
      <c r="AA1543" s="80" t="str">
        <f t="shared" ca="1" si="257"/>
        <v>CLG3</v>
      </c>
      <c r="AB1543" s="74" t="e">
        <f t="shared" si="259"/>
        <v>#N/A</v>
      </c>
      <c r="AC1543" s="80" t="str">
        <f t="shared" si="258"/>
        <v>LCOH3</v>
      </c>
      <c r="AD1543" s="80" t="str">
        <f t="shared" si="260"/>
        <v>CLH3</v>
      </c>
      <c r="AE1543" s="80" t="str">
        <f t="shared" si="261"/>
        <v>LCOJ3</v>
      </c>
      <c r="AF1543" s="80" t="str">
        <f t="shared" si="262"/>
        <v>CLJ3</v>
      </c>
      <c r="AG1543" s="80" t="str">
        <f t="shared" si="263"/>
        <v>LCOK3</v>
      </c>
      <c r="AH1543" s="80" t="str">
        <f t="shared" si="264"/>
        <v>LCOM3</v>
      </c>
    </row>
    <row r="1544" spans="25:34" x14ac:dyDescent="0.35">
      <c r="Y1544" s="74">
        <f t="shared" si="255"/>
        <v>44947</v>
      </c>
      <c r="Z1544" s="74" t="e">
        <f t="shared" ca="1" si="256"/>
        <v>#N/A</v>
      </c>
      <c r="AA1544" s="80" t="str">
        <f t="shared" ca="1" si="257"/>
        <v>CLH3</v>
      </c>
      <c r="AB1544" s="74" t="e">
        <f t="shared" si="259"/>
        <v>#N/A</v>
      </c>
      <c r="AC1544" s="80" t="str">
        <f t="shared" si="258"/>
        <v>LCOH3</v>
      </c>
      <c r="AD1544" s="80" t="str">
        <f t="shared" si="260"/>
        <v>CLH3</v>
      </c>
      <c r="AE1544" s="80" t="str">
        <f t="shared" si="261"/>
        <v>LCOJ3</v>
      </c>
      <c r="AF1544" s="80" t="str">
        <f t="shared" si="262"/>
        <v>CLJ3</v>
      </c>
      <c r="AG1544" s="80" t="str">
        <f t="shared" si="263"/>
        <v>LCOK3</v>
      </c>
      <c r="AH1544" s="80" t="str">
        <f t="shared" si="264"/>
        <v>LCOM3</v>
      </c>
    </row>
    <row r="1545" spans="25:34" x14ac:dyDescent="0.35">
      <c r="Y1545" s="74">
        <f t="shared" si="255"/>
        <v>44948</v>
      </c>
      <c r="Z1545" s="74" t="e">
        <f t="shared" ca="1" si="256"/>
        <v>#N/A</v>
      </c>
      <c r="AA1545" s="80" t="str">
        <f t="shared" ca="1" si="257"/>
        <v>CLH3</v>
      </c>
      <c r="AB1545" s="74" t="e">
        <f t="shared" si="259"/>
        <v>#N/A</v>
      </c>
      <c r="AC1545" s="80" t="str">
        <f t="shared" si="258"/>
        <v>LCOH3</v>
      </c>
      <c r="AD1545" s="80" t="str">
        <f t="shared" si="260"/>
        <v>CLH3</v>
      </c>
      <c r="AE1545" s="80" t="str">
        <f t="shared" si="261"/>
        <v>LCOJ3</v>
      </c>
      <c r="AF1545" s="80" t="str">
        <f t="shared" si="262"/>
        <v>CLJ3</v>
      </c>
      <c r="AG1545" s="80" t="str">
        <f t="shared" si="263"/>
        <v>LCOK3</v>
      </c>
      <c r="AH1545" s="80" t="str">
        <f t="shared" si="264"/>
        <v>LCOM3</v>
      </c>
    </row>
    <row r="1546" spans="25:34" x14ac:dyDescent="0.35">
      <c r="Y1546" s="74">
        <f t="shared" si="255"/>
        <v>44949</v>
      </c>
      <c r="Z1546" s="74" t="e">
        <f t="shared" ca="1" si="256"/>
        <v>#N/A</v>
      </c>
      <c r="AA1546" s="80" t="str">
        <f t="shared" ca="1" si="257"/>
        <v>CLH3</v>
      </c>
      <c r="AB1546" s="74" t="e">
        <f t="shared" si="259"/>
        <v>#N/A</v>
      </c>
      <c r="AC1546" s="80" t="str">
        <f t="shared" si="258"/>
        <v>LCOH3</v>
      </c>
      <c r="AD1546" s="80" t="str">
        <f t="shared" si="260"/>
        <v>CLH3</v>
      </c>
      <c r="AE1546" s="80" t="str">
        <f t="shared" si="261"/>
        <v>LCOJ3</v>
      </c>
      <c r="AF1546" s="80" t="str">
        <f t="shared" si="262"/>
        <v>CLJ3</v>
      </c>
      <c r="AG1546" s="80" t="str">
        <f t="shared" si="263"/>
        <v>LCOK3</v>
      </c>
      <c r="AH1546" s="80" t="str">
        <f t="shared" si="264"/>
        <v>LCOM3</v>
      </c>
    </row>
    <row r="1547" spans="25:34" x14ac:dyDescent="0.35">
      <c r="Y1547" s="74">
        <f t="shared" si="255"/>
        <v>44950</v>
      </c>
      <c r="Z1547" s="74" t="e">
        <f t="shared" ca="1" si="256"/>
        <v>#N/A</v>
      </c>
      <c r="AA1547" s="80" t="str">
        <f t="shared" ca="1" si="257"/>
        <v>CLH3</v>
      </c>
      <c r="AB1547" s="74" t="e">
        <f t="shared" si="259"/>
        <v>#N/A</v>
      </c>
      <c r="AC1547" s="80" t="str">
        <f t="shared" si="258"/>
        <v>LCOH3</v>
      </c>
      <c r="AD1547" s="80" t="str">
        <f t="shared" si="260"/>
        <v>CLH3</v>
      </c>
      <c r="AE1547" s="80" t="str">
        <f t="shared" si="261"/>
        <v>LCOJ3</v>
      </c>
      <c r="AF1547" s="80" t="str">
        <f t="shared" si="262"/>
        <v>CLJ3</v>
      </c>
      <c r="AG1547" s="80" t="str">
        <f t="shared" si="263"/>
        <v>LCOK3</v>
      </c>
      <c r="AH1547" s="80" t="str">
        <f t="shared" si="264"/>
        <v>LCOM3</v>
      </c>
    </row>
    <row r="1548" spans="25:34" x14ac:dyDescent="0.35">
      <c r="Y1548" s="74">
        <f t="shared" si="255"/>
        <v>44951</v>
      </c>
      <c r="Z1548" s="74" t="e">
        <f t="shared" ca="1" si="256"/>
        <v>#N/A</v>
      </c>
      <c r="AA1548" s="80" t="str">
        <f t="shared" ca="1" si="257"/>
        <v>CLH3</v>
      </c>
      <c r="AB1548" s="74" t="e">
        <f t="shared" si="259"/>
        <v>#N/A</v>
      </c>
      <c r="AC1548" s="80" t="str">
        <f t="shared" si="258"/>
        <v>LCOH3</v>
      </c>
      <c r="AD1548" s="80" t="str">
        <f t="shared" si="260"/>
        <v>CLH3</v>
      </c>
      <c r="AE1548" s="80" t="str">
        <f t="shared" si="261"/>
        <v>LCOJ3</v>
      </c>
      <c r="AF1548" s="80" t="str">
        <f t="shared" si="262"/>
        <v>CLJ3</v>
      </c>
      <c r="AG1548" s="80" t="str">
        <f t="shared" si="263"/>
        <v>LCOK3</v>
      </c>
      <c r="AH1548" s="80" t="str">
        <f t="shared" si="264"/>
        <v>LCOM3</v>
      </c>
    </row>
    <row r="1549" spans="25:34" x14ac:dyDescent="0.35">
      <c r="Y1549" s="74">
        <f t="shared" si="255"/>
        <v>44952</v>
      </c>
      <c r="Z1549" s="74" t="e">
        <f t="shared" ca="1" si="256"/>
        <v>#N/A</v>
      </c>
      <c r="AA1549" s="80" t="str">
        <f t="shared" ca="1" si="257"/>
        <v>CLH3</v>
      </c>
      <c r="AB1549" s="74" t="e">
        <f t="shared" si="259"/>
        <v>#N/A</v>
      </c>
      <c r="AC1549" s="80" t="str">
        <f t="shared" si="258"/>
        <v>LCOH3</v>
      </c>
      <c r="AD1549" s="80" t="str">
        <f t="shared" si="260"/>
        <v>CLH3</v>
      </c>
      <c r="AE1549" s="80" t="str">
        <f t="shared" si="261"/>
        <v>LCOJ3</v>
      </c>
      <c r="AF1549" s="80" t="str">
        <f t="shared" si="262"/>
        <v>CLJ3</v>
      </c>
      <c r="AG1549" s="80" t="str">
        <f t="shared" si="263"/>
        <v>LCOK3</v>
      </c>
      <c r="AH1549" s="80" t="str">
        <f t="shared" si="264"/>
        <v>LCOM3</v>
      </c>
    </row>
    <row r="1550" spans="25:34" x14ac:dyDescent="0.35">
      <c r="Y1550" s="74">
        <f t="shared" si="255"/>
        <v>44953</v>
      </c>
      <c r="Z1550" s="74" t="e">
        <f t="shared" ca="1" si="256"/>
        <v>#N/A</v>
      </c>
      <c r="AA1550" s="80" t="str">
        <f t="shared" ca="1" si="257"/>
        <v>CLH3</v>
      </c>
      <c r="AB1550" s="74" t="e">
        <f t="shared" si="259"/>
        <v>#N/A</v>
      </c>
      <c r="AC1550" s="80" t="str">
        <f t="shared" si="258"/>
        <v>LCOH3</v>
      </c>
      <c r="AD1550" s="80" t="str">
        <f t="shared" si="260"/>
        <v>CLH3</v>
      </c>
      <c r="AE1550" s="80" t="str">
        <f t="shared" si="261"/>
        <v>LCOJ3</v>
      </c>
      <c r="AF1550" s="80" t="str">
        <f t="shared" si="262"/>
        <v>CLJ3</v>
      </c>
      <c r="AG1550" s="80" t="str">
        <f t="shared" si="263"/>
        <v>LCOK3</v>
      </c>
      <c r="AH1550" s="80" t="str">
        <f t="shared" si="264"/>
        <v>LCOM3</v>
      </c>
    </row>
    <row r="1551" spans="25:34" x14ac:dyDescent="0.35">
      <c r="Y1551" s="74">
        <f t="shared" si="255"/>
        <v>44954</v>
      </c>
      <c r="Z1551" s="74" t="e">
        <f t="shared" ca="1" si="256"/>
        <v>#N/A</v>
      </c>
      <c r="AA1551" s="80" t="str">
        <f t="shared" ca="1" si="257"/>
        <v>CLH3</v>
      </c>
      <c r="AB1551" s="74" t="e">
        <f t="shared" si="259"/>
        <v>#N/A</v>
      </c>
      <c r="AC1551" s="80" t="str">
        <f t="shared" si="258"/>
        <v>LCOH3</v>
      </c>
      <c r="AD1551" s="80" t="str">
        <f t="shared" si="260"/>
        <v>CLH3</v>
      </c>
      <c r="AE1551" s="80" t="str">
        <f t="shared" si="261"/>
        <v>LCOJ3</v>
      </c>
      <c r="AF1551" s="80" t="str">
        <f t="shared" si="262"/>
        <v>CLJ3</v>
      </c>
      <c r="AG1551" s="80" t="str">
        <f t="shared" si="263"/>
        <v>LCOK3</v>
      </c>
      <c r="AH1551" s="80" t="str">
        <f t="shared" si="264"/>
        <v>LCOM3</v>
      </c>
    </row>
    <row r="1552" spans="25:34" x14ac:dyDescent="0.35">
      <c r="Y1552" s="74">
        <f t="shared" si="255"/>
        <v>44955</v>
      </c>
      <c r="Z1552" s="74" t="e">
        <f t="shared" ca="1" si="256"/>
        <v>#N/A</v>
      </c>
      <c r="AA1552" s="80" t="str">
        <f t="shared" ca="1" si="257"/>
        <v>CLH3</v>
      </c>
      <c r="AB1552" s="74" t="e">
        <f t="shared" si="259"/>
        <v>#N/A</v>
      </c>
      <c r="AC1552" s="80" t="str">
        <f t="shared" si="258"/>
        <v>LCOH3</v>
      </c>
      <c r="AD1552" s="80" t="str">
        <f t="shared" si="260"/>
        <v>CLH3</v>
      </c>
      <c r="AE1552" s="80" t="str">
        <f t="shared" si="261"/>
        <v>LCOJ3</v>
      </c>
      <c r="AF1552" s="80" t="str">
        <f t="shared" si="262"/>
        <v>CLJ3</v>
      </c>
      <c r="AG1552" s="80" t="str">
        <f t="shared" si="263"/>
        <v>LCOK3</v>
      </c>
      <c r="AH1552" s="80" t="str">
        <f t="shared" si="264"/>
        <v>LCOM3</v>
      </c>
    </row>
    <row r="1553" spans="25:34" x14ac:dyDescent="0.35">
      <c r="Y1553" s="74">
        <f t="shared" si="255"/>
        <v>44956</v>
      </c>
      <c r="Z1553" s="74" t="e">
        <f t="shared" ca="1" si="256"/>
        <v>#N/A</v>
      </c>
      <c r="AA1553" s="80" t="str">
        <f t="shared" ca="1" si="257"/>
        <v>CLH3</v>
      </c>
      <c r="AB1553" s="74" t="e">
        <f t="shared" si="259"/>
        <v>#N/A</v>
      </c>
      <c r="AC1553" s="80" t="str">
        <f t="shared" si="258"/>
        <v>LCOH3</v>
      </c>
      <c r="AD1553" s="80" t="str">
        <f t="shared" si="260"/>
        <v>CLH3</v>
      </c>
      <c r="AE1553" s="80" t="str">
        <f t="shared" si="261"/>
        <v>LCOJ3</v>
      </c>
      <c r="AF1553" s="80" t="str">
        <f t="shared" si="262"/>
        <v>CLJ3</v>
      </c>
      <c r="AG1553" s="80" t="str">
        <f t="shared" si="263"/>
        <v>LCOK3</v>
      </c>
      <c r="AH1553" s="80" t="str">
        <f t="shared" si="264"/>
        <v>LCOM3</v>
      </c>
    </row>
    <row r="1554" spans="25:34" x14ac:dyDescent="0.35">
      <c r="Y1554" s="74">
        <f t="shared" si="255"/>
        <v>44957</v>
      </c>
      <c r="Z1554" s="74" t="e">
        <f t="shared" ca="1" si="256"/>
        <v>#N/A</v>
      </c>
      <c r="AA1554" s="80" t="str">
        <f t="shared" ca="1" si="257"/>
        <v>CLH3</v>
      </c>
      <c r="AB1554" s="74" t="e">
        <f t="shared" si="259"/>
        <v>#N/A</v>
      </c>
      <c r="AC1554" s="80" t="str">
        <f t="shared" si="258"/>
        <v>LCOH3</v>
      </c>
      <c r="AD1554" s="80" t="str">
        <f t="shared" si="260"/>
        <v>CLH3</v>
      </c>
      <c r="AE1554" s="80" t="str">
        <f t="shared" si="261"/>
        <v>LCOJ3</v>
      </c>
      <c r="AF1554" s="80" t="str">
        <f t="shared" si="262"/>
        <v>CLJ3</v>
      </c>
      <c r="AG1554" s="80" t="str">
        <f t="shared" si="263"/>
        <v>LCOK3</v>
      </c>
      <c r="AH1554" s="80" t="str">
        <f t="shared" si="264"/>
        <v>LCOM3</v>
      </c>
    </row>
    <row r="1555" spans="25:34" x14ac:dyDescent="0.35">
      <c r="Y1555" s="74">
        <f t="shared" si="255"/>
        <v>44958</v>
      </c>
      <c r="Z1555" s="74" t="e">
        <f t="shared" ca="1" si="256"/>
        <v>#N/A</v>
      </c>
      <c r="AA1555" s="80" t="str">
        <f t="shared" ca="1" si="257"/>
        <v>CLH3</v>
      </c>
      <c r="AB1555" s="74" t="e">
        <f t="shared" si="259"/>
        <v>#N/A</v>
      </c>
      <c r="AC1555" s="80" t="str">
        <f t="shared" si="258"/>
        <v>LCOJ3</v>
      </c>
      <c r="AD1555" s="80" t="str">
        <f t="shared" si="260"/>
        <v>CLJ3</v>
      </c>
      <c r="AE1555" s="80" t="str">
        <f t="shared" si="261"/>
        <v>LCOK3</v>
      </c>
      <c r="AF1555" s="80" t="str">
        <f t="shared" si="262"/>
        <v>CLK3</v>
      </c>
      <c r="AG1555" s="80" t="str">
        <f t="shared" si="263"/>
        <v>LCOM3</v>
      </c>
      <c r="AH1555" s="80" t="str">
        <f t="shared" si="264"/>
        <v>LCON3</v>
      </c>
    </row>
    <row r="1556" spans="25:34" x14ac:dyDescent="0.35">
      <c r="Y1556" s="74">
        <f t="shared" si="255"/>
        <v>44959</v>
      </c>
      <c r="Z1556" s="74" t="e">
        <f t="shared" ca="1" si="256"/>
        <v>#N/A</v>
      </c>
      <c r="AA1556" s="80" t="str">
        <f t="shared" ca="1" si="257"/>
        <v>CLH3</v>
      </c>
      <c r="AB1556" s="74" t="e">
        <f t="shared" si="259"/>
        <v>#N/A</v>
      </c>
      <c r="AC1556" s="80" t="str">
        <f t="shared" si="258"/>
        <v>LCOJ3</v>
      </c>
      <c r="AD1556" s="80" t="str">
        <f t="shared" si="260"/>
        <v>CLJ3</v>
      </c>
      <c r="AE1556" s="80" t="str">
        <f t="shared" si="261"/>
        <v>LCOK3</v>
      </c>
      <c r="AF1556" s="80" t="str">
        <f t="shared" si="262"/>
        <v>CLK3</v>
      </c>
      <c r="AG1556" s="80" t="str">
        <f t="shared" si="263"/>
        <v>LCOM3</v>
      </c>
      <c r="AH1556" s="80" t="str">
        <f t="shared" si="264"/>
        <v>LCON3</v>
      </c>
    </row>
    <row r="1557" spans="25:34" x14ac:dyDescent="0.35">
      <c r="Y1557" s="74">
        <f t="shared" si="255"/>
        <v>44960</v>
      </c>
      <c r="Z1557" s="74" t="e">
        <f t="shared" ca="1" si="256"/>
        <v>#N/A</v>
      </c>
      <c r="AA1557" s="80" t="str">
        <f t="shared" ca="1" si="257"/>
        <v>CLH3</v>
      </c>
      <c r="AB1557" s="74" t="e">
        <f t="shared" si="259"/>
        <v>#N/A</v>
      </c>
      <c r="AC1557" s="80" t="str">
        <f t="shared" si="258"/>
        <v>LCOJ3</v>
      </c>
      <c r="AD1557" s="80" t="str">
        <f t="shared" si="260"/>
        <v>CLJ3</v>
      </c>
      <c r="AE1557" s="80" t="str">
        <f t="shared" si="261"/>
        <v>LCOK3</v>
      </c>
      <c r="AF1557" s="80" t="str">
        <f t="shared" si="262"/>
        <v>CLK3</v>
      </c>
      <c r="AG1557" s="80" t="str">
        <f t="shared" si="263"/>
        <v>LCOM3</v>
      </c>
      <c r="AH1557" s="80" t="str">
        <f t="shared" si="264"/>
        <v>LCON3</v>
      </c>
    </row>
    <row r="1558" spans="25:34" x14ac:dyDescent="0.35">
      <c r="Y1558" s="74">
        <f t="shared" si="255"/>
        <v>44961</v>
      </c>
      <c r="Z1558" s="74" t="e">
        <f t="shared" ca="1" si="256"/>
        <v>#N/A</v>
      </c>
      <c r="AA1558" s="80" t="str">
        <f t="shared" ca="1" si="257"/>
        <v>CLH3</v>
      </c>
      <c r="AB1558" s="74" t="e">
        <f t="shared" si="259"/>
        <v>#N/A</v>
      </c>
      <c r="AC1558" s="80" t="str">
        <f t="shared" si="258"/>
        <v>LCOJ3</v>
      </c>
      <c r="AD1558" s="80" t="str">
        <f t="shared" si="260"/>
        <v>CLJ3</v>
      </c>
      <c r="AE1558" s="80" t="str">
        <f t="shared" si="261"/>
        <v>LCOK3</v>
      </c>
      <c r="AF1558" s="80" t="str">
        <f t="shared" si="262"/>
        <v>CLK3</v>
      </c>
      <c r="AG1558" s="80" t="str">
        <f t="shared" si="263"/>
        <v>LCOM3</v>
      </c>
      <c r="AH1558" s="80" t="str">
        <f t="shared" si="264"/>
        <v>LCON3</v>
      </c>
    </row>
    <row r="1559" spans="25:34" x14ac:dyDescent="0.35">
      <c r="Y1559" s="74">
        <f t="shared" si="255"/>
        <v>44962</v>
      </c>
      <c r="Z1559" s="74" t="e">
        <f t="shared" ca="1" si="256"/>
        <v>#N/A</v>
      </c>
      <c r="AA1559" s="80" t="str">
        <f t="shared" ca="1" si="257"/>
        <v>CLH3</v>
      </c>
      <c r="AB1559" s="74" t="e">
        <f t="shared" si="259"/>
        <v>#N/A</v>
      </c>
      <c r="AC1559" s="80" t="str">
        <f t="shared" si="258"/>
        <v>LCOJ3</v>
      </c>
      <c r="AD1559" s="80" t="str">
        <f t="shared" si="260"/>
        <v>CLJ3</v>
      </c>
      <c r="AE1559" s="80" t="str">
        <f t="shared" si="261"/>
        <v>LCOK3</v>
      </c>
      <c r="AF1559" s="80" t="str">
        <f t="shared" si="262"/>
        <v>CLK3</v>
      </c>
      <c r="AG1559" s="80" t="str">
        <f t="shared" si="263"/>
        <v>LCOM3</v>
      </c>
      <c r="AH1559" s="80" t="str">
        <f t="shared" si="264"/>
        <v>LCON3</v>
      </c>
    </row>
    <row r="1560" spans="25:34" x14ac:dyDescent="0.35">
      <c r="Y1560" s="74">
        <f t="shared" si="255"/>
        <v>44963</v>
      </c>
      <c r="Z1560" s="74" t="e">
        <f t="shared" ca="1" si="256"/>
        <v>#N/A</v>
      </c>
      <c r="AA1560" s="80" t="str">
        <f t="shared" ca="1" si="257"/>
        <v>CLH3</v>
      </c>
      <c r="AB1560" s="74" t="e">
        <f t="shared" si="259"/>
        <v>#N/A</v>
      </c>
      <c r="AC1560" s="80" t="str">
        <f t="shared" si="258"/>
        <v>LCOJ3</v>
      </c>
      <c r="AD1560" s="80" t="str">
        <f t="shared" si="260"/>
        <v>CLJ3</v>
      </c>
      <c r="AE1560" s="80" t="str">
        <f t="shared" si="261"/>
        <v>LCOK3</v>
      </c>
      <c r="AF1560" s="80" t="str">
        <f t="shared" si="262"/>
        <v>CLK3</v>
      </c>
      <c r="AG1560" s="80" t="str">
        <f t="shared" si="263"/>
        <v>LCOM3</v>
      </c>
      <c r="AH1560" s="80" t="str">
        <f t="shared" si="264"/>
        <v>LCON3</v>
      </c>
    </row>
    <row r="1561" spans="25:34" x14ac:dyDescent="0.35">
      <c r="Y1561" s="74">
        <f t="shared" si="255"/>
        <v>44964</v>
      </c>
      <c r="Z1561" s="74" t="e">
        <f t="shared" ca="1" si="256"/>
        <v>#N/A</v>
      </c>
      <c r="AA1561" s="80" t="str">
        <f t="shared" ca="1" si="257"/>
        <v>CLH3</v>
      </c>
      <c r="AB1561" s="74" t="e">
        <f t="shared" si="259"/>
        <v>#N/A</v>
      </c>
      <c r="AC1561" s="80" t="str">
        <f t="shared" si="258"/>
        <v>LCOJ3</v>
      </c>
      <c r="AD1561" s="80" t="str">
        <f t="shared" si="260"/>
        <v>CLJ3</v>
      </c>
      <c r="AE1561" s="80" t="str">
        <f t="shared" si="261"/>
        <v>LCOK3</v>
      </c>
      <c r="AF1561" s="80" t="str">
        <f t="shared" si="262"/>
        <v>CLK3</v>
      </c>
      <c r="AG1561" s="80" t="str">
        <f t="shared" si="263"/>
        <v>LCOM3</v>
      </c>
      <c r="AH1561" s="80" t="str">
        <f t="shared" si="264"/>
        <v>LCON3</v>
      </c>
    </row>
    <row r="1562" spans="25:34" x14ac:dyDescent="0.35">
      <c r="Y1562" s="74">
        <f t="shared" si="255"/>
        <v>44965</v>
      </c>
      <c r="Z1562" s="74" t="e">
        <f t="shared" ca="1" si="256"/>
        <v>#N/A</v>
      </c>
      <c r="AA1562" s="80" t="str">
        <f t="shared" ca="1" si="257"/>
        <v>CLH3</v>
      </c>
      <c r="AB1562" s="74" t="e">
        <f t="shared" si="259"/>
        <v>#N/A</v>
      </c>
      <c r="AC1562" s="80" t="str">
        <f t="shared" si="258"/>
        <v>LCOJ3</v>
      </c>
      <c r="AD1562" s="80" t="str">
        <f t="shared" si="260"/>
        <v>CLJ3</v>
      </c>
      <c r="AE1562" s="80" t="str">
        <f t="shared" si="261"/>
        <v>LCOK3</v>
      </c>
      <c r="AF1562" s="80" t="str">
        <f t="shared" si="262"/>
        <v>CLK3</v>
      </c>
      <c r="AG1562" s="80" t="str">
        <f t="shared" si="263"/>
        <v>LCOM3</v>
      </c>
      <c r="AH1562" s="80" t="str">
        <f t="shared" si="264"/>
        <v>LCON3</v>
      </c>
    </row>
    <row r="1563" spans="25:34" x14ac:dyDescent="0.35">
      <c r="Y1563" s="74">
        <f t="shared" si="255"/>
        <v>44966</v>
      </c>
      <c r="Z1563" s="74" t="e">
        <f t="shared" ca="1" si="256"/>
        <v>#N/A</v>
      </c>
      <c r="AA1563" s="80" t="str">
        <f t="shared" ca="1" si="257"/>
        <v>CLH3</v>
      </c>
      <c r="AB1563" s="74" t="e">
        <f t="shared" si="259"/>
        <v>#N/A</v>
      </c>
      <c r="AC1563" s="80" t="str">
        <f t="shared" si="258"/>
        <v>LCOJ3</v>
      </c>
      <c r="AD1563" s="80" t="str">
        <f t="shared" si="260"/>
        <v>CLJ3</v>
      </c>
      <c r="AE1563" s="80" t="str">
        <f t="shared" si="261"/>
        <v>LCOK3</v>
      </c>
      <c r="AF1563" s="80" t="str">
        <f t="shared" si="262"/>
        <v>CLK3</v>
      </c>
      <c r="AG1563" s="80" t="str">
        <f t="shared" si="263"/>
        <v>LCOM3</v>
      </c>
      <c r="AH1563" s="80" t="str">
        <f t="shared" si="264"/>
        <v>LCON3</v>
      </c>
    </row>
    <row r="1564" spans="25:34" x14ac:dyDescent="0.35">
      <c r="Y1564" s="74">
        <f t="shared" si="255"/>
        <v>44967</v>
      </c>
      <c r="Z1564" s="74" t="e">
        <f t="shared" ca="1" si="256"/>
        <v>#N/A</v>
      </c>
      <c r="AA1564" s="80" t="str">
        <f t="shared" ca="1" si="257"/>
        <v>CLH3</v>
      </c>
      <c r="AB1564" s="74" t="e">
        <f t="shared" si="259"/>
        <v>#N/A</v>
      </c>
      <c r="AC1564" s="80" t="str">
        <f t="shared" si="258"/>
        <v>LCOJ3</v>
      </c>
      <c r="AD1564" s="80" t="str">
        <f t="shared" si="260"/>
        <v>CLJ3</v>
      </c>
      <c r="AE1564" s="80" t="str">
        <f t="shared" si="261"/>
        <v>LCOK3</v>
      </c>
      <c r="AF1564" s="80" t="str">
        <f t="shared" si="262"/>
        <v>CLK3</v>
      </c>
      <c r="AG1564" s="80" t="str">
        <f t="shared" si="263"/>
        <v>LCOM3</v>
      </c>
      <c r="AH1564" s="80" t="str">
        <f t="shared" si="264"/>
        <v>LCON3</v>
      </c>
    </row>
    <row r="1565" spans="25:34" x14ac:dyDescent="0.35">
      <c r="Y1565" s="74">
        <f t="shared" si="255"/>
        <v>44968</v>
      </c>
      <c r="Z1565" s="74" t="e">
        <f t="shared" ca="1" si="256"/>
        <v>#N/A</v>
      </c>
      <c r="AA1565" s="80" t="str">
        <f t="shared" ca="1" si="257"/>
        <v>CLH3</v>
      </c>
      <c r="AB1565" s="74" t="e">
        <f t="shared" si="259"/>
        <v>#N/A</v>
      </c>
      <c r="AC1565" s="80" t="str">
        <f t="shared" si="258"/>
        <v>LCOJ3</v>
      </c>
      <c r="AD1565" s="80" t="str">
        <f t="shared" si="260"/>
        <v>CLJ3</v>
      </c>
      <c r="AE1565" s="80" t="str">
        <f t="shared" si="261"/>
        <v>LCOK3</v>
      </c>
      <c r="AF1565" s="80" t="str">
        <f t="shared" si="262"/>
        <v>CLK3</v>
      </c>
      <c r="AG1565" s="80" t="str">
        <f t="shared" si="263"/>
        <v>LCOM3</v>
      </c>
      <c r="AH1565" s="80" t="str">
        <f t="shared" si="264"/>
        <v>LCON3</v>
      </c>
    </row>
    <row r="1566" spans="25:34" x14ac:dyDescent="0.35">
      <c r="Y1566" s="74">
        <f t="shared" si="255"/>
        <v>44969</v>
      </c>
      <c r="Z1566" s="74" t="e">
        <f t="shared" ca="1" si="256"/>
        <v>#N/A</v>
      </c>
      <c r="AA1566" s="80" t="str">
        <f t="shared" ca="1" si="257"/>
        <v>CLH3</v>
      </c>
      <c r="AB1566" s="74" t="e">
        <f t="shared" si="259"/>
        <v>#N/A</v>
      </c>
      <c r="AC1566" s="80" t="str">
        <f t="shared" si="258"/>
        <v>LCOJ3</v>
      </c>
      <c r="AD1566" s="80" t="str">
        <f t="shared" si="260"/>
        <v>CLJ3</v>
      </c>
      <c r="AE1566" s="80" t="str">
        <f t="shared" si="261"/>
        <v>LCOK3</v>
      </c>
      <c r="AF1566" s="80" t="str">
        <f t="shared" si="262"/>
        <v>CLK3</v>
      </c>
      <c r="AG1566" s="80" t="str">
        <f t="shared" si="263"/>
        <v>LCOM3</v>
      </c>
      <c r="AH1566" s="80" t="str">
        <f t="shared" si="264"/>
        <v>LCON3</v>
      </c>
    </row>
    <row r="1567" spans="25:34" x14ac:dyDescent="0.35">
      <c r="Y1567" s="74">
        <f t="shared" si="255"/>
        <v>44970</v>
      </c>
      <c r="Z1567" s="74" t="e">
        <f t="shared" ca="1" si="256"/>
        <v>#N/A</v>
      </c>
      <c r="AA1567" s="80" t="str">
        <f t="shared" ca="1" si="257"/>
        <v>CLH3</v>
      </c>
      <c r="AB1567" s="74" t="e">
        <f t="shared" si="259"/>
        <v>#N/A</v>
      </c>
      <c r="AC1567" s="80" t="str">
        <f t="shared" si="258"/>
        <v>LCOJ3</v>
      </c>
      <c r="AD1567" s="80" t="str">
        <f t="shared" si="260"/>
        <v>CLJ3</v>
      </c>
      <c r="AE1567" s="80" t="str">
        <f t="shared" si="261"/>
        <v>LCOK3</v>
      </c>
      <c r="AF1567" s="80" t="str">
        <f t="shared" si="262"/>
        <v>CLK3</v>
      </c>
      <c r="AG1567" s="80" t="str">
        <f t="shared" si="263"/>
        <v>LCOM3</v>
      </c>
      <c r="AH1567" s="80" t="str">
        <f t="shared" si="264"/>
        <v>LCON3</v>
      </c>
    </row>
    <row r="1568" spans="25:34" x14ac:dyDescent="0.35">
      <c r="Y1568" s="74">
        <f t="shared" si="255"/>
        <v>44971</v>
      </c>
      <c r="Z1568" s="74" t="e">
        <f t="shared" ca="1" si="256"/>
        <v>#N/A</v>
      </c>
      <c r="AA1568" s="80" t="str">
        <f t="shared" ca="1" si="257"/>
        <v>CLH3</v>
      </c>
      <c r="AB1568" s="74" t="e">
        <f t="shared" si="259"/>
        <v>#N/A</v>
      </c>
      <c r="AC1568" s="80" t="str">
        <f t="shared" si="258"/>
        <v>LCOJ3</v>
      </c>
      <c r="AD1568" s="80" t="str">
        <f t="shared" si="260"/>
        <v>CLJ3</v>
      </c>
      <c r="AE1568" s="80" t="str">
        <f t="shared" si="261"/>
        <v>LCOK3</v>
      </c>
      <c r="AF1568" s="80" t="str">
        <f t="shared" si="262"/>
        <v>CLK3</v>
      </c>
      <c r="AG1568" s="80" t="str">
        <f t="shared" si="263"/>
        <v>LCOM3</v>
      </c>
      <c r="AH1568" s="80" t="str">
        <f t="shared" si="264"/>
        <v>LCON3</v>
      </c>
    </row>
    <row r="1569" spans="25:34" x14ac:dyDescent="0.35">
      <c r="Y1569" s="74">
        <f t="shared" ref="Y1569:Y1632" si="265">Y1568+1</f>
        <v>44972</v>
      </c>
      <c r="Z1569" s="74" t="e">
        <f t="shared" ca="1" si="256"/>
        <v>#N/A</v>
      </c>
      <c r="AA1569" s="80" t="str">
        <f t="shared" ca="1" si="257"/>
        <v>CLH3</v>
      </c>
      <c r="AB1569" s="74" t="e">
        <f t="shared" si="259"/>
        <v>#N/A</v>
      </c>
      <c r="AC1569" s="80" t="str">
        <f t="shared" si="258"/>
        <v>LCOJ3</v>
      </c>
      <c r="AD1569" s="80" t="str">
        <f t="shared" si="260"/>
        <v>CLJ3</v>
      </c>
      <c r="AE1569" s="80" t="str">
        <f t="shared" si="261"/>
        <v>LCOK3</v>
      </c>
      <c r="AF1569" s="80" t="str">
        <f t="shared" si="262"/>
        <v>CLK3</v>
      </c>
      <c r="AG1569" s="80" t="str">
        <f t="shared" si="263"/>
        <v>LCOM3</v>
      </c>
      <c r="AH1569" s="80" t="str">
        <f t="shared" si="264"/>
        <v>LCON3</v>
      </c>
    </row>
    <row r="1570" spans="25:34" x14ac:dyDescent="0.35">
      <c r="Y1570" s="74">
        <f t="shared" si="265"/>
        <v>44973</v>
      </c>
      <c r="Z1570" s="74" t="e">
        <f t="shared" ca="1" si="256"/>
        <v>#N/A</v>
      </c>
      <c r="AA1570" s="80" t="str">
        <f t="shared" ca="1" si="257"/>
        <v>CLH3</v>
      </c>
      <c r="AB1570" s="74" t="e">
        <f t="shared" si="259"/>
        <v>#N/A</v>
      </c>
      <c r="AC1570" s="80" t="str">
        <f t="shared" si="258"/>
        <v>LCOJ3</v>
      </c>
      <c r="AD1570" s="80" t="str">
        <f t="shared" si="260"/>
        <v>CLJ3</v>
      </c>
      <c r="AE1570" s="80" t="str">
        <f t="shared" si="261"/>
        <v>LCOK3</v>
      </c>
      <c r="AF1570" s="80" t="str">
        <f t="shared" si="262"/>
        <v>CLK3</v>
      </c>
      <c r="AG1570" s="80" t="str">
        <f t="shared" si="263"/>
        <v>LCOM3</v>
      </c>
      <c r="AH1570" s="80" t="str">
        <f t="shared" si="264"/>
        <v>LCON3</v>
      </c>
    </row>
    <row r="1571" spans="25:34" x14ac:dyDescent="0.35">
      <c r="Y1571" s="74">
        <f t="shared" si="265"/>
        <v>44974</v>
      </c>
      <c r="Z1571" s="74" t="e">
        <f t="shared" ca="1" si="256"/>
        <v>#N/A</v>
      </c>
      <c r="AA1571" s="80" t="str">
        <f t="shared" ca="1" si="257"/>
        <v>CLH3</v>
      </c>
      <c r="AB1571" s="74" t="e">
        <f t="shared" si="259"/>
        <v>#N/A</v>
      </c>
      <c r="AC1571" s="80" t="str">
        <f t="shared" si="258"/>
        <v>LCOJ3</v>
      </c>
      <c r="AD1571" s="80" t="str">
        <f t="shared" si="260"/>
        <v>CLJ3</v>
      </c>
      <c r="AE1571" s="80" t="str">
        <f t="shared" si="261"/>
        <v>LCOK3</v>
      </c>
      <c r="AF1571" s="80" t="str">
        <f t="shared" si="262"/>
        <v>CLK3</v>
      </c>
      <c r="AG1571" s="80" t="str">
        <f t="shared" si="263"/>
        <v>LCOM3</v>
      </c>
      <c r="AH1571" s="80" t="str">
        <f t="shared" si="264"/>
        <v>LCON3</v>
      </c>
    </row>
    <row r="1572" spans="25:34" x14ac:dyDescent="0.35">
      <c r="Y1572" s="74">
        <f t="shared" si="265"/>
        <v>44975</v>
      </c>
      <c r="Z1572" s="74" t="e">
        <f t="shared" ca="1" si="256"/>
        <v>#N/A</v>
      </c>
      <c r="AA1572" s="80" t="str">
        <f t="shared" ca="1" si="257"/>
        <v>CLH3</v>
      </c>
      <c r="AB1572" s="74" t="e">
        <f t="shared" si="259"/>
        <v>#N/A</v>
      </c>
      <c r="AC1572" s="80" t="str">
        <f t="shared" si="258"/>
        <v>LCOJ3</v>
      </c>
      <c r="AD1572" s="80" t="str">
        <f t="shared" si="260"/>
        <v>CLJ3</v>
      </c>
      <c r="AE1572" s="80" t="str">
        <f t="shared" si="261"/>
        <v>LCOK3</v>
      </c>
      <c r="AF1572" s="80" t="str">
        <f t="shared" si="262"/>
        <v>CLK3</v>
      </c>
      <c r="AG1572" s="80" t="str">
        <f t="shared" si="263"/>
        <v>LCOM3</v>
      </c>
      <c r="AH1572" s="80" t="str">
        <f t="shared" si="264"/>
        <v>LCON3</v>
      </c>
    </row>
    <row r="1573" spans="25:34" x14ac:dyDescent="0.35">
      <c r="Y1573" s="74">
        <f t="shared" si="265"/>
        <v>44976</v>
      </c>
      <c r="Z1573" s="74" t="e">
        <f t="shared" ca="1" si="256"/>
        <v>#N/A</v>
      </c>
      <c r="AA1573" s="80" t="str">
        <f t="shared" ca="1" si="257"/>
        <v>CLH3</v>
      </c>
      <c r="AB1573" s="74" t="e">
        <f t="shared" si="259"/>
        <v>#N/A</v>
      </c>
      <c r="AC1573" s="80" t="str">
        <f t="shared" si="258"/>
        <v>LCOJ3</v>
      </c>
      <c r="AD1573" s="80" t="str">
        <f t="shared" si="260"/>
        <v>CLJ3</v>
      </c>
      <c r="AE1573" s="80" t="str">
        <f t="shared" si="261"/>
        <v>LCOK3</v>
      </c>
      <c r="AF1573" s="80" t="str">
        <f t="shared" si="262"/>
        <v>CLK3</v>
      </c>
      <c r="AG1573" s="80" t="str">
        <f t="shared" si="263"/>
        <v>LCOM3</v>
      </c>
      <c r="AH1573" s="80" t="str">
        <f t="shared" si="264"/>
        <v>LCON3</v>
      </c>
    </row>
    <row r="1574" spans="25:34" x14ac:dyDescent="0.35">
      <c r="Y1574" s="74">
        <f t="shared" si="265"/>
        <v>44977</v>
      </c>
      <c r="Z1574" s="74" t="e">
        <f t="shared" ca="1" si="256"/>
        <v>#N/A</v>
      </c>
      <c r="AA1574" s="80" t="str">
        <f t="shared" ca="1" si="257"/>
        <v>CLH3</v>
      </c>
      <c r="AB1574" s="74" t="e">
        <f t="shared" si="259"/>
        <v>#N/A</v>
      </c>
      <c r="AC1574" s="80" t="str">
        <f t="shared" si="258"/>
        <v>LCOJ3</v>
      </c>
      <c r="AD1574" s="80" t="str">
        <f t="shared" si="260"/>
        <v>CLJ3</v>
      </c>
      <c r="AE1574" s="80" t="str">
        <f t="shared" si="261"/>
        <v>LCOK3</v>
      </c>
      <c r="AF1574" s="80" t="str">
        <f t="shared" si="262"/>
        <v>CLK3</v>
      </c>
      <c r="AG1574" s="80" t="str">
        <f t="shared" si="263"/>
        <v>LCOM3</v>
      </c>
      <c r="AH1574" s="80" t="str">
        <f t="shared" si="264"/>
        <v>LCON3</v>
      </c>
    </row>
    <row r="1575" spans="25:34" x14ac:dyDescent="0.35">
      <c r="Y1575" s="74">
        <f t="shared" si="265"/>
        <v>44978</v>
      </c>
      <c r="Z1575" s="74" t="e">
        <f t="shared" ca="1" si="256"/>
        <v>#N/A</v>
      </c>
      <c r="AA1575" s="80" t="str">
        <f t="shared" ca="1" si="257"/>
        <v>CLH3</v>
      </c>
      <c r="AB1575" s="74" t="e">
        <f t="shared" si="259"/>
        <v>#N/A</v>
      </c>
      <c r="AC1575" s="80" t="str">
        <f t="shared" si="258"/>
        <v>LCOJ3</v>
      </c>
      <c r="AD1575" s="80" t="str">
        <f t="shared" si="260"/>
        <v>CLJ3</v>
      </c>
      <c r="AE1575" s="80" t="str">
        <f t="shared" si="261"/>
        <v>LCOK3</v>
      </c>
      <c r="AF1575" s="80" t="str">
        <f t="shared" si="262"/>
        <v>CLK3</v>
      </c>
      <c r="AG1575" s="80" t="str">
        <f t="shared" si="263"/>
        <v>LCOM3</v>
      </c>
      <c r="AH1575" s="80" t="str">
        <f t="shared" si="264"/>
        <v>LCON3</v>
      </c>
    </row>
    <row r="1576" spans="25:34" x14ac:dyDescent="0.35">
      <c r="Y1576" s="74">
        <f t="shared" si="265"/>
        <v>44979</v>
      </c>
      <c r="Z1576" s="74" t="e">
        <f t="shared" ca="1" si="256"/>
        <v>#N/A</v>
      </c>
      <c r="AA1576" s="80" t="str">
        <f t="shared" ca="1" si="257"/>
        <v>CLJ3</v>
      </c>
      <c r="AB1576" s="74" t="e">
        <f t="shared" si="259"/>
        <v>#N/A</v>
      </c>
      <c r="AC1576" s="80" t="str">
        <f t="shared" si="258"/>
        <v>LCOJ3</v>
      </c>
      <c r="AD1576" s="80" t="str">
        <f t="shared" si="260"/>
        <v>CLJ3</v>
      </c>
      <c r="AE1576" s="80" t="str">
        <f t="shared" si="261"/>
        <v>LCOK3</v>
      </c>
      <c r="AF1576" s="80" t="str">
        <f t="shared" si="262"/>
        <v>CLK3</v>
      </c>
      <c r="AG1576" s="80" t="str">
        <f t="shared" si="263"/>
        <v>LCOM3</v>
      </c>
      <c r="AH1576" s="80" t="str">
        <f t="shared" si="264"/>
        <v>LCON3</v>
      </c>
    </row>
    <row r="1577" spans="25:34" x14ac:dyDescent="0.35">
      <c r="Y1577" s="74">
        <f t="shared" si="265"/>
        <v>44980</v>
      </c>
      <c r="Z1577" s="74" t="e">
        <f t="shared" ca="1" si="256"/>
        <v>#N/A</v>
      </c>
      <c r="AA1577" s="80" t="str">
        <f t="shared" ca="1" si="257"/>
        <v>CLJ3</v>
      </c>
      <c r="AB1577" s="74" t="e">
        <f t="shared" si="259"/>
        <v>#N/A</v>
      </c>
      <c r="AC1577" s="80" t="str">
        <f t="shared" si="258"/>
        <v>LCOJ3</v>
      </c>
      <c r="AD1577" s="80" t="str">
        <f t="shared" si="260"/>
        <v>CLJ3</v>
      </c>
      <c r="AE1577" s="80" t="str">
        <f t="shared" si="261"/>
        <v>LCOK3</v>
      </c>
      <c r="AF1577" s="80" t="str">
        <f t="shared" si="262"/>
        <v>CLK3</v>
      </c>
      <c r="AG1577" s="80" t="str">
        <f t="shared" si="263"/>
        <v>LCOM3</v>
      </c>
      <c r="AH1577" s="80" t="str">
        <f t="shared" si="264"/>
        <v>LCON3</v>
      </c>
    </row>
    <row r="1578" spans="25:34" x14ac:dyDescent="0.35">
      <c r="Y1578" s="74">
        <f t="shared" si="265"/>
        <v>44981</v>
      </c>
      <c r="Z1578" s="74" t="e">
        <f t="shared" ca="1" si="256"/>
        <v>#N/A</v>
      </c>
      <c r="AA1578" s="80" t="str">
        <f t="shared" ca="1" si="257"/>
        <v>CLJ3</v>
      </c>
      <c r="AB1578" s="74" t="e">
        <f t="shared" si="259"/>
        <v>#N/A</v>
      </c>
      <c r="AC1578" s="80" t="str">
        <f t="shared" si="258"/>
        <v>LCOJ3</v>
      </c>
      <c r="AD1578" s="80" t="str">
        <f t="shared" si="260"/>
        <v>CLJ3</v>
      </c>
      <c r="AE1578" s="80" t="str">
        <f t="shared" si="261"/>
        <v>LCOK3</v>
      </c>
      <c r="AF1578" s="80" t="str">
        <f t="shared" si="262"/>
        <v>CLK3</v>
      </c>
      <c r="AG1578" s="80" t="str">
        <f t="shared" si="263"/>
        <v>LCOM3</v>
      </c>
      <c r="AH1578" s="80" t="str">
        <f t="shared" si="264"/>
        <v>LCON3</v>
      </c>
    </row>
    <row r="1579" spans="25:34" x14ac:dyDescent="0.35">
      <c r="Y1579" s="74">
        <f t="shared" si="265"/>
        <v>44982</v>
      </c>
      <c r="Z1579" s="74" t="e">
        <f t="shared" ca="1" si="256"/>
        <v>#N/A</v>
      </c>
      <c r="AA1579" s="80" t="str">
        <f t="shared" ca="1" si="257"/>
        <v>CLJ3</v>
      </c>
      <c r="AB1579" s="74" t="e">
        <f t="shared" si="259"/>
        <v>#N/A</v>
      </c>
      <c r="AC1579" s="80" t="str">
        <f t="shared" si="258"/>
        <v>LCOJ3</v>
      </c>
      <c r="AD1579" s="80" t="str">
        <f t="shared" si="260"/>
        <v>CLJ3</v>
      </c>
      <c r="AE1579" s="80" t="str">
        <f t="shared" si="261"/>
        <v>LCOK3</v>
      </c>
      <c r="AF1579" s="80" t="str">
        <f t="shared" si="262"/>
        <v>CLK3</v>
      </c>
      <c r="AG1579" s="80" t="str">
        <f t="shared" si="263"/>
        <v>LCOM3</v>
      </c>
      <c r="AH1579" s="80" t="str">
        <f t="shared" si="264"/>
        <v>LCON3</v>
      </c>
    </row>
    <row r="1580" spans="25:34" x14ac:dyDescent="0.35">
      <c r="Y1580" s="74">
        <f t="shared" si="265"/>
        <v>44983</v>
      </c>
      <c r="Z1580" s="74" t="e">
        <f t="shared" ca="1" si="256"/>
        <v>#N/A</v>
      </c>
      <c r="AA1580" s="80" t="str">
        <f t="shared" ca="1" si="257"/>
        <v>CLJ3</v>
      </c>
      <c r="AB1580" s="74" t="e">
        <f t="shared" si="259"/>
        <v>#N/A</v>
      </c>
      <c r="AC1580" s="80" t="str">
        <f t="shared" si="258"/>
        <v>LCOJ3</v>
      </c>
      <c r="AD1580" s="80" t="str">
        <f t="shared" si="260"/>
        <v>CLJ3</v>
      </c>
      <c r="AE1580" s="80" t="str">
        <f t="shared" si="261"/>
        <v>LCOK3</v>
      </c>
      <c r="AF1580" s="80" t="str">
        <f t="shared" si="262"/>
        <v>CLK3</v>
      </c>
      <c r="AG1580" s="80" t="str">
        <f t="shared" si="263"/>
        <v>LCOM3</v>
      </c>
      <c r="AH1580" s="80" t="str">
        <f t="shared" si="264"/>
        <v>LCON3</v>
      </c>
    </row>
    <row r="1581" spans="25:34" x14ac:dyDescent="0.35">
      <c r="Y1581" s="74">
        <f t="shared" si="265"/>
        <v>44984</v>
      </c>
      <c r="Z1581" s="74" t="e">
        <f t="shared" ca="1" si="256"/>
        <v>#N/A</v>
      </c>
      <c r="AA1581" s="80" t="str">
        <f t="shared" ca="1" si="257"/>
        <v>CLJ3</v>
      </c>
      <c r="AB1581" s="74" t="e">
        <f t="shared" si="259"/>
        <v>#N/A</v>
      </c>
      <c r="AC1581" s="80" t="str">
        <f t="shared" si="258"/>
        <v>LCOJ3</v>
      </c>
      <c r="AD1581" s="80" t="str">
        <f t="shared" si="260"/>
        <v>CLJ3</v>
      </c>
      <c r="AE1581" s="80" t="str">
        <f t="shared" si="261"/>
        <v>LCOK3</v>
      </c>
      <c r="AF1581" s="80" t="str">
        <f t="shared" si="262"/>
        <v>CLK3</v>
      </c>
      <c r="AG1581" s="80" t="str">
        <f t="shared" si="263"/>
        <v>LCOM3</v>
      </c>
      <c r="AH1581" s="80" t="str">
        <f t="shared" si="264"/>
        <v>LCON3</v>
      </c>
    </row>
    <row r="1582" spans="25:34" x14ac:dyDescent="0.35">
      <c r="Y1582" s="74">
        <f t="shared" si="265"/>
        <v>44985</v>
      </c>
      <c r="Z1582" s="74" t="e">
        <f t="shared" ca="1" si="256"/>
        <v>#N/A</v>
      </c>
      <c r="AA1582" s="80" t="str">
        <f t="shared" ca="1" si="257"/>
        <v>CLJ3</v>
      </c>
      <c r="AB1582" s="74" t="e">
        <f t="shared" si="259"/>
        <v>#N/A</v>
      </c>
      <c r="AC1582" s="80" t="str">
        <f t="shared" si="258"/>
        <v>LCOJ3</v>
      </c>
      <c r="AD1582" s="80" t="str">
        <f t="shared" si="260"/>
        <v>CLJ3</v>
      </c>
      <c r="AE1582" s="80" t="str">
        <f t="shared" si="261"/>
        <v>LCOK3</v>
      </c>
      <c r="AF1582" s="80" t="str">
        <f t="shared" si="262"/>
        <v>CLK3</v>
      </c>
      <c r="AG1582" s="80" t="str">
        <f t="shared" si="263"/>
        <v>LCOM3</v>
      </c>
      <c r="AH1582" s="80" t="str">
        <f t="shared" si="264"/>
        <v>LCON3</v>
      </c>
    </row>
    <row r="1583" spans="25:34" x14ac:dyDescent="0.35">
      <c r="Y1583" s="74">
        <f t="shared" si="265"/>
        <v>44986</v>
      </c>
      <c r="Z1583" s="74" t="e">
        <f t="shared" ca="1" si="256"/>
        <v>#N/A</v>
      </c>
      <c r="AA1583" s="80" t="str">
        <f t="shared" ca="1" si="257"/>
        <v>CLJ3</v>
      </c>
      <c r="AB1583" s="74" t="e">
        <f t="shared" si="259"/>
        <v>#N/A</v>
      </c>
      <c r="AC1583" s="80" t="str">
        <f t="shared" si="258"/>
        <v>LCOK3</v>
      </c>
      <c r="AD1583" s="80" t="str">
        <f t="shared" si="260"/>
        <v>CLK3</v>
      </c>
      <c r="AE1583" s="80" t="str">
        <f t="shared" si="261"/>
        <v>LCOM3</v>
      </c>
      <c r="AF1583" s="80" t="str">
        <f t="shared" si="262"/>
        <v>CLM3</v>
      </c>
      <c r="AG1583" s="80" t="str">
        <f t="shared" si="263"/>
        <v>LCON3</v>
      </c>
      <c r="AH1583" s="80" t="str">
        <f t="shared" si="264"/>
        <v>LCOQ3</v>
      </c>
    </row>
    <row r="1584" spans="25:34" x14ac:dyDescent="0.35">
      <c r="Y1584" s="74">
        <f t="shared" si="265"/>
        <v>44987</v>
      </c>
      <c r="Z1584" s="74" t="e">
        <f t="shared" ca="1" si="256"/>
        <v>#N/A</v>
      </c>
      <c r="AA1584" s="80" t="str">
        <f t="shared" ca="1" si="257"/>
        <v>CLJ3</v>
      </c>
      <c r="AB1584" s="74" t="e">
        <f t="shared" si="259"/>
        <v>#N/A</v>
      </c>
      <c r="AC1584" s="80" t="str">
        <f t="shared" si="258"/>
        <v>LCOK3</v>
      </c>
      <c r="AD1584" s="80" t="str">
        <f t="shared" si="260"/>
        <v>CLK3</v>
      </c>
      <c r="AE1584" s="80" t="str">
        <f t="shared" si="261"/>
        <v>LCOM3</v>
      </c>
      <c r="AF1584" s="80" t="str">
        <f t="shared" si="262"/>
        <v>CLM3</v>
      </c>
      <c r="AG1584" s="80" t="str">
        <f t="shared" si="263"/>
        <v>LCON3</v>
      </c>
      <c r="AH1584" s="80" t="str">
        <f t="shared" si="264"/>
        <v>LCOQ3</v>
      </c>
    </row>
    <row r="1585" spans="25:34" x14ac:dyDescent="0.35">
      <c r="Y1585" s="74">
        <f t="shared" si="265"/>
        <v>44988</v>
      </c>
      <c r="Z1585" s="74" t="e">
        <f t="shared" ca="1" si="256"/>
        <v>#N/A</v>
      </c>
      <c r="AA1585" s="80" t="str">
        <f t="shared" ca="1" si="257"/>
        <v>CLJ3</v>
      </c>
      <c r="AB1585" s="74" t="e">
        <f t="shared" si="259"/>
        <v>#N/A</v>
      </c>
      <c r="AC1585" s="80" t="str">
        <f t="shared" si="258"/>
        <v>LCOK3</v>
      </c>
      <c r="AD1585" s="80" t="str">
        <f t="shared" si="260"/>
        <v>CLK3</v>
      </c>
      <c r="AE1585" s="80" t="str">
        <f t="shared" si="261"/>
        <v>LCOM3</v>
      </c>
      <c r="AF1585" s="80" t="str">
        <f t="shared" si="262"/>
        <v>CLM3</v>
      </c>
      <c r="AG1585" s="80" t="str">
        <f t="shared" si="263"/>
        <v>LCON3</v>
      </c>
      <c r="AH1585" s="80" t="str">
        <f t="shared" si="264"/>
        <v>LCOQ3</v>
      </c>
    </row>
    <row r="1586" spans="25:34" x14ac:dyDescent="0.35">
      <c r="Y1586" s="74">
        <f t="shared" si="265"/>
        <v>44989</v>
      </c>
      <c r="Z1586" s="74" t="e">
        <f t="shared" ca="1" si="256"/>
        <v>#N/A</v>
      </c>
      <c r="AA1586" s="80" t="str">
        <f t="shared" ca="1" si="257"/>
        <v>CLJ3</v>
      </c>
      <c r="AB1586" s="74" t="e">
        <f t="shared" si="259"/>
        <v>#N/A</v>
      </c>
      <c r="AC1586" s="80" t="str">
        <f t="shared" si="258"/>
        <v>LCOK3</v>
      </c>
      <c r="AD1586" s="80" t="str">
        <f t="shared" si="260"/>
        <v>CLK3</v>
      </c>
      <c r="AE1586" s="80" t="str">
        <f t="shared" si="261"/>
        <v>LCOM3</v>
      </c>
      <c r="AF1586" s="80" t="str">
        <f t="shared" si="262"/>
        <v>CLM3</v>
      </c>
      <c r="AG1586" s="80" t="str">
        <f t="shared" si="263"/>
        <v>LCON3</v>
      </c>
      <c r="AH1586" s="80" t="str">
        <f t="shared" si="264"/>
        <v>LCOQ3</v>
      </c>
    </row>
    <row r="1587" spans="25:34" x14ac:dyDescent="0.35">
      <c r="Y1587" s="74">
        <f t="shared" si="265"/>
        <v>44990</v>
      </c>
      <c r="Z1587" s="74" t="e">
        <f t="shared" ca="1" si="256"/>
        <v>#N/A</v>
      </c>
      <c r="AA1587" s="80" t="str">
        <f t="shared" ca="1" si="257"/>
        <v>CLJ3</v>
      </c>
      <c r="AB1587" s="74" t="e">
        <f t="shared" si="259"/>
        <v>#N/A</v>
      </c>
      <c r="AC1587" s="80" t="str">
        <f t="shared" si="258"/>
        <v>LCOK3</v>
      </c>
      <c r="AD1587" s="80" t="str">
        <f t="shared" si="260"/>
        <v>CLK3</v>
      </c>
      <c r="AE1587" s="80" t="str">
        <f t="shared" si="261"/>
        <v>LCOM3</v>
      </c>
      <c r="AF1587" s="80" t="str">
        <f t="shared" si="262"/>
        <v>CLM3</v>
      </c>
      <c r="AG1587" s="80" t="str">
        <f t="shared" si="263"/>
        <v>LCON3</v>
      </c>
      <c r="AH1587" s="80" t="str">
        <f t="shared" si="264"/>
        <v>LCOQ3</v>
      </c>
    </row>
    <row r="1588" spans="25:34" x14ac:dyDescent="0.35">
      <c r="Y1588" s="74">
        <f t="shared" si="265"/>
        <v>44991</v>
      </c>
      <c r="Z1588" s="74" t="e">
        <f t="shared" ca="1" si="256"/>
        <v>#N/A</v>
      </c>
      <c r="AA1588" s="80" t="str">
        <f t="shared" ca="1" si="257"/>
        <v>CLJ3</v>
      </c>
      <c r="AB1588" s="74" t="e">
        <f t="shared" si="259"/>
        <v>#N/A</v>
      </c>
      <c r="AC1588" s="80" t="str">
        <f t="shared" si="258"/>
        <v>LCOK3</v>
      </c>
      <c r="AD1588" s="80" t="str">
        <f t="shared" si="260"/>
        <v>CLK3</v>
      </c>
      <c r="AE1588" s="80" t="str">
        <f t="shared" si="261"/>
        <v>LCOM3</v>
      </c>
      <c r="AF1588" s="80" t="str">
        <f t="shared" si="262"/>
        <v>CLM3</v>
      </c>
      <c r="AG1588" s="80" t="str">
        <f t="shared" si="263"/>
        <v>LCON3</v>
      </c>
      <c r="AH1588" s="80" t="str">
        <f t="shared" si="264"/>
        <v>LCOQ3</v>
      </c>
    </row>
    <row r="1589" spans="25:34" x14ac:dyDescent="0.35">
      <c r="Y1589" s="74">
        <f t="shared" si="265"/>
        <v>44992</v>
      </c>
      <c r="Z1589" s="74" t="e">
        <f t="shared" ca="1" si="256"/>
        <v>#N/A</v>
      </c>
      <c r="AA1589" s="80" t="str">
        <f t="shared" ca="1" si="257"/>
        <v>CLJ3</v>
      </c>
      <c r="AB1589" s="74" t="e">
        <f t="shared" si="259"/>
        <v>#N/A</v>
      </c>
      <c r="AC1589" s="80" t="str">
        <f t="shared" si="258"/>
        <v>LCOK3</v>
      </c>
      <c r="AD1589" s="80" t="str">
        <f t="shared" si="260"/>
        <v>CLK3</v>
      </c>
      <c r="AE1589" s="80" t="str">
        <f t="shared" si="261"/>
        <v>LCOM3</v>
      </c>
      <c r="AF1589" s="80" t="str">
        <f t="shared" si="262"/>
        <v>CLM3</v>
      </c>
      <c r="AG1589" s="80" t="str">
        <f t="shared" si="263"/>
        <v>LCON3</v>
      </c>
      <c r="AH1589" s="80" t="str">
        <f t="shared" si="264"/>
        <v>LCOQ3</v>
      </c>
    </row>
    <row r="1590" spans="25:34" x14ac:dyDescent="0.35">
      <c r="Y1590" s="74">
        <f t="shared" si="265"/>
        <v>44993</v>
      </c>
      <c r="Z1590" s="74" t="e">
        <f t="shared" ca="1" si="256"/>
        <v>#N/A</v>
      </c>
      <c r="AA1590" s="80" t="str">
        <f t="shared" ca="1" si="257"/>
        <v>CLJ3</v>
      </c>
      <c r="AB1590" s="74" t="e">
        <f t="shared" si="259"/>
        <v>#N/A</v>
      </c>
      <c r="AC1590" s="80" t="str">
        <f t="shared" si="258"/>
        <v>LCOK3</v>
      </c>
      <c r="AD1590" s="80" t="str">
        <f t="shared" si="260"/>
        <v>CLK3</v>
      </c>
      <c r="AE1590" s="80" t="str">
        <f t="shared" si="261"/>
        <v>LCOM3</v>
      </c>
      <c r="AF1590" s="80" t="str">
        <f t="shared" si="262"/>
        <v>CLM3</v>
      </c>
      <c r="AG1590" s="80" t="str">
        <f t="shared" si="263"/>
        <v>LCON3</v>
      </c>
      <c r="AH1590" s="80" t="str">
        <f t="shared" si="264"/>
        <v>LCOQ3</v>
      </c>
    </row>
    <row r="1591" spans="25:34" x14ac:dyDescent="0.35">
      <c r="Y1591" s="74">
        <f t="shared" si="265"/>
        <v>44994</v>
      </c>
      <c r="Z1591" s="74" t="e">
        <f t="shared" ca="1" si="256"/>
        <v>#N/A</v>
      </c>
      <c r="AA1591" s="80" t="str">
        <f t="shared" ca="1" si="257"/>
        <v>CLJ3</v>
      </c>
      <c r="AB1591" s="74" t="e">
        <f t="shared" si="259"/>
        <v>#N/A</v>
      </c>
      <c r="AC1591" s="80" t="str">
        <f t="shared" si="258"/>
        <v>LCOK3</v>
      </c>
      <c r="AD1591" s="80" t="str">
        <f t="shared" si="260"/>
        <v>CLK3</v>
      </c>
      <c r="AE1591" s="80" t="str">
        <f t="shared" si="261"/>
        <v>LCOM3</v>
      </c>
      <c r="AF1591" s="80" t="str">
        <f t="shared" si="262"/>
        <v>CLM3</v>
      </c>
      <c r="AG1591" s="80" t="str">
        <f t="shared" si="263"/>
        <v>LCON3</v>
      </c>
      <c r="AH1591" s="80" t="str">
        <f t="shared" si="264"/>
        <v>LCOQ3</v>
      </c>
    </row>
    <row r="1592" spans="25:34" x14ac:dyDescent="0.35">
      <c r="Y1592" s="74">
        <f t="shared" si="265"/>
        <v>44995</v>
      </c>
      <c r="Z1592" s="74" t="e">
        <f t="shared" ca="1" si="256"/>
        <v>#N/A</v>
      </c>
      <c r="AA1592" s="80" t="str">
        <f t="shared" ca="1" si="257"/>
        <v>CLJ3</v>
      </c>
      <c r="AB1592" s="74" t="e">
        <f t="shared" si="259"/>
        <v>#N/A</v>
      </c>
      <c r="AC1592" s="80" t="str">
        <f t="shared" si="258"/>
        <v>LCOK3</v>
      </c>
      <c r="AD1592" s="80" t="str">
        <f t="shared" si="260"/>
        <v>CLK3</v>
      </c>
      <c r="AE1592" s="80" t="str">
        <f t="shared" si="261"/>
        <v>LCOM3</v>
      </c>
      <c r="AF1592" s="80" t="str">
        <f t="shared" si="262"/>
        <v>CLM3</v>
      </c>
      <c r="AG1592" s="80" t="str">
        <f t="shared" si="263"/>
        <v>LCON3</v>
      </c>
      <c r="AH1592" s="80" t="str">
        <f t="shared" si="264"/>
        <v>LCOQ3</v>
      </c>
    </row>
    <row r="1593" spans="25:34" x14ac:dyDescent="0.35">
      <c r="Y1593" s="74">
        <f t="shared" si="265"/>
        <v>44996</v>
      </c>
      <c r="Z1593" s="74" t="e">
        <f t="shared" ca="1" si="256"/>
        <v>#N/A</v>
      </c>
      <c r="AA1593" s="80" t="str">
        <f t="shared" ca="1" si="257"/>
        <v>CLJ3</v>
      </c>
      <c r="AB1593" s="74" t="e">
        <f t="shared" si="259"/>
        <v>#N/A</v>
      </c>
      <c r="AC1593" s="80" t="str">
        <f t="shared" si="258"/>
        <v>LCOK3</v>
      </c>
      <c r="AD1593" s="80" t="str">
        <f t="shared" si="260"/>
        <v>CLK3</v>
      </c>
      <c r="AE1593" s="80" t="str">
        <f t="shared" si="261"/>
        <v>LCOM3</v>
      </c>
      <c r="AF1593" s="80" t="str">
        <f t="shared" si="262"/>
        <v>CLM3</v>
      </c>
      <c r="AG1593" s="80" t="str">
        <f t="shared" si="263"/>
        <v>LCON3</v>
      </c>
      <c r="AH1593" s="80" t="str">
        <f t="shared" si="264"/>
        <v>LCOQ3</v>
      </c>
    </row>
    <row r="1594" spans="25:34" x14ac:dyDescent="0.35">
      <c r="Y1594" s="74">
        <f t="shared" si="265"/>
        <v>44997</v>
      </c>
      <c r="Z1594" s="74" t="e">
        <f t="shared" ca="1" si="256"/>
        <v>#N/A</v>
      </c>
      <c r="AA1594" s="80" t="str">
        <f t="shared" ca="1" si="257"/>
        <v>CLJ3</v>
      </c>
      <c r="AB1594" s="74" t="e">
        <f t="shared" si="259"/>
        <v>#N/A</v>
      </c>
      <c r="AC1594" s="80" t="str">
        <f t="shared" si="258"/>
        <v>LCOK3</v>
      </c>
      <c r="AD1594" s="80" t="str">
        <f t="shared" si="260"/>
        <v>CLK3</v>
      </c>
      <c r="AE1594" s="80" t="str">
        <f t="shared" si="261"/>
        <v>LCOM3</v>
      </c>
      <c r="AF1594" s="80" t="str">
        <f t="shared" si="262"/>
        <v>CLM3</v>
      </c>
      <c r="AG1594" s="80" t="str">
        <f t="shared" si="263"/>
        <v>LCON3</v>
      </c>
      <c r="AH1594" s="80" t="str">
        <f t="shared" si="264"/>
        <v>LCOQ3</v>
      </c>
    </row>
    <row r="1595" spans="25:34" x14ac:dyDescent="0.35">
      <c r="Y1595" s="74">
        <f t="shared" si="265"/>
        <v>44998</v>
      </c>
      <c r="Z1595" s="74" t="e">
        <f t="shared" ca="1" si="256"/>
        <v>#N/A</v>
      </c>
      <c r="AA1595" s="80" t="str">
        <f t="shared" ca="1" si="257"/>
        <v>CLJ3</v>
      </c>
      <c r="AB1595" s="74" t="e">
        <f t="shared" si="259"/>
        <v>#N/A</v>
      </c>
      <c r="AC1595" s="80" t="str">
        <f t="shared" si="258"/>
        <v>LCOK3</v>
      </c>
      <c r="AD1595" s="80" t="str">
        <f t="shared" si="260"/>
        <v>CLK3</v>
      </c>
      <c r="AE1595" s="80" t="str">
        <f t="shared" si="261"/>
        <v>LCOM3</v>
      </c>
      <c r="AF1595" s="80" t="str">
        <f t="shared" si="262"/>
        <v>CLM3</v>
      </c>
      <c r="AG1595" s="80" t="str">
        <f t="shared" si="263"/>
        <v>LCON3</v>
      </c>
      <c r="AH1595" s="80" t="str">
        <f t="shared" si="264"/>
        <v>LCOQ3</v>
      </c>
    </row>
    <row r="1596" spans="25:34" x14ac:dyDescent="0.35">
      <c r="Y1596" s="74">
        <f t="shared" si="265"/>
        <v>44999</v>
      </c>
      <c r="Z1596" s="74" t="e">
        <f t="shared" ca="1" si="256"/>
        <v>#N/A</v>
      </c>
      <c r="AA1596" s="80" t="str">
        <f t="shared" ca="1" si="257"/>
        <v>CLJ3</v>
      </c>
      <c r="AB1596" s="74" t="e">
        <f t="shared" si="259"/>
        <v>#N/A</v>
      </c>
      <c r="AC1596" s="80" t="str">
        <f t="shared" si="258"/>
        <v>LCOK3</v>
      </c>
      <c r="AD1596" s="80" t="str">
        <f t="shared" si="260"/>
        <v>CLK3</v>
      </c>
      <c r="AE1596" s="80" t="str">
        <f t="shared" si="261"/>
        <v>LCOM3</v>
      </c>
      <c r="AF1596" s="80" t="str">
        <f t="shared" si="262"/>
        <v>CLM3</v>
      </c>
      <c r="AG1596" s="80" t="str">
        <f t="shared" si="263"/>
        <v>LCON3</v>
      </c>
      <c r="AH1596" s="80" t="str">
        <f t="shared" si="264"/>
        <v>LCOQ3</v>
      </c>
    </row>
    <row r="1597" spans="25:34" x14ac:dyDescent="0.35">
      <c r="Y1597" s="74">
        <f t="shared" si="265"/>
        <v>45000</v>
      </c>
      <c r="Z1597" s="74" t="e">
        <f t="shared" ca="1" si="256"/>
        <v>#N/A</v>
      </c>
      <c r="AA1597" s="80" t="str">
        <f t="shared" ca="1" si="257"/>
        <v>CLJ3</v>
      </c>
      <c r="AB1597" s="74" t="e">
        <f t="shared" si="259"/>
        <v>#N/A</v>
      </c>
      <c r="AC1597" s="80" t="str">
        <f t="shared" si="258"/>
        <v>LCOK3</v>
      </c>
      <c r="AD1597" s="80" t="str">
        <f t="shared" si="260"/>
        <v>CLK3</v>
      </c>
      <c r="AE1597" s="80" t="str">
        <f t="shared" si="261"/>
        <v>LCOM3</v>
      </c>
      <c r="AF1597" s="80" t="str">
        <f t="shared" si="262"/>
        <v>CLM3</v>
      </c>
      <c r="AG1597" s="80" t="str">
        <f t="shared" si="263"/>
        <v>LCON3</v>
      </c>
      <c r="AH1597" s="80" t="str">
        <f t="shared" si="264"/>
        <v>LCOQ3</v>
      </c>
    </row>
    <row r="1598" spans="25:34" x14ac:dyDescent="0.35">
      <c r="Y1598" s="74">
        <f t="shared" si="265"/>
        <v>45001</v>
      </c>
      <c r="Z1598" s="74" t="e">
        <f t="shared" ca="1" si="256"/>
        <v>#N/A</v>
      </c>
      <c r="AA1598" s="80" t="str">
        <f t="shared" ca="1" si="257"/>
        <v>CLJ3</v>
      </c>
      <c r="AB1598" s="74" t="e">
        <f t="shared" si="259"/>
        <v>#N/A</v>
      </c>
      <c r="AC1598" s="80" t="str">
        <f t="shared" si="258"/>
        <v>LCOK3</v>
      </c>
      <c r="AD1598" s="80" t="str">
        <f t="shared" si="260"/>
        <v>CLK3</v>
      </c>
      <c r="AE1598" s="80" t="str">
        <f t="shared" si="261"/>
        <v>LCOM3</v>
      </c>
      <c r="AF1598" s="80" t="str">
        <f t="shared" si="262"/>
        <v>CLM3</v>
      </c>
      <c r="AG1598" s="80" t="str">
        <f t="shared" si="263"/>
        <v>LCON3</v>
      </c>
      <c r="AH1598" s="80" t="str">
        <f t="shared" si="264"/>
        <v>LCOQ3</v>
      </c>
    </row>
    <row r="1599" spans="25:34" x14ac:dyDescent="0.35">
      <c r="Y1599" s="74">
        <f t="shared" si="265"/>
        <v>45002</v>
      </c>
      <c r="Z1599" s="74" t="e">
        <f t="shared" ca="1" si="256"/>
        <v>#N/A</v>
      </c>
      <c r="AA1599" s="80" t="str">
        <f t="shared" ca="1" si="257"/>
        <v>CLJ3</v>
      </c>
      <c r="AB1599" s="74" t="e">
        <f t="shared" si="259"/>
        <v>#N/A</v>
      </c>
      <c r="AC1599" s="80" t="str">
        <f t="shared" si="258"/>
        <v>LCOK3</v>
      </c>
      <c r="AD1599" s="80" t="str">
        <f t="shared" si="260"/>
        <v>CLK3</v>
      </c>
      <c r="AE1599" s="80" t="str">
        <f t="shared" si="261"/>
        <v>LCOM3</v>
      </c>
      <c r="AF1599" s="80" t="str">
        <f t="shared" si="262"/>
        <v>CLM3</v>
      </c>
      <c r="AG1599" s="80" t="str">
        <f t="shared" si="263"/>
        <v>LCON3</v>
      </c>
      <c r="AH1599" s="80" t="str">
        <f t="shared" si="264"/>
        <v>LCOQ3</v>
      </c>
    </row>
    <row r="1600" spans="25:34" x14ac:dyDescent="0.35">
      <c r="Y1600" s="74">
        <f t="shared" si="265"/>
        <v>45003</v>
      </c>
      <c r="Z1600" s="74" t="e">
        <f t="shared" ca="1" si="256"/>
        <v>#N/A</v>
      </c>
      <c r="AA1600" s="80" t="str">
        <f t="shared" ca="1" si="257"/>
        <v>CLJ3</v>
      </c>
      <c r="AB1600" s="74" t="e">
        <f t="shared" si="259"/>
        <v>#N/A</v>
      </c>
      <c r="AC1600" s="80" t="str">
        <f t="shared" si="258"/>
        <v>LCOK3</v>
      </c>
      <c r="AD1600" s="80" t="str">
        <f t="shared" si="260"/>
        <v>CLK3</v>
      </c>
      <c r="AE1600" s="80" t="str">
        <f t="shared" si="261"/>
        <v>LCOM3</v>
      </c>
      <c r="AF1600" s="80" t="str">
        <f t="shared" si="262"/>
        <v>CLM3</v>
      </c>
      <c r="AG1600" s="80" t="str">
        <f t="shared" si="263"/>
        <v>LCON3</v>
      </c>
      <c r="AH1600" s="80" t="str">
        <f t="shared" si="264"/>
        <v>LCOQ3</v>
      </c>
    </row>
    <row r="1601" spans="25:34" x14ac:dyDescent="0.35">
      <c r="Y1601" s="74">
        <f t="shared" si="265"/>
        <v>45004</v>
      </c>
      <c r="Z1601" s="74" t="e">
        <f t="shared" ca="1" si="256"/>
        <v>#N/A</v>
      </c>
      <c r="AA1601" s="80" t="str">
        <f t="shared" ca="1" si="257"/>
        <v>CLJ3</v>
      </c>
      <c r="AB1601" s="74" t="e">
        <f t="shared" si="259"/>
        <v>#N/A</v>
      </c>
      <c r="AC1601" s="80" t="str">
        <f t="shared" si="258"/>
        <v>LCOK3</v>
      </c>
      <c r="AD1601" s="80" t="str">
        <f t="shared" si="260"/>
        <v>CLK3</v>
      </c>
      <c r="AE1601" s="80" t="str">
        <f t="shared" si="261"/>
        <v>LCOM3</v>
      </c>
      <c r="AF1601" s="80" t="str">
        <f t="shared" si="262"/>
        <v>CLM3</v>
      </c>
      <c r="AG1601" s="80" t="str">
        <f t="shared" si="263"/>
        <v>LCON3</v>
      </c>
      <c r="AH1601" s="80" t="str">
        <f t="shared" si="264"/>
        <v>LCOQ3</v>
      </c>
    </row>
    <row r="1602" spans="25:34" x14ac:dyDescent="0.35">
      <c r="Y1602" s="74">
        <f t="shared" si="265"/>
        <v>45005</v>
      </c>
      <c r="Z1602" s="74" t="e">
        <f t="shared" ref="Z1602:Z1665" ca="1" si="266">VLOOKUP(AA1602,$I$2:$K$39,3,FALSE)</f>
        <v>#N/A</v>
      </c>
      <c r="AA1602" s="80" t="str">
        <f t="shared" ref="AA1602:AA1665" ca="1" si="267">LOOKUP(2,1/($J$2:$J$700&lt;=$Y1602)/($K$2:$K$700&gt;=$Y1602),$L$2:$L$700)</f>
        <v>CLJ3</v>
      </c>
      <c r="AB1602" s="74" t="e">
        <f t="shared" si="259"/>
        <v>#N/A</v>
      </c>
      <c r="AC1602" s="80" t="str">
        <f t="shared" ref="AC1602:AC1665" si="268">LOOKUP(2,1/($R$2:$R$700&lt;=$Y1602)/($S$2:$S$700&gt;=$Y1602),$T$2:$T$700)</f>
        <v>LCOK3</v>
      </c>
      <c r="AD1602" s="80" t="str">
        <f t="shared" si="260"/>
        <v>CLK3</v>
      </c>
      <c r="AE1602" s="80" t="str">
        <f t="shared" si="261"/>
        <v>LCOM3</v>
      </c>
      <c r="AF1602" s="80" t="str">
        <f t="shared" si="262"/>
        <v>CLM3</v>
      </c>
      <c r="AG1602" s="80" t="str">
        <f t="shared" si="263"/>
        <v>LCON3</v>
      </c>
      <c r="AH1602" s="80" t="str">
        <f t="shared" si="264"/>
        <v>LCOQ3</v>
      </c>
    </row>
    <row r="1603" spans="25:34" x14ac:dyDescent="0.35">
      <c r="Y1603" s="74">
        <f t="shared" si="265"/>
        <v>45006</v>
      </c>
      <c r="Z1603" s="74" t="e">
        <f t="shared" ca="1" si="266"/>
        <v>#N/A</v>
      </c>
      <c r="AA1603" s="80" t="str">
        <f t="shared" ca="1" si="267"/>
        <v>CLJ3</v>
      </c>
      <c r="AB1603" s="74" t="e">
        <f t="shared" ref="AB1603:AB1666" si="269">VLOOKUP(AC1603,$Q$2:$S$39,3,FALSE)</f>
        <v>#N/A</v>
      </c>
      <c r="AC1603" s="80" t="str">
        <f t="shared" si="268"/>
        <v>LCOK3</v>
      </c>
      <c r="AD1603" s="80" t="str">
        <f t="shared" ref="AD1603:AD1666" si="270">CONCATENATE("CL",RIGHT(AC1603,2))</f>
        <v>CLK3</v>
      </c>
      <c r="AE1603" s="80" t="str">
        <f t="shared" ref="AE1603:AE1666" si="271">LOOKUP(2,1/($R$2:$R$700&lt;=$Y1603)/($S$2:$S$700&gt;=$Y1603),$U$2:$U$700)</f>
        <v>LCOM3</v>
      </c>
      <c r="AF1603" s="80" t="str">
        <f t="shared" ref="AF1603:AF1666" si="272">CONCATENATE("CL",RIGHT(AE1603,2))</f>
        <v>CLM3</v>
      </c>
      <c r="AG1603" s="80" t="str">
        <f t="shared" ref="AG1603:AG1666" si="273">LOOKUP(2,1/($R$2:$R$700&lt;=$Y1603)/($S$2:$S$700&gt;=$Y1603),$V$2:$V$700)</f>
        <v>LCON3</v>
      </c>
      <c r="AH1603" s="80" t="str">
        <f t="shared" ref="AH1603:AH1666" si="274">LOOKUP(2,1/($R$2:$R$700&lt;=$Y1603)/($S$2:$S$700&gt;=$Y1603),$W$2:$W$700)</f>
        <v>LCOQ3</v>
      </c>
    </row>
    <row r="1604" spans="25:34" x14ac:dyDescent="0.35">
      <c r="Y1604" s="74">
        <f t="shared" si="265"/>
        <v>45007</v>
      </c>
      <c r="Z1604" s="74" t="e">
        <f t="shared" ca="1" si="266"/>
        <v>#N/A</v>
      </c>
      <c r="AA1604" s="80" t="str">
        <f t="shared" ca="1" si="267"/>
        <v>CLK3</v>
      </c>
      <c r="AB1604" s="74" t="e">
        <f t="shared" si="269"/>
        <v>#N/A</v>
      </c>
      <c r="AC1604" s="80" t="str">
        <f t="shared" si="268"/>
        <v>LCOK3</v>
      </c>
      <c r="AD1604" s="80" t="str">
        <f t="shared" si="270"/>
        <v>CLK3</v>
      </c>
      <c r="AE1604" s="80" t="str">
        <f t="shared" si="271"/>
        <v>LCOM3</v>
      </c>
      <c r="AF1604" s="80" t="str">
        <f t="shared" si="272"/>
        <v>CLM3</v>
      </c>
      <c r="AG1604" s="80" t="str">
        <f t="shared" si="273"/>
        <v>LCON3</v>
      </c>
      <c r="AH1604" s="80" t="str">
        <f t="shared" si="274"/>
        <v>LCOQ3</v>
      </c>
    </row>
    <row r="1605" spans="25:34" x14ac:dyDescent="0.35">
      <c r="Y1605" s="74">
        <f t="shared" si="265"/>
        <v>45008</v>
      </c>
      <c r="Z1605" s="74" t="e">
        <f t="shared" ca="1" si="266"/>
        <v>#N/A</v>
      </c>
      <c r="AA1605" s="80" t="str">
        <f t="shared" ca="1" si="267"/>
        <v>CLK3</v>
      </c>
      <c r="AB1605" s="74" t="e">
        <f t="shared" si="269"/>
        <v>#N/A</v>
      </c>
      <c r="AC1605" s="80" t="str">
        <f t="shared" si="268"/>
        <v>LCOK3</v>
      </c>
      <c r="AD1605" s="80" t="str">
        <f t="shared" si="270"/>
        <v>CLK3</v>
      </c>
      <c r="AE1605" s="80" t="str">
        <f t="shared" si="271"/>
        <v>LCOM3</v>
      </c>
      <c r="AF1605" s="80" t="str">
        <f t="shared" si="272"/>
        <v>CLM3</v>
      </c>
      <c r="AG1605" s="80" t="str">
        <f t="shared" si="273"/>
        <v>LCON3</v>
      </c>
      <c r="AH1605" s="80" t="str">
        <f t="shared" si="274"/>
        <v>LCOQ3</v>
      </c>
    </row>
    <row r="1606" spans="25:34" x14ac:dyDescent="0.35">
      <c r="Y1606" s="74">
        <f t="shared" si="265"/>
        <v>45009</v>
      </c>
      <c r="Z1606" s="74" t="e">
        <f t="shared" ca="1" si="266"/>
        <v>#N/A</v>
      </c>
      <c r="AA1606" s="80" t="str">
        <f t="shared" ca="1" si="267"/>
        <v>CLK3</v>
      </c>
      <c r="AB1606" s="74" t="e">
        <f t="shared" si="269"/>
        <v>#N/A</v>
      </c>
      <c r="AC1606" s="80" t="str">
        <f t="shared" si="268"/>
        <v>LCOK3</v>
      </c>
      <c r="AD1606" s="80" t="str">
        <f t="shared" si="270"/>
        <v>CLK3</v>
      </c>
      <c r="AE1606" s="80" t="str">
        <f t="shared" si="271"/>
        <v>LCOM3</v>
      </c>
      <c r="AF1606" s="80" t="str">
        <f t="shared" si="272"/>
        <v>CLM3</v>
      </c>
      <c r="AG1606" s="80" t="str">
        <f t="shared" si="273"/>
        <v>LCON3</v>
      </c>
      <c r="AH1606" s="80" t="str">
        <f t="shared" si="274"/>
        <v>LCOQ3</v>
      </c>
    </row>
    <row r="1607" spans="25:34" x14ac:dyDescent="0.35">
      <c r="Y1607" s="74">
        <f t="shared" si="265"/>
        <v>45010</v>
      </c>
      <c r="Z1607" s="74" t="e">
        <f t="shared" ca="1" si="266"/>
        <v>#N/A</v>
      </c>
      <c r="AA1607" s="80" t="str">
        <f t="shared" ca="1" si="267"/>
        <v>CLK3</v>
      </c>
      <c r="AB1607" s="74" t="e">
        <f t="shared" si="269"/>
        <v>#N/A</v>
      </c>
      <c r="AC1607" s="80" t="str">
        <f t="shared" si="268"/>
        <v>LCOK3</v>
      </c>
      <c r="AD1607" s="80" t="str">
        <f t="shared" si="270"/>
        <v>CLK3</v>
      </c>
      <c r="AE1607" s="80" t="str">
        <f t="shared" si="271"/>
        <v>LCOM3</v>
      </c>
      <c r="AF1607" s="80" t="str">
        <f t="shared" si="272"/>
        <v>CLM3</v>
      </c>
      <c r="AG1607" s="80" t="str">
        <f t="shared" si="273"/>
        <v>LCON3</v>
      </c>
      <c r="AH1607" s="80" t="str">
        <f t="shared" si="274"/>
        <v>LCOQ3</v>
      </c>
    </row>
    <row r="1608" spans="25:34" x14ac:dyDescent="0.35">
      <c r="Y1608" s="74">
        <f t="shared" si="265"/>
        <v>45011</v>
      </c>
      <c r="Z1608" s="74" t="e">
        <f t="shared" ca="1" si="266"/>
        <v>#N/A</v>
      </c>
      <c r="AA1608" s="80" t="str">
        <f t="shared" ca="1" si="267"/>
        <v>CLK3</v>
      </c>
      <c r="AB1608" s="74" t="e">
        <f t="shared" si="269"/>
        <v>#N/A</v>
      </c>
      <c r="AC1608" s="80" t="str">
        <f t="shared" si="268"/>
        <v>LCOK3</v>
      </c>
      <c r="AD1608" s="80" t="str">
        <f t="shared" si="270"/>
        <v>CLK3</v>
      </c>
      <c r="AE1608" s="80" t="str">
        <f t="shared" si="271"/>
        <v>LCOM3</v>
      </c>
      <c r="AF1608" s="80" t="str">
        <f t="shared" si="272"/>
        <v>CLM3</v>
      </c>
      <c r="AG1608" s="80" t="str">
        <f t="shared" si="273"/>
        <v>LCON3</v>
      </c>
      <c r="AH1608" s="80" t="str">
        <f t="shared" si="274"/>
        <v>LCOQ3</v>
      </c>
    </row>
    <row r="1609" spans="25:34" x14ac:dyDescent="0.35">
      <c r="Y1609" s="74">
        <f t="shared" si="265"/>
        <v>45012</v>
      </c>
      <c r="Z1609" s="74" t="e">
        <f t="shared" ca="1" si="266"/>
        <v>#N/A</v>
      </c>
      <c r="AA1609" s="80" t="str">
        <f t="shared" ca="1" si="267"/>
        <v>CLK3</v>
      </c>
      <c r="AB1609" s="74" t="e">
        <f t="shared" si="269"/>
        <v>#N/A</v>
      </c>
      <c r="AC1609" s="80" t="str">
        <f t="shared" si="268"/>
        <v>LCOK3</v>
      </c>
      <c r="AD1609" s="80" t="str">
        <f t="shared" si="270"/>
        <v>CLK3</v>
      </c>
      <c r="AE1609" s="80" t="str">
        <f t="shared" si="271"/>
        <v>LCOM3</v>
      </c>
      <c r="AF1609" s="80" t="str">
        <f t="shared" si="272"/>
        <v>CLM3</v>
      </c>
      <c r="AG1609" s="80" t="str">
        <f t="shared" si="273"/>
        <v>LCON3</v>
      </c>
      <c r="AH1609" s="80" t="str">
        <f t="shared" si="274"/>
        <v>LCOQ3</v>
      </c>
    </row>
    <row r="1610" spans="25:34" x14ac:dyDescent="0.35">
      <c r="Y1610" s="74">
        <f t="shared" si="265"/>
        <v>45013</v>
      </c>
      <c r="Z1610" s="74" t="e">
        <f t="shared" ca="1" si="266"/>
        <v>#N/A</v>
      </c>
      <c r="AA1610" s="80" t="str">
        <f t="shared" ca="1" si="267"/>
        <v>CLK3</v>
      </c>
      <c r="AB1610" s="74" t="e">
        <f t="shared" si="269"/>
        <v>#N/A</v>
      </c>
      <c r="AC1610" s="80" t="str">
        <f t="shared" si="268"/>
        <v>LCOK3</v>
      </c>
      <c r="AD1610" s="80" t="str">
        <f t="shared" si="270"/>
        <v>CLK3</v>
      </c>
      <c r="AE1610" s="80" t="str">
        <f t="shared" si="271"/>
        <v>LCOM3</v>
      </c>
      <c r="AF1610" s="80" t="str">
        <f t="shared" si="272"/>
        <v>CLM3</v>
      </c>
      <c r="AG1610" s="80" t="str">
        <f t="shared" si="273"/>
        <v>LCON3</v>
      </c>
      <c r="AH1610" s="80" t="str">
        <f t="shared" si="274"/>
        <v>LCOQ3</v>
      </c>
    </row>
    <row r="1611" spans="25:34" x14ac:dyDescent="0.35">
      <c r="Y1611" s="74">
        <f t="shared" si="265"/>
        <v>45014</v>
      </c>
      <c r="Z1611" s="74" t="e">
        <f t="shared" ca="1" si="266"/>
        <v>#N/A</v>
      </c>
      <c r="AA1611" s="80" t="str">
        <f t="shared" ca="1" si="267"/>
        <v>CLK3</v>
      </c>
      <c r="AB1611" s="74" t="e">
        <f t="shared" si="269"/>
        <v>#N/A</v>
      </c>
      <c r="AC1611" s="80" t="str">
        <f t="shared" si="268"/>
        <v>LCOK3</v>
      </c>
      <c r="AD1611" s="80" t="str">
        <f t="shared" si="270"/>
        <v>CLK3</v>
      </c>
      <c r="AE1611" s="80" t="str">
        <f t="shared" si="271"/>
        <v>LCOM3</v>
      </c>
      <c r="AF1611" s="80" t="str">
        <f t="shared" si="272"/>
        <v>CLM3</v>
      </c>
      <c r="AG1611" s="80" t="str">
        <f t="shared" si="273"/>
        <v>LCON3</v>
      </c>
      <c r="AH1611" s="80" t="str">
        <f t="shared" si="274"/>
        <v>LCOQ3</v>
      </c>
    </row>
    <row r="1612" spans="25:34" x14ac:dyDescent="0.35">
      <c r="Y1612" s="74">
        <f t="shared" si="265"/>
        <v>45015</v>
      </c>
      <c r="Z1612" s="74" t="e">
        <f t="shared" ca="1" si="266"/>
        <v>#N/A</v>
      </c>
      <c r="AA1612" s="80" t="str">
        <f t="shared" ca="1" si="267"/>
        <v>CLK3</v>
      </c>
      <c r="AB1612" s="74" t="e">
        <f t="shared" si="269"/>
        <v>#N/A</v>
      </c>
      <c r="AC1612" s="80" t="str">
        <f t="shared" si="268"/>
        <v>LCOK3</v>
      </c>
      <c r="AD1612" s="80" t="str">
        <f t="shared" si="270"/>
        <v>CLK3</v>
      </c>
      <c r="AE1612" s="80" t="str">
        <f t="shared" si="271"/>
        <v>LCOM3</v>
      </c>
      <c r="AF1612" s="80" t="str">
        <f t="shared" si="272"/>
        <v>CLM3</v>
      </c>
      <c r="AG1612" s="80" t="str">
        <f t="shared" si="273"/>
        <v>LCON3</v>
      </c>
      <c r="AH1612" s="80" t="str">
        <f t="shared" si="274"/>
        <v>LCOQ3</v>
      </c>
    </row>
    <row r="1613" spans="25:34" x14ac:dyDescent="0.35">
      <c r="Y1613" s="74">
        <f t="shared" si="265"/>
        <v>45016</v>
      </c>
      <c r="Z1613" s="74" t="e">
        <f t="shared" ca="1" si="266"/>
        <v>#N/A</v>
      </c>
      <c r="AA1613" s="80" t="str">
        <f t="shared" ca="1" si="267"/>
        <v>CLK3</v>
      </c>
      <c r="AB1613" s="74" t="e">
        <f t="shared" si="269"/>
        <v>#N/A</v>
      </c>
      <c r="AC1613" s="80" t="str">
        <f t="shared" si="268"/>
        <v>LCOK3</v>
      </c>
      <c r="AD1613" s="80" t="str">
        <f t="shared" si="270"/>
        <v>CLK3</v>
      </c>
      <c r="AE1613" s="80" t="str">
        <f t="shared" si="271"/>
        <v>LCOM3</v>
      </c>
      <c r="AF1613" s="80" t="str">
        <f t="shared" si="272"/>
        <v>CLM3</v>
      </c>
      <c r="AG1613" s="80" t="str">
        <f t="shared" si="273"/>
        <v>LCON3</v>
      </c>
      <c r="AH1613" s="80" t="str">
        <f t="shared" si="274"/>
        <v>LCOQ3</v>
      </c>
    </row>
    <row r="1614" spans="25:34" x14ac:dyDescent="0.35">
      <c r="Y1614" s="74">
        <f t="shared" si="265"/>
        <v>45017</v>
      </c>
      <c r="Z1614" s="74" t="e">
        <f t="shared" ca="1" si="266"/>
        <v>#N/A</v>
      </c>
      <c r="AA1614" s="80" t="str">
        <f t="shared" ca="1" si="267"/>
        <v>CLK3</v>
      </c>
      <c r="AB1614" s="74" t="e">
        <f t="shared" si="269"/>
        <v>#N/A</v>
      </c>
      <c r="AC1614" s="80" t="str">
        <f t="shared" si="268"/>
        <v>LCOM3</v>
      </c>
      <c r="AD1614" s="80" t="str">
        <f t="shared" si="270"/>
        <v>CLM3</v>
      </c>
      <c r="AE1614" s="80" t="str">
        <f t="shared" si="271"/>
        <v>LCON3</v>
      </c>
      <c r="AF1614" s="80" t="str">
        <f t="shared" si="272"/>
        <v>CLN3</v>
      </c>
      <c r="AG1614" s="80" t="str">
        <f t="shared" si="273"/>
        <v>LCOQ3</v>
      </c>
      <c r="AH1614" s="80" t="str">
        <f t="shared" si="274"/>
        <v>LCOU3</v>
      </c>
    </row>
    <row r="1615" spans="25:34" x14ac:dyDescent="0.35">
      <c r="Y1615" s="74">
        <f t="shared" si="265"/>
        <v>45018</v>
      </c>
      <c r="Z1615" s="74" t="e">
        <f t="shared" ca="1" si="266"/>
        <v>#N/A</v>
      </c>
      <c r="AA1615" s="80" t="str">
        <f t="shared" ca="1" si="267"/>
        <v>CLK3</v>
      </c>
      <c r="AB1615" s="74" t="e">
        <f t="shared" si="269"/>
        <v>#N/A</v>
      </c>
      <c r="AC1615" s="80" t="str">
        <f t="shared" si="268"/>
        <v>LCOM3</v>
      </c>
      <c r="AD1615" s="80" t="str">
        <f t="shared" si="270"/>
        <v>CLM3</v>
      </c>
      <c r="AE1615" s="80" t="str">
        <f t="shared" si="271"/>
        <v>LCON3</v>
      </c>
      <c r="AF1615" s="80" t="str">
        <f t="shared" si="272"/>
        <v>CLN3</v>
      </c>
      <c r="AG1615" s="80" t="str">
        <f t="shared" si="273"/>
        <v>LCOQ3</v>
      </c>
      <c r="AH1615" s="80" t="str">
        <f t="shared" si="274"/>
        <v>LCOU3</v>
      </c>
    </row>
    <row r="1616" spans="25:34" x14ac:dyDescent="0.35">
      <c r="Y1616" s="74">
        <f t="shared" si="265"/>
        <v>45019</v>
      </c>
      <c r="Z1616" s="74" t="e">
        <f t="shared" ca="1" si="266"/>
        <v>#N/A</v>
      </c>
      <c r="AA1616" s="80" t="str">
        <f t="shared" ca="1" si="267"/>
        <v>CLK3</v>
      </c>
      <c r="AB1616" s="74" t="e">
        <f t="shared" si="269"/>
        <v>#N/A</v>
      </c>
      <c r="AC1616" s="80" t="str">
        <f t="shared" si="268"/>
        <v>LCOM3</v>
      </c>
      <c r="AD1616" s="80" t="str">
        <f t="shared" si="270"/>
        <v>CLM3</v>
      </c>
      <c r="AE1616" s="80" t="str">
        <f t="shared" si="271"/>
        <v>LCON3</v>
      </c>
      <c r="AF1616" s="80" t="str">
        <f t="shared" si="272"/>
        <v>CLN3</v>
      </c>
      <c r="AG1616" s="80" t="str">
        <f t="shared" si="273"/>
        <v>LCOQ3</v>
      </c>
      <c r="AH1616" s="80" t="str">
        <f t="shared" si="274"/>
        <v>LCOU3</v>
      </c>
    </row>
    <row r="1617" spans="25:34" x14ac:dyDescent="0.35">
      <c r="Y1617" s="74">
        <f t="shared" si="265"/>
        <v>45020</v>
      </c>
      <c r="Z1617" s="74" t="e">
        <f t="shared" ca="1" si="266"/>
        <v>#N/A</v>
      </c>
      <c r="AA1617" s="80" t="str">
        <f t="shared" ca="1" si="267"/>
        <v>CLK3</v>
      </c>
      <c r="AB1617" s="74" t="e">
        <f t="shared" si="269"/>
        <v>#N/A</v>
      </c>
      <c r="AC1617" s="80" t="str">
        <f t="shared" si="268"/>
        <v>LCOM3</v>
      </c>
      <c r="AD1617" s="80" t="str">
        <f t="shared" si="270"/>
        <v>CLM3</v>
      </c>
      <c r="AE1617" s="80" t="str">
        <f t="shared" si="271"/>
        <v>LCON3</v>
      </c>
      <c r="AF1617" s="80" t="str">
        <f t="shared" si="272"/>
        <v>CLN3</v>
      </c>
      <c r="AG1617" s="80" t="str">
        <f t="shared" si="273"/>
        <v>LCOQ3</v>
      </c>
      <c r="AH1617" s="80" t="str">
        <f t="shared" si="274"/>
        <v>LCOU3</v>
      </c>
    </row>
    <row r="1618" spans="25:34" x14ac:dyDescent="0.35">
      <c r="Y1618" s="74">
        <f t="shared" si="265"/>
        <v>45021</v>
      </c>
      <c r="Z1618" s="74" t="e">
        <f t="shared" ca="1" si="266"/>
        <v>#N/A</v>
      </c>
      <c r="AA1618" s="80" t="str">
        <f t="shared" ca="1" si="267"/>
        <v>CLK3</v>
      </c>
      <c r="AB1618" s="74" t="e">
        <f t="shared" si="269"/>
        <v>#N/A</v>
      </c>
      <c r="AC1618" s="80" t="str">
        <f t="shared" si="268"/>
        <v>LCOM3</v>
      </c>
      <c r="AD1618" s="80" t="str">
        <f t="shared" si="270"/>
        <v>CLM3</v>
      </c>
      <c r="AE1618" s="80" t="str">
        <f t="shared" si="271"/>
        <v>LCON3</v>
      </c>
      <c r="AF1618" s="80" t="str">
        <f t="shared" si="272"/>
        <v>CLN3</v>
      </c>
      <c r="AG1618" s="80" t="str">
        <f t="shared" si="273"/>
        <v>LCOQ3</v>
      </c>
      <c r="AH1618" s="80" t="str">
        <f t="shared" si="274"/>
        <v>LCOU3</v>
      </c>
    </row>
    <row r="1619" spans="25:34" x14ac:dyDescent="0.35">
      <c r="Y1619" s="74">
        <f t="shared" si="265"/>
        <v>45022</v>
      </c>
      <c r="Z1619" s="74" t="e">
        <f t="shared" ca="1" si="266"/>
        <v>#N/A</v>
      </c>
      <c r="AA1619" s="80" t="str">
        <f t="shared" ca="1" si="267"/>
        <v>CLK3</v>
      </c>
      <c r="AB1619" s="74" t="e">
        <f t="shared" si="269"/>
        <v>#N/A</v>
      </c>
      <c r="AC1619" s="80" t="str">
        <f t="shared" si="268"/>
        <v>LCOM3</v>
      </c>
      <c r="AD1619" s="80" t="str">
        <f t="shared" si="270"/>
        <v>CLM3</v>
      </c>
      <c r="AE1619" s="80" t="str">
        <f t="shared" si="271"/>
        <v>LCON3</v>
      </c>
      <c r="AF1619" s="80" t="str">
        <f t="shared" si="272"/>
        <v>CLN3</v>
      </c>
      <c r="AG1619" s="80" t="str">
        <f t="shared" si="273"/>
        <v>LCOQ3</v>
      </c>
      <c r="AH1619" s="80" t="str">
        <f t="shared" si="274"/>
        <v>LCOU3</v>
      </c>
    </row>
    <row r="1620" spans="25:34" x14ac:dyDescent="0.35">
      <c r="Y1620" s="74">
        <f t="shared" si="265"/>
        <v>45023</v>
      </c>
      <c r="Z1620" s="74" t="e">
        <f t="shared" ca="1" si="266"/>
        <v>#N/A</v>
      </c>
      <c r="AA1620" s="80" t="str">
        <f t="shared" ca="1" si="267"/>
        <v>CLK3</v>
      </c>
      <c r="AB1620" s="74" t="e">
        <f t="shared" si="269"/>
        <v>#N/A</v>
      </c>
      <c r="AC1620" s="80" t="str">
        <f t="shared" si="268"/>
        <v>LCOM3</v>
      </c>
      <c r="AD1620" s="80" t="str">
        <f t="shared" si="270"/>
        <v>CLM3</v>
      </c>
      <c r="AE1620" s="80" t="str">
        <f t="shared" si="271"/>
        <v>LCON3</v>
      </c>
      <c r="AF1620" s="80" t="str">
        <f t="shared" si="272"/>
        <v>CLN3</v>
      </c>
      <c r="AG1620" s="80" t="str">
        <f t="shared" si="273"/>
        <v>LCOQ3</v>
      </c>
      <c r="AH1620" s="80" t="str">
        <f t="shared" si="274"/>
        <v>LCOU3</v>
      </c>
    </row>
    <row r="1621" spans="25:34" x14ac:dyDescent="0.35">
      <c r="Y1621" s="74">
        <f t="shared" si="265"/>
        <v>45024</v>
      </c>
      <c r="Z1621" s="74" t="e">
        <f t="shared" ca="1" si="266"/>
        <v>#N/A</v>
      </c>
      <c r="AA1621" s="80" t="str">
        <f t="shared" ca="1" si="267"/>
        <v>CLK3</v>
      </c>
      <c r="AB1621" s="74" t="e">
        <f t="shared" si="269"/>
        <v>#N/A</v>
      </c>
      <c r="AC1621" s="80" t="str">
        <f t="shared" si="268"/>
        <v>LCOM3</v>
      </c>
      <c r="AD1621" s="80" t="str">
        <f t="shared" si="270"/>
        <v>CLM3</v>
      </c>
      <c r="AE1621" s="80" t="str">
        <f t="shared" si="271"/>
        <v>LCON3</v>
      </c>
      <c r="AF1621" s="80" t="str">
        <f t="shared" si="272"/>
        <v>CLN3</v>
      </c>
      <c r="AG1621" s="80" t="str">
        <f t="shared" si="273"/>
        <v>LCOQ3</v>
      </c>
      <c r="AH1621" s="80" t="str">
        <f t="shared" si="274"/>
        <v>LCOU3</v>
      </c>
    </row>
    <row r="1622" spans="25:34" x14ac:dyDescent="0.35">
      <c r="Y1622" s="74">
        <f t="shared" si="265"/>
        <v>45025</v>
      </c>
      <c r="Z1622" s="74" t="e">
        <f t="shared" ca="1" si="266"/>
        <v>#N/A</v>
      </c>
      <c r="AA1622" s="80" t="str">
        <f t="shared" ca="1" si="267"/>
        <v>CLK3</v>
      </c>
      <c r="AB1622" s="74" t="e">
        <f t="shared" si="269"/>
        <v>#N/A</v>
      </c>
      <c r="AC1622" s="80" t="str">
        <f t="shared" si="268"/>
        <v>LCOM3</v>
      </c>
      <c r="AD1622" s="80" t="str">
        <f t="shared" si="270"/>
        <v>CLM3</v>
      </c>
      <c r="AE1622" s="80" t="str">
        <f t="shared" si="271"/>
        <v>LCON3</v>
      </c>
      <c r="AF1622" s="80" t="str">
        <f t="shared" si="272"/>
        <v>CLN3</v>
      </c>
      <c r="AG1622" s="80" t="str">
        <f t="shared" si="273"/>
        <v>LCOQ3</v>
      </c>
      <c r="AH1622" s="80" t="str">
        <f t="shared" si="274"/>
        <v>LCOU3</v>
      </c>
    </row>
    <row r="1623" spans="25:34" x14ac:dyDescent="0.35">
      <c r="Y1623" s="74">
        <f t="shared" si="265"/>
        <v>45026</v>
      </c>
      <c r="Z1623" s="74" t="e">
        <f t="shared" ca="1" si="266"/>
        <v>#N/A</v>
      </c>
      <c r="AA1623" s="80" t="str">
        <f t="shared" ca="1" si="267"/>
        <v>CLK3</v>
      </c>
      <c r="AB1623" s="74" t="e">
        <f t="shared" si="269"/>
        <v>#N/A</v>
      </c>
      <c r="AC1623" s="80" t="str">
        <f t="shared" si="268"/>
        <v>LCOM3</v>
      </c>
      <c r="AD1623" s="80" t="str">
        <f t="shared" si="270"/>
        <v>CLM3</v>
      </c>
      <c r="AE1623" s="80" t="str">
        <f t="shared" si="271"/>
        <v>LCON3</v>
      </c>
      <c r="AF1623" s="80" t="str">
        <f t="shared" si="272"/>
        <v>CLN3</v>
      </c>
      <c r="AG1623" s="80" t="str">
        <f t="shared" si="273"/>
        <v>LCOQ3</v>
      </c>
      <c r="AH1623" s="80" t="str">
        <f t="shared" si="274"/>
        <v>LCOU3</v>
      </c>
    </row>
    <row r="1624" spans="25:34" x14ac:dyDescent="0.35">
      <c r="Y1624" s="74">
        <f t="shared" si="265"/>
        <v>45027</v>
      </c>
      <c r="Z1624" s="74" t="e">
        <f t="shared" ca="1" si="266"/>
        <v>#N/A</v>
      </c>
      <c r="AA1624" s="80" t="str">
        <f t="shared" ca="1" si="267"/>
        <v>CLK3</v>
      </c>
      <c r="AB1624" s="74" t="e">
        <f t="shared" si="269"/>
        <v>#N/A</v>
      </c>
      <c r="AC1624" s="80" t="str">
        <f t="shared" si="268"/>
        <v>LCOM3</v>
      </c>
      <c r="AD1624" s="80" t="str">
        <f t="shared" si="270"/>
        <v>CLM3</v>
      </c>
      <c r="AE1624" s="80" t="str">
        <f t="shared" si="271"/>
        <v>LCON3</v>
      </c>
      <c r="AF1624" s="80" t="str">
        <f t="shared" si="272"/>
        <v>CLN3</v>
      </c>
      <c r="AG1624" s="80" t="str">
        <f t="shared" si="273"/>
        <v>LCOQ3</v>
      </c>
      <c r="AH1624" s="80" t="str">
        <f t="shared" si="274"/>
        <v>LCOU3</v>
      </c>
    </row>
    <row r="1625" spans="25:34" x14ac:dyDescent="0.35">
      <c r="Y1625" s="74">
        <f t="shared" si="265"/>
        <v>45028</v>
      </c>
      <c r="Z1625" s="74" t="e">
        <f t="shared" ca="1" si="266"/>
        <v>#N/A</v>
      </c>
      <c r="AA1625" s="80" t="str">
        <f t="shared" ca="1" si="267"/>
        <v>CLK3</v>
      </c>
      <c r="AB1625" s="74" t="e">
        <f t="shared" si="269"/>
        <v>#N/A</v>
      </c>
      <c r="AC1625" s="80" t="str">
        <f t="shared" si="268"/>
        <v>LCOM3</v>
      </c>
      <c r="AD1625" s="80" t="str">
        <f t="shared" si="270"/>
        <v>CLM3</v>
      </c>
      <c r="AE1625" s="80" t="str">
        <f t="shared" si="271"/>
        <v>LCON3</v>
      </c>
      <c r="AF1625" s="80" t="str">
        <f t="shared" si="272"/>
        <v>CLN3</v>
      </c>
      <c r="AG1625" s="80" t="str">
        <f t="shared" si="273"/>
        <v>LCOQ3</v>
      </c>
      <c r="AH1625" s="80" t="str">
        <f t="shared" si="274"/>
        <v>LCOU3</v>
      </c>
    </row>
    <row r="1626" spans="25:34" x14ac:dyDescent="0.35">
      <c r="Y1626" s="74">
        <f t="shared" si="265"/>
        <v>45029</v>
      </c>
      <c r="Z1626" s="74" t="e">
        <f t="shared" ca="1" si="266"/>
        <v>#N/A</v>
      </c>
      <c r="AA1626" s="80" t="str">
        <f t="shared" ca="1" si="267"/>
        <v>CLK3</v>
      </c>
      <c r="AB1626" s="74" t="e">
        <f t="shared" si="269"/>
        <v>#N/A</v>
      </c>
      <c r="AC1626" s="80" t="str">
        <f t="shared" si="268"/>
        <v>LCOM3</v>
      </c>
      <c r="AD1626" s="80" t="str">
        <f t="shared" si="270"/>
        <v>CLM3</v>
      </c>
      <c r="AE1626" s="80" t="str">
        <f t="shared" si="271"/>
        <v>LCON3</v>
      </c>
      <c r="AF1626" s="80" t="str">
        <f t="shared" si="272"/>
        <v>CLN3</v>
      </c>
      <c r="AG1626" s="80" t="str">
        <f t="shared" si="273"/>
        <v>LCOQ3</v>
      </c>
      <c r="AH1626" s="80" t="str">
        <f t="shared" si="274"/>
        <v>LCOU3</v>
      </c>
    </row>
    <row r="1627" spans="25:34" x14ac:dyDescent="0.35">
      <c r="Y1627" s="74">
        <f t="shared" si="265"/>
        <v>45030</v>
      </c>
      <c r="Z1627" s="74" t="e">
        <f t="shared" ca="1" si="266"/>
        <v>#N/A</v>
      </c>
      <c r="AA1627" s="80" t="str">
        <f t="shared" ca="1" si="267"/>
        <v>CLK3</v>
      </c>
      <c r="AB1627" s="74" t="e">
        <f t="shared" si="269"/>
        <v>#N/A</v>
      </c>
      <c r="AC1627" s="80" t="str">
        <f t="shared" si="268"/>
        <v>LCOM3</v>
      </c>
      <c r="AD1627" s="80" t="str">
        <f t="shared" si="270"/>
        <v>CLM3</v>
      </c>
      <c r="AE1627" s="80" t="str">
        <f t="shared" si="271"/>
        <v>LCON3</v>
      </c>
      <c r="AF1627" s="80" t="str">
        <f t="shared" si="272"/>
        <v>CLN3</v>
      </c>
      <c r="AG1627" s="80" t="str">
        <f t="shared" si="273"/>
        <v>LCOQ3</v>
      </c>
      <c r="AH1627" s="80" t="str">
        <f t="shared" si="274"/>
        <v>LCOU3</v>
      </c>
    </row>
    <row r="1628" spans="25:34" x14ac:dyDescent="0.35">
      <c r="Y1628" s="74">
        <f t="shared" si="265"/>
        <v>45031</v>
      </c>
      <c r="Z1628" s="74" t="e">
        <f t="shared" ca="1" si="266"/>
        <v>#N/A</v>
      </c>
      <c r="AA1628" s="80" t="str">
        <f t="shared" ca="1" si="267"/>
        <v>CLK3</v>
      </c>
      <c r="AB1628" s="74" t="e">
        <f t="shared" si="269"/>
        <v>#N/A</v>
      </c>
      <c r="AC1628" s="80" t="str">
        <f t="shared" si="268"/>
        <v>LCOM3</v>
      </c>
      <c r="AD1628" s="80" t="str">
        <f t="shared" si="270"/>
        <v>CLM3</v>
      </c>
      <c r="AE1628" s="80" t="str">
        <f t="shared" si="271"/>
        <v>LCON3</v>
      </c>
      <c r="AF1628" s="80" t="str">
        <f t="shared" si="272"/>
        <v>CLN3</v>
      </c>
      <c r="AG1628" s="80" t="str">
        <f t="shared" si="273"/>
        <v>LCOQ3</v>
      </c>
      <c r="AH1628" s="80" t="str">
        <f t="shared" si="274"/>
        <v>LCOU3</v>
      </c>
    </row>
    <row r="1629" spans="25:34" x14ac:dyDescent="0.35">
      <c r="Y1629" s="74">
        <f t="shared" si="265"/>
        <v>45032</v>
      </c>
      <c r="Z1629" s="74" t="e">
        <f t="shared" ca="1" si="266"/>
        <v>#N/A</v>
      </c>
      <c r="AA1629" s="80" t="str">
        <f t="shared" ca="1" si="267"/>
        <v>CLK3</v>
      </c>
      <c r="AB1629" s="74" t="e">
        <f t="shared" si="269"/>
        <v>#N/A</v>
      </c>
      <c r="AC1629" s="80" t="str">
        <f t="shared" si="268"/>
        <v>LCOM3</v>
      </c>
      <c r="AD1629" s="80" t="str">
        <f t="shared" si="270"/>
        <v>CLM3</v>
      </c>
      <c r="AE1629" s="80" t="str">
        <f t="shared" si="271"/>
        <v>LCON3</v>
      </c>
      <c r="AF1629" s="80" t="str">
        <f t="shared" si="272"/>
        <v>CLN3</v>
      </c>
      <c r="AG1629" s="80" t="str">
        <f t="shared" si="273"/>
        <v>LCOQ3</v>
      </c>
      <c r="AH1629" s="80" t="str">
        <f t="shared" si="274"/>
        <v>LCOU3</v>
      </c>
    </row>
    <row r="1630" spans="25:34" x14ac:dyDescent="0.35">
      <c r="Y1630" s="74">
        <f t="shared" si="265"/>
        <v>45033</v>
      </c>
      <c r="Z1630" s="74" t="e">
        <f t="shared" ca="1" si="266"/>
        <v>#N/A</v>
      </c>
      <c r="AA1630" s="80" t="str">
        <f t="shared" ca="1" si="267"/>
        <v>CLK3</v>
      </c>
      <c r="AB1630" s="74" t="e">
        <f t="shared" si="269"/>
        <v>#N/A</v>
      </c>
      <c r="AC1630" s="80" t="str">
        <f t="shared" si="268"/>
        <v>LCOM3</v>
      </c>
      <c r="AD1630" s="80" t="str">
        <f t="shared" si="270"/>
        <v>CLM3</v>
      </c>
      <c r="AE1630" s="80" t="str">
        <f t="shared" si="271"/>
        <v>LCON3</v>
      </c>
      <c r="AF1630" s="80" t="str">
        <f t="shared" si="272"/>
        <v>CLN3</v>
      </c>
      <c r="AG1630" s="80" t="str">
        <f t="shared" si="273"/>
        <v>LCOQ3</v>
      </c>
      <c r="AH1630" s="80" t="str">
        <f t="shared" si="274"/>
        <v>LCOU3</v>
      </c>
    </row>
    <row r="1631" spans="25:34" x14ac:dyDescent="0.35">
      <c r="Y1631" s="74">
        <f t="shared" si="265"/>
        <v>45034</v>
      </c>
      <c r="Z1631" s="74" t="e">
        <f t="shared" ca="1" si="266"/>
        <v>#N/A</v>
      </c>
      <c r="AA1631" s="80" t="str">
        <f t="shared" ca="1" si="267"/>
        <v>CLK3</v>
      </c>
      <c r="AB1631" s="74" t="e">
        <f t="shared" si="269"/>
        <v>#N/A</v>
      </c>
      <c r="AC1631" s="80" t="str">
        <f t="shared" si="268"/>
        <v>LCOM3</v>
      </c>
      <c r="AD1631" s="80" t="str">
        <f t="shared" si="270"/>
        <v>CLM3</v>
      </c>
      <c r="AE1631" s="80" t="str">
        <f t="shared" si="271"/>
        <v>LCON3</v>
      </c>
      <c r="AF1631" s="80" t="str">
        <f t="shared" si="272"/>
        <v>CLN3</v>
      </c>
      <c r="AG1631" s="80" t="str">
        <f t="shared" si="273"/>
        <v>LCOQ3</v>
      </c>
      <c r="AH1631" s="80" t="str">
        <f t="shared" si="274"/>
        <v>LCOU3</v>
      </c>
    </row>
    <row r="1632" spans="25:34" x14ac:dyDescent="0.35">
      <c r="Y1632" s="74">
        <f t="shared" si="265"/>
        <v>45035</v>
      </c>
      <c r="Z1632" s="74" t="e">
        <f t="shared" ca="1" si="266"/>
        <v>#N/A</v>
      </c>
      <c r="AA1632" s="80" t="str">
        <f t="shared" ca="1" si="267"/>
        <v>CLK3</v>
      </c>
      <c r="AB1632" s="74" t="e">
        <f t="shared" si="269"/>
        <v>#N/A</v>
      </c>
      <c r="AC1632" s="80" t="str">
        <f t="shared" si="268"/>
        <v>LCOM3</v>
      </c>
      <c r="AD1632" s="80" t="str">
        <f t="shared" si="270"/>
        <v>CLM3</v>
      </c>
      <c r="AE1632" s="80" t="str">
        <f t="shared" si="271"/>
        <v>LCON3</v>
      </c>
      <c r="AF1632" s="80" t="str">
        <f t="shared" si="272"/>
        <v>CLN3</v>
      </c>
      <c r="AG1632" s="80" t="str">
        <f t="shared" si="273"/>
        <v>LCOQ3</v>
      </c>
      <c r="AH1632" s="80" t="str">
        <f t="shared" si="274"/>
        <v>LCOU3</v>
      </c>
    </row>
    <row r="1633" spans="25:34" x14ac:dyDescent="0.35">
      <c r="Y1633" s="74">
        <f t="shared" ref="Y1633:Y1696" si="275">Y1632+1</f>
        <v>45036</v>
      </c>
      <c r="Z1633" s="74" t="e">
        <f t="shared" ca="1" si="266"/>
        <v>#N/A</v>
      </c>
      <c r="AA1633" s="80" t="str">
        <f t="shared" ca="1" si="267"/>
        <v>CLK3</v>
      </c>
      <c r="AB1633" s="74" t="e">
        <f t="shared" si="269"/>
        <v>#N/A</v>
      </c>
      <c r="AC1633" s="80" t="str">
        <f t="shared" si="268"/>
        <v>LCOM3</v>
      </c>
      <c r="AD1633" s="80" t="str">
        <f t="shared" si="270"/>
        <v>CLM3</v>
      </c>
      <c r="AE1633" s="80" t="str">
        <f t="shared" si="271"/>
        <v>LCON3</v>
      </c>
      <c r="AF1633" s="80" t="str">
        <f t="shared" si="272"/>
        <v>CLN3</v>
      </c>
      <c r="AG1633" s="80" t="str">
        <f t="shared" si="273"/>
        <v>LCOQ3</v>
      </c>
      <c r="AH1633" s="80" t="str">
        <f t="shared" si="274"/>
        <v>LCOU3</v>
      </c>
    </row>
    <row r="1634" spans="25:34" x14ac:dyDescent="0.35">
      <c r="Y1634" s="74">
        <f t="shared" si="275"/>
        <v>45037</v>
      </c>
      <c r="Z1634" s="74" t="e">
        <f t="shared" ca="1" si="266"/>
        <v>#N/A</v>
      </c>
      <c r="AA1634" s="80" t="str">
        <f t="shared" ca="1" si="267"/>
        <v>CLM3</v>
      </c>
      <c r="AB1634" s="74" t="e">
        <f t="shared" si="269"/>
        <v>#N/A</v>
      </c>
      <c r="AC1634" s="80" t="str">
        <f t="shared" si="268"/>
        <v>LCOM3</v>
      </c>
      <c r="AD1634" s="80" t="str">
        <f t="shared" si="270"/>
        <v>CLM3</v>
      </c>
      <c r="AE1634" s="80" t="str">
        <f t="shared" si="271"/>
        <v>LCON3</v>
      </c>
      <c r="AF1634" s="80" t="str">
        <f t="shared" si="272"/>
        <v>CLN3</v>
      </c>
      <c r="AG1634" s="80" t="str">
        <f t="shared" si="273"/>
        <v>LCOQ3</v>
      </c>
      <c r="AH1634" s="80" t="str">
        <f t="shared" si="274"/>
        <v>LCOU3</v>
      </c>
    </row>
    <row r="1635" spans="25:34" x14ac:dyDescent="0.35">
      <c r="Y1635" s="74">
        <f t="shared" si="275"/>
        <v>45038</v>
      </c>
      <c r="Z1635" s="74" t="e">
        <f t="shared" ca="1" si="266"/>
        <v>#N/A</v>
      </c>
      <c r="AA1635" s="80" t="str">
        <f t="shared" ca="1" si="267"/>
        <v>CLM3</v>
      </c>
      <c r="AB1635" s="74" t="e">
        <f t="shared" si="269"/>
        <v>#N/A</v>
      </c>
      <c r="AC1635" s="80" t="str">
        <f t="shared" si="268"/>
        <v>LCOM3</v>
      </c>
      <c r="AD1635" s="80" t="str">
        <f t="shared" si="270"/>
        <v>CLM3</v>
      </c>
      <c r="AE1635" s="80" t="str">
        <f t="shared" si="271"/>
        <v>LCON3</v>
      </c>
      <c r="AF1635" s="80" t="str">
        <f t="shared" si="272"/>
        <v>CLN3</v>
      </c>
      <c r="AG1635" s="80" t="str">
        <f t="shared" si="273"/>
        <v>LCOQ3</v>
      </c>
      <c r="AH1635" s="80" t="str">
        <f t="shared" si="274"/>
        <v>LCOU3</v>
      </c>
    </row>
    <row r="1636" spans="25:34" x14ac:dyDescent="0.35">
      <c r="Y1636" s="74">
        <f t="shared" si="275"/>
        <v>45039</v>
      </c>
      <c r="Z1636" s="74" t="e">
        <f t="shared" ca="1" si="266"/>
        <v>#N/A</v>
      </c>
      <c r="AA1636" s="80" t="str">
        <f t="shared" ca="1" si="267"/>
        <v>CLM3</v>
      </c>
      <c r="AB1636" s="74" t="e">
        <f t="shared" si="269"/>
        <v>#N/A</v>
      </c>
      <c r="AC1636" s="80" t="str">
        <f t="shared" si="268"/>
        <v>LCOM3</v>
      </c>
      <c r="AD1636" s="80" t="str">
        <f t="shared" si="270"/>
        <v>CLM3</v>
      </c>
      <c r="AE1636" s="80" t="str">
        <f t="shared" si="271"/>
        <v>LCON3</v>
      </c>
      <c r="AF1636" s="80" t="str">
        <f t="shared" si="272"/>
        <v>CLN3</v>
      </c>
      <c r="AG1636" s="80" t="str">
        <f t="shared" si="273"/>
        <v>LCOQ3</v>
      </c>
      <c r="AH1636" s="80" t="str">
        <f t="shared" si="274"/>
        <v>LCOU3</v>
      </c>
    </row>
    <row r="1637" spans="25:34" x14ac:dyDescent="0.35">
      <c r="Y1637" s="74">
        <f t="shared" si="275"/>
        <v>45040</v>
      </c>
      <c r="Z1637" s="74" t="e">
        <f t="shared" ca="1" si="266"/>
        <v>#N/A</v>
      </c>
      <c r="AA1637" s="80" t="str">
        <f t="shared" ca="1" si="267"/>
        <v>CLM3</v>
      </c>
      <c r="AB1637" s="74" t="e">
        <f t="shared" si="269"/>
        <v>#N/A</v>
      </c>
      <c r="AC1637" s="80" t="str">
        <f t="shared" si="268"/>
        <v>LCOM3</v>
      </c>
      <c r="AD1637" s="80" t="str">
        <f t="shared" si="270"/>
        <v>CLM3</v>
      </c>
      <c r="AE1637" s="80" t="str">
        <f t="shared" si="271"/>
        <v>LCON3</v>
      </c>
      <c r="AF1637" s="80" t="str">
        <f t="shared" si="272"/>
        <v>CLN3</v>
      </c>
      <c r="AG1637" s="80" t="str">
        <f t="shared" si="273"/>
        <v>LCOQ3</v>
      </c>
      <c r="AH1637" s="80" t="str">
        <f t="shared" si="274"/>
        <v>LCOU3</v>
      </c>
    </row>
    <row r="1638" spans="25:34" x14ac:dyDescent="0.35">
      <c r="Y1638" s="74">
        <f t="shared" si="275"/>
        <v>45041</v>
      </c>
      <c r="Z1638" s="74" t="e">
        <f t="shared" ca="1" si="266"/>
        <v>#N/A</v>
      </c>
      <c r="AA1638" s="80" t="str">
        <f t="shared" ca="1" si="267"/>
        <v>CLM3</v>
      </c>
      <c r="AB1638" s="74" t="e">
        <f t="shared" si="269"/>
        <v>#N/A</v>
      </c>
      <c r="AC1638" s="80" t="str">
        <f t="shared" si="268"/>
        <v>LCOM3</v>
      </c>
      <c r="AD1638" s="80" t="str">
        <f t="shared" si="270"/>
        <v>CLM3</v>
      </c>
      <c r="AE1638" s="80" t="str">
        <f t="shared" si="271"/>
        <v>LCON3</v>
      </c>
      <c r="AF1638" s="80" t="str">
        <f t="shared" si="272"/>
        <v>CLN3</v>
      </c>
      <c r="AG1638" s="80" t="str">
        <f t="shared" si="273"/>
        <v>LCOQ3</v>
      </c>
      <c r="AH1638" s="80" t="str">
        <f t="shared" si="274"/>
        <v>LCOU3</v>
      </c>
    </row>
    <row r="1639" spans="25:34" x14ac:dyDescent="0.35">
      <c r="Y1639" s="74">
        <f t="shared" si="275"/>
        <v>45042</v>
      </c>
      <c r="Z1639" s="74" t="e">
        <f t="shared" ca="1" si="266"/>
        <v>#N/A</v>
      </c>
      <c r="AA1639" s="80" t="str">
        <f t="shared" ca="1" si="267"/>
        <v>CLM3</v>
      </c>
      <c r="AB1639" s="74" t="e">
        <f t="shared" si="269"/>
        <v>#N/A</v>
      </c>
      <c r="AC1639" s="80" t="str">
        <f t="shared" si="268"/>
        <v>LCOM3</v>
      </c>
      <c r="AD1639" s="80" t="str">
        <f t="shared" si="270"/>
        <v>CLM3</v>
      </c>
      <c r="AE1639" s="80" t="str">
        <f t="shared" si="271"/>
        <v>LCON3</v>
      </c>
      <c r="AF1639" s="80" t="str">
        <f t="shared" si="272"/>
        <v>CLN3</v>
      </c>
      <c r="AG1639" s="80" t="str">
        <f t="shared" si="273"/>
        <v>LCOQ3</v>
      </c>
      <c r="AH1639" s="80" t="str">
        <f t="shared" si="274"/>
        <v>LCOU3</v>
      </c>
    </row>
    <row r="1640" spans="25:34" x14ac:dyDescent="0.35">
      <c r="Y1640" s="74">
        <f t="shared" si="275"/>
        <v>45043</v>
      </c>
      <c r="Z1640" s="74" t="e">
        <f t="shared" ca="1" si="266"/>
        <v>#N/A</v>
      </c>
      <c r="AA1640" s="80" t="str">
        <f t="shared" ca="1" si="267"/>
        <v>CLM3</v>
      </c>
      <c r="AB1640" s="74" t="e">
        <f t="shared" si="269"/>
        <v>#N/A</v>
      </c>
      <c r="AC1640" s="80" t="str">
        <f t="shared" si="268"/>
        <v>LCOM3</v>
      </c>
      <c r="AD1640" s="80" t="str">
        <f t="shared" si="270"/>
        <v>CLM3</v>
      </c>
      <c r="AE1640" s="80" t="str">
        <f t="shared" si="271"/>
        <v>LCON3</v>
      </c>
      <c r="AF1640" s="80" t="str">
        <f t="shared" si="272"/>
        <v>CLN3</v>
      </c>
      <c r="AG1640" s="80" t="str">
        <f t="shared" si="273"/>
        <v>LCOQ3</v>
      </c>
      <c r="AH1640" s="80" t="str">
        <f t="shared" si="274"/>
        <v>LCOU3</v>
      </c>
    </row>
    <row r="1641" spans="25:34" x14ac:dyDescent="0.35">
      <c r="Y1641" s="74">
        <f t="shared" si="275"/>
        <v>45044</v>
      </c>
      <c r="Z1641" s="74" t="e">
        <f t="shared" ca="1" si="266"/>
        <v>#N/A</v>
      </c>
      <c r="AA1641" s="80" t="str">
        <f t="shared" ca="1" si="267"/>
        <v>CLM3</v>
      </c>
      <c r="AB1641" s="74" t="e">
        <f t="shared" si="269"/>
        <v>#N/A</v>
      </c>
      <c r="AC1641" s="80" t="str">
        <f t="shared" si="268"/>
        <v>LCOM3</v>
      </c>
      <c r="AD1641" s="80" t="str">
        <f t="shared" si="270"/>
        <v>CLM3</v>
      </c>
      <c r="AE1641" s="80" t="str">
        <f t="shared" si="271"/>
        <v>LCON3</v>
      </c>
      <c r="AF1641" s="80" t="str">
        <f t="shared" si="272"/>
        <v>CLN3</v>
      </c>
      <c r="AG1641" s="80" t="str">
        <f t="shared" si="273"/>
        <v>LCOQ3</v>
      </c>
      <c r="AH1641" s="80" t="str">
        <f t="shared" si="274"/>
        <v>LCOU3</v>
      </c>
    </row>
    <row r="1642" spans="25:34" x14ac:dyDescent="0.35">
      <c r="Y1642" s="74">
        <f t="shared" si="275"/>
        <v>45045</v>
      </c>
      <c r="Z1642" s="74" t="e">
        <f t="shared" ca="1" si="266"/>
        <v>#N/A</v>
      </c>
      <c r="AA1642" s="80" t="str">
        <f t="shared" ca="1" si="267"/>
        <v>CLM3</v>
      </c>
      <c r="AB1642" s="74" t="e">
        <f t="shared" si="269"/>
        <v>#N/A</v>
      </c>
      <c r="AC1642" s="80" t="str">
        <f t="shared" si="268"/>
        <v>LCON3</v>
      </c>
      <c r="AD1642" s="80" t="str">
        <f t="shared" si="270"/>
        <v>CLN3</v>
      </c>
      <c r="AE1642" s="80" t="str">
        <f t="shared" si="271"/>
        <v>LCOQ3</v>
      </c>
      <c r="AF1642" s="80" t="str">
        <f t="shared" si="272"/>
        <v>CLQ3</v>
      </c>
      <c r="AG1642" s="80" t="str">
        <f t="shared" si="273"/>
        <v>LCOU3</v>
      </c>
      <c r="AH1642" s="80" t="str">
        <f t="shared" si="274"/>
        <v>LCOV3</v>
      </c>
    </row>
    <row r="1643" spans="25:34" x14ac:dyDescent="0.35">
      <c r="Y1643" s="74">
        <f t="shared" si="275"/>
        <v>45046</v>
      </c>
      <c r="Z1643" s="74" t="e">
        <f t="shared" ca="1" si="266"/>
        <v>#N/A</v>
      </c>
      <c r="AA1643" s="80" t="str">
        <f t="shared" ca="1" si="267"/>
        <v>CLM3</v>
      </c>
      <c r="AB1643" s="74" t="e">
        <f t="shared" si="269"/>
        <v>#N/A</v>
      </c>
      <c r="AC1643" s="80" t="str">
        <f t="shared" si="268"/>
        <v>LCON3</v>
      </c>
      <c r="AD1643" s="80" t="str">
        <f t="shared" si="270"/>
        <v>CLN3</v>
      </c>
      <c r="AE1643" s="80" t="str">
        <f t="shared" si="271"/>
        <v>LCOQ3</v>
      </c>
      <c r="AF1643" s="80" t="str">
        <f t="shared" si="272"/>
        <v>CLQ3</v>
      </c>
      <c r="AG1643" s="80" t="str">
        <f t="shared" si="273"/>
        <v>LCOU3</v>
      </c>
      <c r="AH1643" s="80" t="str">
        <f t="shared" si="274"/>
        <v>LCOV3</v>
      </c>
    </row>
    <row r="1644" spans="25:34" x14ac:dyDescent="0.35">
      <c r="Y1644" s="74">
        <f t="shared" si="275"/>
        <v>45047</v>
      </c>
      <c r="Z1644" s="74" t="e">
        <f t="shared" ca="1" si="266"/>
        <v>#N/A</v>
      </c>
      <c r="AA1644" s="80" t="str">
        <f t="shared" ca="1" si="267"/>
        <v>CLM3</v>
      </c>
      <c r="AB1644" s="74" t="e">
        <f t="shared" si="269"/>
        <v>#N/A</v>
      </c>
      <c r="AC1644" s="80" t="str">
        <f t="shared" si="268"/>
        <v>LCON3</v>
      </c>
      <c r="AD1644" s="80" t="str">
        <f t="shared" si="270"/>
        <v>CLN3</v>
      </c>
      <c r="AE1644" s="80" t="str">
        <f t="shared" si="271"/>
        <v>LCOQ3</v>
      </c>
      <c r="AF1644" s="80" t="str">
        <f t="shared" si="272"/>
        <v>CLQ3</v>
      </c>
      <c r="AG1644" s="80" t="str">
        <f t="shared" si="273"/>
        <v>LCOU3</v>
      </c>
      <c r="AH1644" s="80" t="str">
        <f t="shared" si="274"/>
        <v>LCOV3</v>
      </c>
    </row>
    <row r="1645" spans="25:34" x14ac:dyDescent="0.35">
      <c r="Y1645" s="74">
        <f t="shared" si="275"/>
        <v>45048</v>
      </c>
      <c r="Z1645" s="74" t="e">
        <f t="shared" ca="1" si="266"/>
        <v>#N/A</v>
      </c>
      <c r="AA1645" s="80" t="str">
        <f t="shared" ca="1" si="267"/>
        <v>CLM3</v>
      </c>
      <c r="AB1645" s="74" t="e">
        <f t="shared" si="269"/>
        <v>#N/A</v>
      </c>
      <c r="AC1645" s="80" t="str">
        <f t="shared" si="268"/>
        <v>LCON3</v>
      </c>
      <c r="AD1645" s="80" t="str">
        <f t="shared" si="270"/>
        <v>CLN3</v>
      </c>
      <c r="AE1645" s="80" t="str">
        <f t="shared" si="271"/>
        <v>LCOQ3</v>
      </c>
      <c r="AF1645" s="80" t="str">
        <f t="shared" si="272"/>
        <v>CLQ3</v>
      </c>
      <c r="AG1645" s="80" t="str">
        <f t="shared" si="273"/>
        <v>LCOU3</v>
      </c>
      <c r="AH1645" s="80" t="str">
        <f t="shared" si="274"/>
        <v>LCOV3</v>
      </c>
    </row>
    <row r="1646" spans="25:34" x14ac:dyDescent="0.35">
      <c r="Y1646" s="74">
        <f t="shared" si="275"/>
        <v>45049</v>
      </c>
      <c r="Z1646" s="74" t="e">
        <f t="shared" ca="1" si="266"/>
        <v>#N/A</v>
      </c>
      <c r="AA1646" s="80" t="str">
        <f t="shared" ca="1" si="267"/>
        <v>CLM3</v>
      </c>
      <c r="AB1646" s="74" t="e">
        <f t="shared" si="269"/>
        <v>#N/A</v>
      </c>
      <c r="AC1646" s="80" t="str">
        <f t="shared" si="268"/>
        <v>LCON3</v>
      </c>
      <c r="AD1646" s="80" t="str">
        <f t="shared" si="270"/>
        <v>CLN3</v>
      </c>
      <c r="AE1646" s="80" t="str">
        <f t="shared" si="271"/>
        <v>LCOQ3</v>
      </c>
      <c r="AF1646" s="80" t="str">
        <f t="shared" si="272"/>
        <v>CLQ3</v>
      </c>
      <c r="AG1646" s="80" t="str">
        <f t="shared" si="273"/>
        <v>LCOU3</v>
      </c>
      <c r="AH1646" s="80" t="str">
        <f t="shared" si="274"/>
        <v>LCOV3</v>
      </c>
    </row>
    <row r="1647" spans="25:34" x14ac:dyDescent="0.35">
      <c r="Y1647" s="74">
        <f t="shared" si="275"/>
        <v>45050</v>
      </c>
      <c r="Z1647" s="74" t="e">
        <f t="shared" ca="1" si="266"/>
        <v>#N/A</v>
      </c>
      <c r="AA1647" s="80" t="str">
        <f t="shared" ca="1" si="267"/>
        <v>CLM3</v>
      </c>
      <c r="AB1647" s="74" t="e">
        <f t="shared" si="269"/>
        <v>#N/A</v>
      </c>
      <c r="AC1647" s="80" t="str">
        <f t="shared" si="268"/>
        <v>LCON3</v>
      </c>
      <c r="AD1647" s="80" t="str">
        <f t="shared" si="270"/>
        <v>CLN3</v>
      </c>
      <c r="AE1647" s="80" t="str">
        <f t="shared" si="271"/>
        <v>LCOQ3</v>
      </c>
      <c r="AF1647" s="80" t="str">
        <f t="shared" si="272"/>
        <v>CLQ3</v>
      </c>
      <c r="AG1647" s="80" t="str">
        <f t="shared" si="273"/>
        <v>LCOU3</v>
      </c>
      <c r="AH1647" s="80" t="str">
        <f t="shared" si="274"/>
        <v>LCOV3</v>
      </c>
    </row>
    <row r="1648" spans="25:34" x14ac:dyDescent="0.35">
      <c r="Y1648" s="74">
        <f t="shared" si="275"/>
        <v>45051</v>
      </c>
      <c r="Z1648" s="74" t="e">
        <f t="shared" ca="1" si="266"/>
        <v>#N/A</v>
      </c>
      <c r="AA1648" s="80" t="str">
        <f t="shared" ca="1" si="267"/>
        <v>CLM3</v>
      </c>
      <c r="AB1648" s="74" t="e">
        <f t="shared" si="269"/>
        <v>#N/A</v>
      </c>
      <c r="AC1648" s="80" t="str">
        <f t="shared" si="268"/>
        <v>LCON3</v>
      </c>
      <c r="AD1648" s="80" t="str">
        <f t="shared" si="270"/>
        <v>CLN3</v>
      </c>
      <c r="AE1648" s="80" t="str">
        <f t="shared" si="271"/>
        <v>LCOQ3</v>
      </c>
      <c r="AF1648" s="80" t="str">
        <f t="shared" si="272"/>
        <v>CLQ3</v>
      </c>
      <c r="AG1648" s="80" t="str">
        <f t="shared" si="273"/>
        <v>LCOU3</v>
      </c>
      <c r="AH1648" s="80" t="str">
        <f t="shared" si="274"/>
        <v>LCOV3</v>
      </c>
    </row>
    <row r="1649" spans="25:34" x14ac:dyDescent="0.35">
      <c r="Y1649" s="74">
        <f t="shared" si="275"/>
        <v>45052</v>
      </c>
      <c r="Z1649" s="74" t="e">
        <f t="shared" ca="1" si="266"/>
        <v>#N/A</v>
      </c>
      <c r="AA1649" s="80" t="str">
        <f t="shared" ca="1" si="267"/>
        <v>CLM3</v>
      </c>
      <c r="AB1649" s="74" t="e">
        <f t="shared" si="269"/>
        <v>#N/A</v>
      </c>
      <c r="AC1649" s="80" t="str">
        <f t="shared" si="268"/>
        <v>LCON3</v>
      </c>
      <c r="AD1649" s="80" t="str">
        <f t="shared" si="270"/>
        <v>CLN3</v>
      </c>
      <c r="AE1649" s="80" t="str">
        <f t="shared" si="271"/>
        <v>LCOQ3</v>
      </c>
      <c r="AF1649" s="80" t="str">
        <f t="shared" si="272"/>
        <v>CLQ3</v>
      </c>
      <c r="AG1649" s="80" t="str">
        <f t="shared" si="273"/>
        <v>LCOU3</v>
      </c>
      <c r="AH1649" s="80" t="str">
        <f t="shared" si="274"/>
        <v>LCOV3</v>
      </c>
    </row>
    <row r="1650" spans="25:34" x14ac:dyDescent="0.35">
      <c r="Y1650" s="74">
        <f t="shared" si="275"/>
        <v>45053</v>
      </c>
      <c r="Z1650" s="74" t="e">
        <f t="shared" ca="1" si="266"/>
        <v>#N/A</v>
      </c>
      <c r="AA1650" s="80" t="str">
        <f t="shared" ca="1" si="267"/>
        <v>CLM3</v>
      </c>
      <c r="AB1650" s="74" t="e">
        <f t="shared" si="269"/>
        <v>#N/A</v>
      </c>
      <c r="AC1650" s="80" t="str">
        <f t="shared" si="268"/>
        <v>LCON3</v>
      </c>
      <c r="AD1650" s="80" t="str">
        <f t="shared" si="270"/>
        <v>CLN3</v>
      </c>
      <c r="AE1650" s="80" t="str">
        <f t="shared" si="271"/>
        <v>LCOQ3</v>
      </c>
      <c r="AF1650" s="80" t="str">
        <f t="shared" si="272"/>
        <v>CLQ3</v>
      </c>
      <c r="AG1650" s="80" t="str">
        <f t="shared" si="273"/>
        <v>LCOU3</v>
      </c>
      <c r="AH1650" s="80" t="str">
        <f t="shared" si="274"/>
        <v>LCOV3</v>
      </c>
    </row>
    <row r="1651" spans="25:34" x14ac:dyDescent="0.35">
      <c r="Y1651" s="74">
        <f t="shared" si="275"/>
        <v>45054</v>
      </c>
      <c r="Z1651" s="74" t="e">
        <f t="shared" ca="1" si="266"/>
        <v>#N/A</v>
      </c>
      <c r="AA1651" s="80" t="str">
        <f t="shared" ca="1" si="267"/>
        <v>CLM3</v>
      </c>
      <c r="AB1651" s="74" t="e">
        <f t="shared" si="269"/>
        <v>#N/A</v>
      </c>
      <c r="AC1651" s="80" t="str">
        <f t="shared" si="268"/>
        <v>LCON3</v>
      </c>
      <c r="AD1651" s="80" t="str">
        <f t="shared" si="270"/>
        <v>CLN3</v>
      </c>
      <c r="AE1651" s="80" t="str">
        <f t="shared" si="271"/>
        <v>LCOQ3</v>
      </c>
      <c r="AF1651" s="80" t="str">
        <f t="shared" si="272"/>
        <v>CLQ3</v>
      </c>
      <c r="AG1651" s="80" t="str">
        <f t="shared" si="273"/>
        <v>LCOU3</v>
      </c>
      <c r="AH1651" s="80" t="str">
        <f t="shared" si="274"/>
        <v>LCOV3</v>
      </c>
    </row>
    <row r="1652" spans="25:34" x14ac:dyDescent="0.35">
      <c r="Y1652" s="74">
        <f t="shared" si="275"/>
        <v>45055</v>
      </c>
      <c r="Z1652" s="74" t="e">
        <f t="shared" ca="1" si="266"/>
        <v>#N/A</v>
      </c>
      <c r="AA1652" s="80" t="str">
        <f t="shared" ca="1" si="267"/>
        <v>CLM3</v>
      </c>
      <c r="AB1652" s="74" t="e">
        <f t="shared" si="269"/>
        <v>#N/A</v>
      </c>
      <c r="AC1652" s="80" t="str">
        <f t="shared" si="268"/>
        <v>LCON3</v>
      </c>
      <c r="AD1652" s="80" t="str">
        <f t="shared" si="270"/>
        <v>CLN3</v>
      </c>
      <c r="AE1652" s="80" t="str">
        <f t="shared" si="271"/>
        <v>LCOQ3</v>
      </c>
      <c r="AF1652" s="80" t="str">
        <f t="shared" si="272"/>
        <v>CLQ3</v>
      </c>
      <c r="AG1652" s="80" t="str">
        <f t="shared" si="273"/>
        <v>LCOU3</v>
      </c>
      <c r="AH1652" s="80" t="str">
        <f t="shared" si="274"/>
        <v>LCOV3</v>
      </c>
    </row>
    <row r="1653" spans="25:34" x14ac:dyDescent="0.35">
      <c r="Y1653" s="74">
        <f t="shared" si="275"/>
        <v>45056</v>
      </c>
      <c r="Z1653" s="74" t="e">
        <f t="shared" ca="1" si="266"/>
        <v>#N/A</v>
      </c>
      <c r="AA1653" s="80" t="str">
        <f t="shared" ca="1" si="267"/>
        <v>CLM3</v>
      </c>
      <c r="AB1653" s="74" t="e">
        <f t="shared" si="269"/>
        <v>#N/A</v>
      </c>
      <c r="AC1653" s="80" t="str">
        <f t="shared" si="268"/>
        <v>LCON3</v>
      </c>
      <c r="AD1653" s="80" t="str">
        <f t="shared" si="270"/>
        <v>CLN3</v>
      </c>
      <c r="AE1653" s="80" t="str">
        <f t="shared" si="271"/>
        <v>LCOQ3</v>
      </c>
      <c r="AF1653" s="80" t="str">
        <f t="shared" si="272"/>
        <v>CLQ3</v>
      </c>
      <c r="AG1653" s="80" t="str">
        <f t="shared" si="273"/>
        <v>LCOU3</v>
      </c>
      <c r="AH1653" s="80" t="str">
        <f t="shared" si="274"/>
        <v>LCOV3</v>
      </c>
    </row>
    <row r="1654" spans="25:34" x14ac:dyDescent="0.35">
      <c r="Y1654" s="74">
        <f t="shared" si="275"/>
        <v>45057</v>
      </c>
      <c r="Z1654" s="74" t="e">
        <f t="shared" ca="1" si="266"/>
        <v>#N/A</v>
      </c>
      <c r="AA1654" s="80" t="str">
        <f t="shared" ca="1" si="267"/>
        <v>CLM3</v>
      </c>
      <c r="AB1654" s="74" t="e">
        <f t="shared" si="269"/>
        <v>#N/A</v>
      </c>
      <c r="AC1654" s="80" t="str">
        <f t="shared" si="268"/>
        <v>LCON3</v>
      </c>
      <c r="AD1654" s="80" t="str">
        <f t="shared" si="270"/>
        <v>CLN3</v>
      </c>
      <c r="AE1654" s="80" t="str">
        <f t="shared" si="271"/>
        <v>LCOQ3</v>
      </c>
      <c r="AF1654" s="80" t="str">
        <f t="shared" si="272"/>
        <v>CLQ3</v>
      </c>
      <c r="AG1654" s="80" t="str">
        <f t="shared" si="273"/>
        <v>LCOU3</v>
      </c>
      <c r="AH1654" s="80" t="str">
        <f t="shared" si="274"/>
        <v>LCOV3</v>
      </c>
    </row>
    <row r="1655" spans="25:34" x14ac:dyDescent="0.35">
      <c r="Y1655" s="74">
        <f t="shared" si="275"/>
        <v>45058</v>
      </c>
      <c r="Z1655" s="74" t="e">
        <f t="shared" ca="1" si="266"/>
        <v>#N/A</v>
      </c>
      <c r="AA1655" s="80" t="str">
        <f t="shared" ca="1" si="267"/>
        <v>CLM3</v>
      </c>
      <c r="AB1655" s="74" t="e">
        <f t="shared" si="269"/>
        <v>#N/A</v>
      </c>
      <c r="AC1655" s="80" t="str">
        <f t="shared" si="268"/>
        <v>LCON3</v>
      </c>
      <c r="AD1655" s="80" t="str">
        <f t="shared" si="270"/>
        <v>CLN3</v>
      </c>
      <c r="AE1655" s="80" t="str">
        <f t="shared" si="271"/>
        <v>LCOQ3</v>
      </c>
      <c r="AF1655" s="80" t="str">
        <f t="shared" si="272"/>
        <v>CLQ3</v>
      </c>
      <c r="AG1655" s="80" t="str">
        <f t="shared" si="273"/>
        <v>LCOU3</v>
      </c>
      <c r="AH1655" s="80" t="str">
        <f t="shared" si="274"/>
        <v>LCOV3</v>
      </c>
    </row>
    <row r="1656" spans="25:34" x14ac:dyDescent="0.35">
      <c r="Y1656" s="74">
        <f t="shared" si="275"/>
        <v>45059</v>
      </c>
      <c r="Z1656" s="74" t="e">
        <f t="shared" ca="1" si="266"/>
        <v>#N/A</v>
      </c>
      <c r="AA1656" s="80" t="str">
        <f t="shared" ca="1" si="267"/>
        <v>CLM3</v>
      </c>
      <c r="AB1656" s="74" t="e">
        <f t="shared" si="269"/>
        <v>#N/A</v>
      </c>
      <c r="AC1656" s="80" t="str">
        <f t="shared" si="268"/>
        <v>LCON3</v>
      </c>
      <c r="AD1656" s="80" t="str">
        <f t="shared" si="270"/>
        <v>CLN3</v>
      </c>
      <c r="AE1656" s="80" t="str">
        <f t="shared" si="271"/>
        <v>LCOQ3</v>
      </c>
      <c r="AF1656" s="80" t="str">
        <f t="shared" si="272"/>
        <v>CLQ3</v>
      </c>
      <c r="AG1656" s="80" t="str">
        <f t="shared" si="273"/>
        <v>LCOU3</v>
      </c>
      <c r="AH1656" s="80" t="str">
        <f t="shared" si="274"/>
        <v>LCOV3</v>
      </c>
    </row>
    <row r="1657" spans="25:34" x14ac:dyDescent="0.35">
      <c r="Y1657" s="74">
        <f t="shared" si="275"/>
        <v>45060</v>
      </c>
      <c r="Z1657" s="74" t="e">
        <f t="shared" ca="1" si="266"/>
        <v>#N/A</v>
      </c>
      <c r="AA1657" s="80" t="str">
        <f t="shared" ca="1" si="267"/>
        <v>CLM3</v>
      </c>
      <c r="AB1657" s="74" t="e">
        <f t="shared" si="269"/>
        <v>#N/A</v>
      </c>
      <c r="AC1657" s="80" t="str">
        <f t="shared" si="268"/>
        <v>LCON3</v>
      </c>
      <c r="AD1657" s="80" t="str">
        <f t="shared" si="270"/>
        <v>CLN3</v>
      </c>
      <c r="AE1657" s="80" t="str">
        <f t="shared" si="271"/>
        <v>LCOQ3</v>
      </c>
      <c r="AF1657" s="80" t="str">
        <f t="shared" si="272"/>
        <v>CLQ3</v>
      </c>
      <c r="AG1657" s="80" t="str">
        <f t="shared" si="273"/>
        <v>LCOU3</v>
      </c>
      <c r="AH1657" s="80" t="str">
        <f t="shared" si="274"/>
        <v>LCOV3</v>
      </c>
    </row>
    <row r="1658" spans="25:34" x14ac:dyDescent="0.35">
      <c r="Y1658" s="74">
        <f t="shared" si="275"/>
        <v>45061</v>
      </c>
      <c r="Z1658" s="74" t="e">
        <f t="shared" ca="1" si="266"/>
        <v>#N/A</v>
      </c>
      <c r="AA1658" s="80" t="str">
        <f t="shared" ca="1" si="267"/>
        <v>CLM3</v>
      </c>
      <c r="AB1658" s="74" t="e">
        <f t="shared" si="269"/>
        <v>#N/A</v>
      </c>
      <c r="AC1658" s="80" t="str">
        <f t="shared" si="268"/>
        <v>LCON3</v>
      </c>
      <c r="AD1658" s="80" t="str">
        <f t="shared" si="270"/>
        <v>CLN3</v>
      </c>
      <c r="AE1658" s="80" t="str">
        <f t="shared" si="271"/>
        <v>LCOQ3</v>
      </c>
      <c r="AF1658" s="80" t="str">
        <f t="shared" si="272"/>
        <v>CLQ3</v>
      </c>
      <c r="AG1658" s="80" t="str">
        <f t="shared" si="273"/>
        <v>LCOU3</v>
      </c>
      <c r="AH1658" s="80" t="str">
        <f t="shared" si="274"/>
        <v>LCOV3</v>
      </c>
    </row>
    <row r="1659" spans="25:34" x14ac:dyDescent="0.35">
      <c r="Y1659" s="74">
        <f t="shared" si="275"/>
        <v>45062</v>
      </c>
      <c r="Z1659" s="74" t="e">
        <f t="shared" ca="1" si="266"/>
        <v>#N/A</v>
      </c>
      <c r="AA1659" s="80" t="str">
        <f t="shared" ca="1" si="267"/>
        <v>CLM3</v>
      </c>
      <c r="AB1659" s="74" t="e">
        <f t="shared" si="269"/>
        <v>#N/A</v>
      </c>
      <c r="AC1659" s="80" t="str">
        <f t="shared" si="268"/>
        <v>LCON3</v>
      </c>
      <c r="AD1659" s="80" t="str">
        <f t="shared" si="270"/>
        <v>CLN3</v>
      </c>
      <c r="AE1659" s="80" t="str">
        <f t="shared" si="271"/>
        <v>LCOQ3</v>
      </c>
      <c r="AF1659" s="80" t="str">
        <f t="shared" si="272"/>
        <v>CLQ3</v>
      </c>
      <c r="AG1659" s="80" t="str">
        <f t="shared" si="273"/>
        <v>LCOU3</v>
      </c>
      <c r="AH1659" s="80" t="str">
        <f t="shared" si="274"/>
        <v>LCOV3</v>
      </c>
    </row>
    <row r="1660" spans="25:34" x14ac:dyDescent="0.35">
      <c r="Y1660" s="74">
        <f t="shared" si="275"/>
        <v>45063</v>
      </c>
      <c r="Z1660" s="74" t="e">
        <f t="shared" ca="1" si="266"/>
        <v>#N/A</v>
      </c>
      <c r="AA1660" s="80" t="str">
        <f t="shared" ca="1" si="267"/>
        <v>CLM3</v>
      </c>
      <c r="AB1660" s="74" t="e">
        <f t="shared" si="269"/>
        <v>#N/A</v>
      </c>
      <c r="AC1660" s="80" t="str">
        <f t="shared" si="268"/>
        <v>LCON3</v>
      </c>
      <c r="AD1660" s="80" t="str">
        <f t="shared" si="270"/>
        <v>CLN3</v>
      </c>
      <c r="AE1660" s="80" t="str">
        <f t="shared" si="271"/>
        <v>LCOQ3</v>
      </c>
      <c r="AF1660" s="80" t="str">
        <f t="shared" si="272"/>
        <v>CLQ3</v>
      </c>
      <c r="AG1660" s="80" t="str">
        <f t="shared" si="273"/>
        <v>LCOU3</v>
      </c>
      <c r="AH1660" s="80" t="str">
        <f t="shared" si="274"/>
        <v>LCOV3</v>
      </c>
    </row>
    <row r="1661" spans="25:34" x14ac:dyDescent="0.35">
      <c r="Y1661" s="74">
        <f t="shared" si="275"/>
        <v>45064</v>
      </c>
      <c r="Z1661" s="74" t="e">
        <f t="shared" ca="1" si="266"/>
        <v>#N/A</v>
      </c>
      <c r="AA1661" s="80" t="str">
        <f t="shared" ca="1" si="267"/>
        <v>CLM3</v>
      </c>
      <c r="AB1661" s="74" t="e">
        <f t="shared" si="269"/>
        <v>#N/A</v>
      </c>
      <c r="AC1661" s="80" t="str">
        <f t="shared" si="268"/>
        <v>LCON3</v>
      </c>
      <c r="AD1661" s="80" t="str">
        <f t="shared" si="270"/>
        <v>CLN3</v>
      </c>
      <c r="AE1661" s="80" t="str">
        <f t="shared" si="271"/>
        <v>LCOQ3</v>
      </c>
      <c r="AF1661" s="80" t="str">
        <f t="shared" si="272"/>
        <v>CLQ3</v>
      </c>
      <c r="AG1661" s="80" t="str">
        <f t="shared" si="273"/>
        <v>LCOU3</v>
      </c>
      <c r="AH1661" s="80" t="str">
        <f t="shared" si="274"/>
        <v>LCOV3</v>
      </c>
    </row>
    <row r="1662" spans="25:34" x14ac:dyDescent="0.35">
      <c r="Y1662" s="74">
        <f t="shared" si="275"/>
        <v>45065</v>
      </c>
      <c r="Z1662" s="74" t="e">
        <f t="shared" ca="1" si="266"/>
        <v>#N/A</v>
      </c>
      <c r="AA1662" s="80" t="str">
        <f t="shared" ca="1" si="267"/>
        <v>CLM3</v>
      </c>
      <c r="AB1662" s="74" t="e">
        <f t="shared" si="269"/>
        <v>#N/A</v>
      </c>
      <c r="AC1662" s="80" t="str">
        <f t="shared" si="268"/>
        <v>LCON3</v>
      </c>
      <c r="AD1662" s="80" t="str">
        <f t="shared" si="270"/>
        <v>CLN3</v>
      </c>
      <c r="AE1662" s="80" t="str">
        <f t="shared" si="271"/>
        <v>LCOQ3</v>
      </c>
      <c r="AF1662" s="80" t="str">
        <f t="shared" si="272"/>
        <v>CLQ3</v>
      </c>
      <c r="AG1662" s="80" t="str">
        <f t="shared" si="273"/>
        <v>LCOU3</v>
      </c>
      <c r="AH1662" s="80" t="str">
        <f t="shared" si="274"/>
        <v>LCOV3</v>
      </c>
    </row>
    <row r="1663" spans="25:34" x14ac:dyDescent="0.35">
      <c r="Y1663" s="74">
        <f t="shared" si="275"/>
        <v>45066</v>
      </c>
      <c r="Z1663" s="74" t="e">
        <f t="shared" ca="1" si="266"/>
        <v>#N/A</v>
      </c>
      <c r="AA1663" s="80" t="str">
        <f t="shared" ca="1" si="267"/>
        <v>CLM3</v>
      </c>
      <c r="AB1663" s="74" t="e">
        <f t="shared" si="269"/>
        <v>#N/A</v>
      </c>
      <c r="AC1663" s="80" t="str">
        <f t="shared" si="268"/>
        <v>LCON3</v>
      </c>
      <c r="AD1663" s="80" t="str">
        <f t="shared" si="270"/>
        <v>CLN3</v>
      </c>
      <c r="AE1663" s="80" t="str">
        <f t="shared" si="271"/>
        <v>LCOQ3</v>
      </c>
      <c r="AF1663" s="80" t="str">
        <f t="shared" si="272"/>
        <v>CLQ3</v>
      </c>
      <c r="AG1663" s="80" t="str">
        <f t="shared" si="273"/>
        <v>LCOU3</v>
      </c>
      <c r="AH1663" s="80" t="str">
        <f t="shared" si="274"/>
        <v>LCOV3</v>
      </c>
    </row>
    <row r="1664" spans="25:34" x14ac:dyDescent="0.35">
      <c r="Y1664" s="74">
        <f t="shared" si="275"/>
        <v>45067</v>
      </c>
      <c r="Z1664" s="74" t="e">
        <f t="shared" ca="1" si="266"/>
        <v>#N/A</v>
      </c>
      <c r="AA1664" s="80" t="str">
        <f t="shared" ca="1" si="267"/>
        <v>CLM3</v>
      </c>
      <c r="AB1664" s="74" t="e">
        <f t="shared" si="269"/>
        <v>#N/A</v>
      </c>
      <c r="AC1664" s="80" t="str">
        <f t="shared" si="268"/>
        <v>LCON3</v>
      </c>
      <c r="AD1664" s="80" t="str">
        <f t="shared" si="270"/>
        <v>CLN3</v>
      </c>
      <c r="AE1664" s="80" t="str">
        <f t="shared" si="271"/>
        <v>LCOQ3</v>
      </c>
      <c r="AF1664" s="80" t="str">
        <f t="shared" si="272"/>
        <v>CLQ3</v>
      </c>
      <c r="AG1664" s="80" t="str">
        <f t="shared" si="273"/>
        <v>LCOU3</v>
      </c>
      <c r="AH1664" s="80" t="str">
        <f t="shared" si="274"/>
        <v>LCOV3</v>
      </c>
    </row>
    <row r="1665" spans="25:34" x14ac:dyDescent="0.35">
      <c r="Y1665" s="74">
        <f t="shared" si="275"/>
        <v>45068</v>
      </c>
      <c r="Z1665" s="74" t="e">
        <f t="shared" ca="1" si="266"/>
        <v>#N/A</v>
      </c>
      <c r="AA1665" s="80" t="str">
        <f t="shared" ca="1" si="267"/>
        <v>CLM3</v>
      </c>
      <c r="AB1665" s="74" t="e">
        <f t="shared" si="269"/>
        <v>#N/A</v>
      </c>
      <c r="AC1665" s="80" t="str">
        <f t="shared" si="268"/>
        <v>LCON3</v>
      </c>
      <c r="AD1665" s="80" t="str">
        <f t="shared" si="270"/>
        <v>CLN3</v>
      </c>
      <c r="AE1665" s="80" t="str">
        <f t="shared" si="271"/>
        <v>LCOQ3</v>
      </c>
      <c r="AF1665" s="80" t="str">
        <f t="shared" si="272"/>
        <v>CLQ3</v>
      </c>
      <c r="AG1665" s="80" t="str">
        <f t="shared" si="273"/>
        <v>LCOU3</v>
      </c>
      <c r="AH1665" s="80" t="str">
        <f t="shared" si="274"/>
        <v>LCOV3</v>
      </c>
    </row>
    <row r="1666" spans="25:34" x14ac:dyDescent="0.35">
      <c r="Y1666" s="74">
        <f t="shared" si="275"/>
        <v>45069</v>
      </c>
      <c r="Z1666" s="74" t="e">
        <f t="shared" ref="Z1666:Z1729" ca="1" si="276">VLOOKUP(AA1666,$I$2:$K$39,3,FALSE)</f>
        <v>#N/A</v>
      </c>
      <c r="AA1666" s="80" t="str">
        <f t="shared" ref="AA1666:AA1729" ca="1" si="277">LOOKUP(2,1/($J$2:$J$700&lt;=$Y1666)/($K$2:$K$700&gt;=$Y1666),$L$2:$L$700)</f>
        <v>CLN3</v>
      </c>
      <c r="AB1666" s="74" t="e">
        <f t="shared" si="269"/>
        <v>#N/A</v>
      </c>
      <c r="AC1666" s="80" t="str">
        <f t="shared" ref="AC1666:AC1729" si="278">LOOKUP(2,1/($R$2:$R$700&lt;=$Y1666)/($S$2:$S$700&gt;=$Y1666),$T$2:$T$700)</f>
        <v>LCON3</v>
      </c>
      <c r="AD1666" s="80" t="str">
        <f t="shared" si="270"/>
        <v>CLN3</v>
      </c>
      <c r="AE1666" s="80" t="str">
        <f t="shared" si="271"/>
        <v>LCOQ3</v>
      </c>
      <c r="AF1666" s="80" t="str">
        <f t="shared" si="272"/>
        <v>CLQ3</v>
      </c>
      <c r="AG1666" s="80" t="str">
        <f t="shared" si="273"/>
        <v>LCOU3</v>
      </c>
      <c r="AH1666" s="80" t="str">
        <f t="shared" si="274"/>
        <v>LCOV3</v>
      </c>
    </row>
    <row r="1667" spans="25:34" x14ac:dyDescent="0.35">
      <c r="Y1667" s="74">
        <f t="shared" si="275"/>
        <v>45070</v>
      </c>
      <c r="Z1667" s="74" t="e">
        <f t="shared" ca="1" si="276"/>
        <v>#N/A</v>
      </c>
      <c r="AA1667" s="80" t="str">
        <f t="shared" ca="1" si="277"/>
        <v>CLN3</v>
      </c>
      <c r="AB1667" s="74" t="e">
        <f t="shared" ref="AB1667:AB1730" si="279">VLOOKUP(AC1667,$Q$2:$S$39,3,FALSE)</f>
        <v>#N/A</v>
      </c>
      <c r="AC1667" s="80" t="str">
        <f t="shared" si="278"/>
        <v>LCON3</v>
      </c>
      <c r="AD1667" s="80" t="str">
        <f t="shared" ref="AD1667:AD1730" si="280">CONCATENATE("CL",RIGHT(AC1667,2))</f>
        <v>CLN3</v>
      </c>
      <c r="AE1667" s="80" t="str">
        <f t="shared" ref="AE1667:AE1730" si="281">LOOKUP(2,1/($R$2:$R$700&lt;=$Y1667)/($S$2:$S$700&gt;=$Y1667),$U$2:$U$700)</f>
        <v>LCOQ3</v>
      </c>
      <c r="AF1667" s="80" t="str">
        <f t="shared" ref="AF1667:AF1730" si="282">CONCATENATE("CL",RIGHT(AE1667,2))</f>
        <v>CLQ3</v>
      </c>
      <c r="AG1667" s="80" t="str">
        <f t="shared" ref="AG1667:AG1730" si="283">LOOKUP(2,1/($R$2:$R$700&lt;=$Y1667)/($S$2:$S$700&gt;=$Y1667),$V$2:$V$700)</f>
        <v>LCOU3</v>
      </c>
      <c r="AH1667" s="80" t="str">
        <f t="shared" ref="AH1667:AH1730" si="284">LOOKUP(2,1/($R$2:$R$700&lt;=$Y1667)/($S$2:$S$700&gt;=$Y1667),$W$2:$W$700)</f>
        <v>LCOV3</v>
      </c>
    </row>
    <row r="1668" spans="25:34" x14ac:dyDescent="0.35">
      <c r="Y1668" s="74">
        <f t="shared" si="275"/>
        <v>45071</v>
      </c>
      <c r="Z1668" s="74" t="e">
        <f t="shared" ca="1" si="276"/>
        <v>#N/A</v>
      </c>
      <c r="AA1668" s="80" t="str">
        <f t="shared" ca="1" si="277"/>
        <v>CLN3</v>
      </c>
      <c r="AB1668" s="74" t="e">
        <f t="shared" si="279"/>
        <v>#N/A</v>
      </c>
      <c r="AC1668" s="80" t="str">
        <f t="shared" si="278"/>
        <v>LCON3</v>
      </c>
      <c r="AD1668" s="80" t="str">
        <f t="shared" si="280"/>
        <v>CLN3</v>
      </c>
      <c r="AE1668" s="80" t="str">
        <f t="shared" si="281"/>
        <v>LCOQ3</v>
      </c>
      <c r="AF1668" s="80" t="str">
        <f t="shared" si="282"/>
        <v>CLQ3</v>
      </c>
      <c r="AG1668" s="80" t="str">
        <f t="shared" si="283"/>
        <v>LCOU3</v>
      </c>
      <c r="AH1668" s="80" t="str">
        <f t="shared" si="284"/>
        <v>LCOV3</v>
      </c>
    </row>
    <row r="1669" spans="25:34" x14ac:dyDescent="0.35">
      <c r="Y1669" s="74">
        <f t="shared" si="275"/>
        <v>45072</v>
      </c>
      <c r="Z1669" s="74" t="e">
        <f t="shared" ca="1" si="276"/>
        <v>#N/A</v>
      </c>
      <c r="AA1669" s="80" t="str">
        <f t="shared" ca="1" si="277"/>
        <v>CLN3</v>
      </c>
      <c r="AB1669" s="74" t="e">
        <f t="shared" si="279"/>
        <v>#N/A</v>
      </c>
      <c r="AC1669" s="80" t="str">
        <f t="shared" si="278"/>
        <v>LCON3</v>
      </c>
      <c r="AD1669" s="80" t="str">
        <f t="shared" si="280"/>
        <v>CLN3</v>
      </c>
      <c r="AE1669" s="80" t="str">
        <f t="shared" si="281"/>
        <v>LCOQ3</v>
      </c>
      <c r="AF1669" s="80" t="str">
        <f t="shared" si="282"/>
        <v>CLQ3</v>
      </c>
      <c r="AG1669" s="80" t="str">
        <f t="shared" si="283"/>
        <v>LCOU3</v>
      </c>
      <c r="AH1669" s="80" t="str">
        <f t="shared" si="284"/>
        <v>LCOV3</v>
      </c>
    </row>
    <row r="1670" spans="25:34" x14ac:dyDescent="0.35">
      <c r="Y1670" s="74">
        <f t="shared" si="275"/>
        <v>45073</v>
      </c>
      <c r="Z1670" s="74" t="e">
        <f t="shared" ca="1" si="276"/>
        <v>#N/A</v>
      </c>
      <c r="AA1670" s="80" t="str">
        <f t="shared" ca="1" si="277"/>
        <v>CLN3</v>
      </c>
      <c r="AB1670" s="74" t="e">
        <f t="shared" si="279"/>
        <v>#N/A</v>
      </c>
      <c r="AC1670" s="80" t="str">
        <f t="shared" si="278"/>
        <v>LCON3</v>
      </c>
      <c r="AD1670" s="80" t="str">
        <f t="shared" si="280"/>
        <v>CLN3</v>
      </c>
      <c r="AE1670" s="80" t="str">
        <f t="shared" si="281"/>
        <v>LCOQ3</v>
      </c>
      <c r="AF1670" s="80" t="str">
        <f t="shared" si="282"/>
        <v>CLQ3</v>
      </c>
      <c r="AG1670" s="80" t="str">
        <f t="shared" si="283"/>
        <v>LCOU3</v>
      </c>
      <c r="AH1670" s="80" t="str">
        <f t="shared" si="284"/>
        <v>LCOV3</v>
      </c>
    </row>
    <row r="1671" spans="25:34" x14ac:dyDescent="0.35">
      <c r="Y1671" s="74">
        <f t="shared" si="275"/>
        <v>45074</v>
      </c>
      <c r="Z1671" s="74" t="e">
        <f t="shared" ca="1" si="276"/>
        <v>#N/A</v>
      </c>
      <c r="AA1671" s="80" t="str">
        <f t="shared" ca="1" si="277"/>
        <v>CLN3</v>
      </c>
      <c r="AB1671" s="74" t="e">
        <f t="shared" si="279"/>
        <v>#N/A</v>
      </c>
      <c r="AC1671" s="80" t="str">
        <f t="shared" si="278"/>
        <v>LCON3</v>
      </c>
      <c r="AD1671" s="80" t="str">
        <f t="shared" si="280"/>
        <v>CLN3</v>
      </c>
      <c r="AE1671" s="80" t="str">
        <f t="shared" si="281"/>
        <v>LCOQ3</v>
      </c>
      <c r="AF1671" s="80" t="str">
        <f t="shared" si="282"/>
        <v>CLQ3</v>
      </c>
      <c r="AG1671" s="80" t="str">
        <f t="shared" si="283"/>
        <v>LCOU3</v>
      </c>
      <c r="AH1671" s="80" t="str">
        <f t="shared" si="284"/>
        <v>LCOV3</v>
      </c>
    </row>
    <row r="1672" spans="25:34" x14ac:dyDescent="0.35">
      <c r="Y1672" s="74">
        <f t="shared" si="275"/>
        <v>45075</v>
      </c>
      <c r="Z1672" s="74" t="e">
        <f t="shared" ca="1" si="276"/>
        <v>#N/A</v>
      </c>
      <c r="AA1672" s="80" t="str">
        <f t="shared" ca="1" si="277"/>
        <v>CLN3</v>
      </c>
      <c r="AB1672" s="74" t="e">
        <f t="shared" si="279"/>
        <v>#N/A</v>
      </c>
      <c r="AC1672" s="80" t="str">
        <f t="shared" si="278"/>
        <v>LCON3</v>
      </c>
      <c r="AD1672" s="80" t="str">
        <f t="shared" si="280"/>
        <v>CLN3</v>
      </c>
      <c r="AE1672" s="80" t="str">
        <f t="shared" si="281"/>
        <v>LCOQ3</v>
      </c>
      <c r="AF1672" s="80" t="str">
        <f t="shared" si="282"/>
        <v>CLQ3</v>
      </c>
      <c r="AG1672" s="80" t="str">
        <f t="shared" si="283"/>
        <v>LCOU3</v>
      </c>
      <c r="AH1672" s="80" t="str">
        <f t="shared" si="284"/>
        <v>LCOV3</v>
      </c>
    </row>
    <row r="1673" spans="25:34" x14ac:dyDescent="0.35">
      <c r="Y1673" s="74">
        <f t="shared" si="275"/>
        <v>45076</v>
      </c>
      <c r="Z1673" s="74" t="e">
        <f t="shared" ca="1" si="276"/>
        <v>#N/A</v>
      </c>
      <c r="AA1673" s="80" t="str">
        <f t="shared" ca="1" si="277"/>
        <v>CLN3</v>
      </c>
      <c r="AB1673" s="74" t="e">
        <f t="shared" si="279"/>
        <v>#N/A</v>
      </c>
      <c r="AC1673" s="80" t="str">
        <f t="shared" si="278"/>
        <v>LCON3</v>
      </c>
      <c r="AD1673" s="80" t="str">
        <f t="shared" si="280"/>
        <v>CLN3</v>
      </c>
      <c r="AE1673" s="80" t="str">
        <f t="shared" si="281"/>
        <v>LCOQ3</v>
      </c>
      <c r="AF1673" s="80" t="str">
        <f t="shared" si="282"/>
        <v>CLQ3</v>
      </c>
      <c r="AG1673" s="80" t="str">
        <f t="shared" si="283"/>
        <v>LCOU3</v>
      </c>
      <c r="AH1673" s="80" t="str">
        <f t="shared" si="284"/>
        <v>LCOV3</v>
      </c>
    </row>
    <row r="1674" spans="25:34" x14ac:dyDescent="0.35">
      <c r="Y1674" s="74">
        <f t="shared" si="275"/>
        <v>45077</v>
      </c>
      <c r="Z1674" s="74" t="e">
        <f t="shared" ca="1" si="276"/>
        <v>#N/A</v>
      </c>
      <c r="AA1674" s="80" t="str">
        <f t="shared" ca="1" si="277"/>
        <v>CLN3</v>
      </c>
      <c r="AB1674" s="74" t="e">
        <f t="shared" si="279"/>
        <v>#N/A</v>
      </c>
      <c r="AC1674" s="80" t="str">
        <f t="shared" si="278"/>
        <v>LCON3</v>
      </c>
      <c r="AD1674" s="80" t="str">
        <f t="shared" si="280"/>
        <v>CLN3</v>
      </c>
      <c r="AE1674" s="80" t="str">
        <f t="shared" si="281"/>
        <v>LCOQ3</v>
      </c>
      <c r="AF1674" s="80" t="str">
        <f t="shared" si="282"/>
        <v>CLQ3</v>
      </c>
      <c r="AG1674" s="80" t="str">
        <f t="shared" si="283"/>
        <v>LCOU3</v>
      </c>
      <c r="AH1674" s="80" t="str">
        <f t="shared" si="284"/>
        <v>LCOV3</v>
      </c>
    </row>
    <row r="1675" spans="25:34" x14ac:dyDescent="0.35">
      <c r="Y1675" s="74">
        <f t="shared" si="275"/>
        <v>45078</v>
      </c>
      <c r="Z1675" s="74" t="e">
        <f t="shared" ca="1" si="276"/>
        <v>#N/A</v>
      </c>
      <c r="AA1675" s="80" t="str">
        <f t="shared" ca="1" si="277"/>
        <v>CLN3</v>
      </c>
      <c r="AB1675" s="74" t="e">
        <f t="shared" si="279"/>
        <v>#N/A</v>
      </c>
      <c r="AC1675" s="80" t="str">
        <f t="shared" si="278"/>
        <v>LCOQ3</v>
      </c>
      <c r="AD1675" s="80" t="str">
        <f t="shared" si="280"/>
        <v>CLQ3</v>
      </c>
      <c r="AE1675" s="80" t="str">
        <f t="shared" si="281"/>
        <v>LCOU3</v>
      </c>
      <c r="AF1675" s="80" t="str">
        <f t="shared" si="282"/>
        <v>CLU3</v>
      </c>
      <c r="AG1675" s="80" t="str">
        <f t="shared" si="283"/>
        <v>LCOV3</v>
      </c>
      <c r="AH1675" s="80" t="str">
        <f t="shared" si="284"/>
        <v>LCOX3</v>
      </c>
    </row>
    <row r="1676" spans="25:34" x14ac:dyDescent="0.35">
      <c r="Y1676" s="74">
        <f t="shared" si="275"/>
        <v>45079</v>
      </c>
      <c r="Z1676" s="74" t="e">
        <f t="shared" ca="1" si="276"/>
        <v>#N/A</v>
      </c>
      <c r="AA1676" s="80" t="str">
        <f t="shared" ca="1" si="277"/>
        <v>CLN3</v>
      </c>
      <c r="AB1676" s="74" t="e">
        <f t="shared" si="279"/>
        <v>#N/A</v>
      </c>
      <c r="AC1676" s="80" t="str">
        <f t="shared" si="278"/>
        <v>LCOQ3</v>
      </c>
      <c r="AD1676" s="80" t="str">
        <f t="shared" si="280"/>
        <v>CLQ3</v>
      </c>
      <c r="AE1676" s="80" t="str">
        <f t="shared" si="281"/>
        <v>LCOU3</v>
      </c>
      <c r="AF1676" s="80" t="str">
        <f t="shared" si="282"/>
        <v>CLU3</v>
      </c>
      <c r="AG1676" s="80" t="str">
        <f t="shared" si="283"/>
        <v>LCOV3</v>
      </c>
      <c r="AH1676" s="80" t="str">
        <f t="shared" si="284"/>
        <v>LCOX3</v>
      </c>
    </row>
    <row r="1677" spans="25:34" x14ac:dyDescent="0.35">
      <c r="Y1677" s="74">
        <f t="shared" si="275"/>
        <v>45080</v>
      </c>
      <c r="Z1677" s="74" t="e">
        <f t="shared" ca="1" si="276"/>
        <v>#N/A</v>
      </c>
      <c r="AA1677" s="80" t="str">
        <f t="shared" ca="1" si="277"/>
        <v>CLN3</v>
      </c>
      <c r="AB1677" s="74" t="e">
        <f t="shared" si="279"/>
        <v>#N/A</v>
      </c>
      <c r="AC1677" s="80" t="str">
        <f t="shared" si="278"/>
        <v>LCOQ3</v>
      </c>
      <c r="AD1677" s="80" t="str">
        <f t="shared" si="280"/>
        <v>CLQ3</v>
      </c>
      <c r="AE1677" s="80" t="str">
        <f t="shared" si="281"/>
        <v>LCOU3</v>
      </c>
      <c r="AF1677" s="80" t="str">
        <f t="shared" si="282"/>
        <v>CLU3</v>
      </c>
      <c r="AG1677" s="80" t="str">
        <f t="shared" si="283"/>
        <v>LCOV3</v>
      </c>
      <c r="AH1677" s="80" t="str">
        <f t="shared" si="284"/>
        <v>LCOX3</v>
      </c>
    </row>
    <row r="1678" spans="25:34" x14ac:dyDescent="0.35">
      <c r="Y1678" s="74">
        <f t="shared" si="275"/>
        <v>45081</v>
      </c>
      <c r="Z1678" s="74" t="e">
        <f t="shared" ca="1" si="276"/>
        <v>#N/A</v>
      </c>
      <c r="AA1678" s="80" t="str">
        <f t="shared" ca="1" si="277"/>
        <v>CLN3</v>
      </c>
      <c r="AB1678" s="74" t="e">
        <f t="shared" si="279"/>
        <v>#N/A</v>
      </c>
      <c r="AC1678" s="80" t="str">
        <f t="shared" si="278"/>
        <v>LCOQ3</v>
      </c>
      <c r="AD1678" s="80" t="str">
        <f t="shared" si="280"/>
        <v>CLQ3</v>
      </c>
      <c r="AE1678" s="80" t="str">
        <f t="shared" si="281"/>
        <v>LCOU3</v>
      </c>
      <c r="AF1678" s="80" t="str">
        <f t="shared" si="282"/>
        <v>CLU3</v>
      </c>
      <c r="AG1678" s="80" t="str">
        <f t="shared" si="283"/>
        <v>LCOV3</v>
      </c>
      <c r="AH1678" s="80" t="str">
        <f t="shared" si="284"/>
        <v>LCOX3</v>
      </c>
    </row>
    <row r="1679" spans="25:34" x14ac:dyDescent="0.35">
      <c r="Y1679" s="74">
        <f t="shared" si="275"/>
        <v>45082</v>
      </c>
      <c r="Z1679" s="74" t="e">
        <f t="shared" ca="1" si="276"/>
        <v>#N/A</v>
      </c>
      <c r="AA1679" s="80" t="str">
        <f t="shared" ca="1" si="277"/>
        <v>CLN3</v>
      </c>
      <c r="AB1679" s="74" t="e">
        <f t="shared" si="279"/>
        <v>#N/A</v>
      </c>
      <c r="AC1679" s="80" t="str">
        <f t="shared" si="278"/>
        <v>LCOQ3</v>
      </c>
      <c r="AD1679" s="80" t="str">
        <f t="shared" si="280"/>
        <v>CLQ3</v>
      </c>
      <c r="AE1679" s="80" t="str">
        <f t="shared" si="281"/>
        <v>LCOU3</v>
      </c>
      <c r="AF1679" s="80" t="str">
        <f t="shared" si="282"/>
        <v>CLU3</v>
      </c>
      <c r="AG1679" s="80" t="str">
        <f t="shared" si="283"/>
        <v>LCOV3</v>
      </c>
      <c r="AH1679" s="80" t="str">
        <f t="shared" si="284"/>
        <v>LCOX3</v>
      </c>
    </row>
    <row r="1680" spans="25:34" x14ac:dyDescent="0.35">
      <c r="Y1680" s="74">
        <f t="shared" si="275"/>
        <v>45083</v>
      </c>
      <c r="Z1680" s="74" t="e">
        <f t="shared" ca="1" si="276"/>
        <v>#N/A</v>
      </c>
      <c r="AA1680" s="80" t="str">
        <f t="shared" ca="1" si="277"/>
        <v>CLN3</v>
      </c>
      <c r="AB1680" s="74" t="e">
        <f t="shared" si="279"/>
        <v>#N/A</v>
      </c>
      <c r="AC1680" s="80" t="str">
        <f t="shared" si="278"/>
        <v>LCOQ3</v>
      </c>
      <c r="AD1680" s="80" t="str">
        <f t="shared" si="280"/>
        <v>CLQ3</v>
      </c>
      <c r="AE1680" s="80" t="str">
        <f t="shared" si="281"/>
        <v>LCOU3</v>
      </c>
      <c r="AF1680" s="80" t="str">
        <f t="shared" si="282"/>
        <v>CLU3</v>
      </c>
      <c r="AG1680" s="80" t="str">
        <f t="shared" si="283"/>
        <v>LCOV3</v>
      </c>
      <c r="AH1680" s="80" t="str">
        <f t="shared" si="284"/>
        <v>LCOX3</v>
      </c>
    </row>
    <row r="1681" spans="25:34" x14ac:dyDescent="0.35">
      <c r="Y1681" s="74">
        <f t="shared" si="275"/>
        <v>45084</v>
      </c>
      <c r="Z1681" s="74" t="e">
        <f t="shared" ca="1" si="276"/>
        <v>#N/A</v>
      </c>
      <c r="AA1681" s="80" t="str">
        <f t="shared" ca="1" si="277"/>
        <v>CLN3</v>
      </c>
      <c r="AB1681" s="74" t="e">
        <f t="shared" si="279"/>
        <v>#N/A</v>
      </c>
      <c r="AC1681" s="80" t="str">
        <f t="shared" si="278"/>
        <v>LCOQ3</v>
      </c>
      <c r="AD1681" s="80" t="str">
        <f t="shared" si="280"/>
        <v>CLQ3</v>
      </c>
      <c r="AE1681" s="80" t="str">
        <f t="shared" si="281"/>
        <v>LCOU3</v>
      </c>
      <c r="AF1681" s="80" t="str">
        <f t="shared" si="282"/>
        <v>CLU3</v>
      </c>
      <c r="AG1681" s="80" t="str">
        <f t="shared" si="283"/>
        <v>LCOV3</v>
      </c>
      <c r="AH1681" s="80" t="str">
        <f t="shared" si="284"/>
        <v>LCOX3</v>
      </c>
    </row>
    <row r="1682" spans="25:34" x14ac:dyDescent="0.35">
      <c r="Y1682" s="74">
        <f t="shared" si="275"/>
        <v>45085</v>
      </c>
      <c r="Z1682" s="74" t="e">
        <f t="shared" ca="1" si="276"/>
        <v>#N/A</v>
      </c>
      <c r="AA1682" s="80" t="str">
        <f t="shared" ca="1" si="277"/>
        <v>CLN3</v>
      </c>
      <c r="AB1682" s="74" t="e">
        <f t="shared" si="279"/>
        <v>#N/A</v>
      </c>
      <c r="AC1682" s="80" t="str">
        <f t="shared" si="278"/>
        <v>LCOQ3</v>
      </c>
      <c r="AD1682" s="80" t="str">
        <f t="shared" si="280"/>
        <v>CLQ3</v>
      </c>
      <c r="AE1682" s="80" t="str">
        <f t="shared" si="281"/>
        <v>LCOU3</v>
      </c>
      <c r="AF1682" s="80" t="str">
        <f t="shared" si="282"/>
        <v>CLU3</v>
      </c>
      <c r="AG1682" s="80" t="str">
        <f t="shared" si="283"/>
        <v>LCOV3</v>
      </c>
      <c r="AH1682" s="80" t="str">
        <f t="shared" si="284"/>
        <v>LCOX3</v>
      </c>
    </row>
    <row r="1683" spans="25:34" x14ac:dyDescent="0.35">
      <c r="Y1683" s="74">
        <f t="shared" si="275"/>
        <v>45086</v>
      </c>
      <c r="Z1683" s="74" t="e">
        <f t="shared" ca="1" si="276"/>
        <v>#N/A</v>
      </c>
      <c r="AA1683" s="80" t="str">
        <f t="shared" ca="1" si="277"/>
        <v>CLN3</v>
      </c>
      <c r="AB1683" s="74" t="e">
        <f t="shared" si="279"/>
        <v>#N/A</v>
      </c>
      <c r="AC1683" s="80" t="str">
        <f t="shared" si="278"/>
        <v>LCOQ3</v>
      </c>
      <c r="AD1683" s="80" t="str">
        <f t="shared" si="280"/>
        <v>CLQ3</v>
      </c>
      <c r="AE1683" s="80" t="str">
        <f t="shared" si="281"/>
        <v>LCOU3</v>
      </c>
      <c r="AF1683" s="80" t="str">
        <f t="shared" si="282"/>
        <v>CLU3</v>
      </c>
      <c r="AG1683" s="80" t="str">
        <f t="shared" si="283"/>
        <v>LCOV3</v>
      </c>
      <c r="AH1683" s="80" t="str">
        <f t="shared" si="284"/>
        <v>LCOX3</v>
      </c>
    </row>
    <row r="1684" spans="25:34" x14ac:dyDescent="0.35">
      <c r="Y1684" s="74">
        <f t="shared" si="275"/>
        <v>45087</v>
      </c>
      <c r="Z1684" s="74" t="e">
        <f t="shared" ca="1" si="276"/>
        <v>#N/A</v>
      </c>
      <c r="AA1684" s="80" t="str">
        <f t="shared" ca="1" si="277"/>
        <v>CLN3</v>
      </c>
      <c r="AB1684" s="74" t="e">
        <f t="shared" si="279"/>
        <v>#N/A</v>
      </c>
      <c r="AC1684" s="80" t="str">
        <f t="shared" si="278"/>
        <v>LCOQ3</v>
      </c>
      <c r="AD1684" s="80" t="str">
        <f t="shared" si="280"/>
        <v>CLQ3</v>
      </c>
      <c r="AE1684" s="80" t="str">
        <f t="shared" si="281"/>
        <v>LCOU3</v>
      </c>
      <c r="AF1684" s="80" t="str">
        <f t="shared" si="282"/>
        <v>CLU3</v>
      </c>
      <c r="AG1684" s="80" t="str">
        <f t="shared" si="283"/>
        <v>LCOV3</v>
      </c>
      <c r="AH1684" s="80" t="str">
        <f t="shared" si="284"/>
        <v>LCOX3</v>
      </c>
    </row>
    <row r="1685" spans="25:34" x14ac:dyDescent="0.35">
      <c r="Y1685" s="74">
        <f t="shared" si="275"/>
        <v>45088</v>
      </c>
      <c r="Z1685" s="74" t="e">
        <f t="shared" ca="1" si="276"/>
        <v>#N/A</v>
      </c>
      <c r="AA1685" s="80" t="str">
        <f t="shared" ca="1" si="277"/>
        <v>CLN3</v>
      </c>
      <c r="AB1685" s="74" t="e">
        <f t="shared" si="279"/>
        <v>#N/A</v>
      </c>
      <c r="AC1685" s="80" t="str">
        <f t="shared" si="278"/>
        <v>LCOQ3</v>
      </c>
      <c r="AD1685" s="80" t="str">
        <f t="shared" si="280"/>
        <v>CLQ3</v>
      </c>
      <c r="AE1685" s="80" t="str">
        <f t="shared" si="281"/>
        <v>LCOU3</v>
      </c>
      <c r="AF1685" s="80" t="str">
        <f t="shared" si="282"/>
        <v>CLU3</v>
      </c>
      <c r="AG1685" s="80" t="str">
        <f t="shared" si="283"/>
        <v>LCOV3</v>
      </c>
      <c r="AH1685" s="80" t="str">
        <f t="shared" si="284"/>
        <v>LCOX3</v>
      </c>
    </row>
    <row r="1686" spans="25:34" x14ac:dyDescent="0.35">
      <c r="Y1686" s="74">
        <f t="shared" si="275"/>
        <v>45089</v>
      </c>
      <c r="Z1686" s="74" t="e">
        <f t="shared" ca="1" si="276"/>
        <v>#N/A</v>
      </c>
      <c r="AA1686" s="80" t="str">
        <f t="shared" ca="1" si="277"/>
        <v>CLN3</v>
      </c>
      <c r="AB1686" s="74" t="e">
        <f t="shared" si="279"/>
        <v>#N/A</v>
      </c>
      <c r="AC1686" s="80" t="str">
        <f t="shared" si="278"/>
        <v>LCOQ3</v>
      </c>
      <c r="AD1686" s="80" t="str">
        <f t="shared" si="280"/>
        <v>CLQ3</v>
      </c>
      <c r="AE1686" s="80" t="str">
        <f t="shared" si="281"/>
        <v>LCOU3</v>
      </c>
      <c r="AF1686" s="80" t="str">
        <f t="shared" si="282"/>
        <v>CLU3</v>
      </c>
      <c r="AG1686" s="80" t="str">
        <f t="shared" si="283"/>
        <v>LCOV3</v>
      </c>
      <c r="AH1686" s="80" t="str">
        <f t="shared" si="284"/>
        <v>LCOX3</v>
      </c>
    </row>
    <row r="1687" spans="25:34" x14ac:dyDescent="0.35">
      <c r="Y1687" s="74">
        <f t="shared" si="275"/>
        <v>45090</v>
      </c>
      <c r="Z1687" s="74" t="e">
        <f t="shared" ca="1" si="276"/>
        <v>#N/A</v>
      </c>
      <c r="AA1687" s="80" t="str">
        <f t="shared" ca="1" si="277"/>
        <v>CLN3</v>
      </c>
      <c r="AB1687" s="74" t="e">
        <f t="shared" si="279"/>
        <v>#N/A</v>
      </c>
      <c r="AC1687" s="80" t="str">
        <f t="shared" si="278"/>
        <v>LCOQ3</v>
      </c>
      <c r="AD1687" s="80" t="str">
        <f t="shared" si="280"/>
        <v>CLQ3</v>
      </c>
      <c r="AE1687" s="80" t="str">
        <f t="shared" si="281"/>
        <v>LCOU3</v>
      </c>
      <c r="AF1687" s="80" t="str">
        <f t="shared" si="282"/>
        <v>CLU3</v>
      </c>
      <c r="AG1687" s="80" t="str">
        <f t="shared" si="283"/>
        <v>LCOV3</v>
      </c>
      <c r="AH1687" s="80" t="str">
        <f t="shared" si="284"/>
        <v>LCOX3</v>
      </c>
    </row>
    <row r="1688" spans="25:34" x14ac:dyDescent="0.35">
      <c r="Y1688" s="74">
        <f t="shared" si="275"/>
        <v>45091</v>
      </c>
      <c r="Z1688" s="74" t="e">
        <f t="shared" ca="1" si="276"/>
        <v>#N/A</v>
      </c>
      <c r="AA1688" s="80" t="str">
        <f t="shared" ca="1" si="277"/>
        <v>CLN3</v>
      </c>
      <c r="AB1688" s="74" t="e">
        <f t="shared" si="279"/>
        <v>#N/A</v>
      </c>
      <c r="AC1688" s="80" t="str">
        <f t="shared" si="278"/>
        <v>LCOQ3</v>
      </c>
      <c r="AD1688" s="80" t="str">
        <f t="shared" si="280"/>
        <v>CLQ3</v>
      </c>
      <c r="AE1688" s="80" t="str">
        <f t="shared" si="281"/>
        <v>LCOU3</v>
      </c>
      <c r="AF1688" s="80" t="str">
        <f t="shared" si="282"/>
        <v>CLU3</v>
      </c>
      <c r="AG1688" s="80" t="str">
        <f t="shared" si="283"/>
        <v>LCOV3</v>
      </c>
      <c r="AH1688" s="80" t="str">
        <f t="shared" si="284"/>
        <v>LCOX3</v>
      </c>
    </row>
    <row r="1689" spans="25:34" x14ac:dyDescent="0.35">
      <c r="Y1689" s="74">
        <f t="shared" si="275"/>
        <v>45092</v>
      </c>
      <c r="Z1689" s="74" t="e">
        <f t="shared" ca="1" si="276"/>
        <v>#N/A</v>
      </c>
      <c r="AA1689" s="80" t="str">
        <f t="shared" ca="1" si="277"/>
        <v>CLN3</v>
      </c>
      <c r="AB1689" s="74" t="e">
        <f t="shared" si="279"/>
        <v>#N/A</v>
      </c>
      <c r="AC1689" s="80" t="str">
        <f t="shared" si="278"/>
        <v>LCOQ3</v>
      </c>
      <c r="AD1689" s="80" t="str">
        <f t="shared" si="280"/>
        <v>CLQ3</v>
      </c>
      <c r="AE1689" s="80" t="str">
        <f t="shared" si="281"/>
        <v>LCOU3</v>
      </c>
      <c r="AF1689" s="80" t="str">
        <f t="shared" si="282"/>
        <v>CLU3</v>
      </c>
      <c r="AG1689" s="80" t="str">
        <f t="shared" si="283"/>
        <v>LCOV3</v>
      </c>
      <c r="AH1689" s="80" t="str">
        <f t="shared" si="284"/>
        <v>LCOX3</v>
      </c>
    </row>
    <row r="1690" spans="25:34" x14ac:dyDescent="0.35">
      <c r="Y1690" s="74">
        <f t="shared" si="275"/>
        <v>45093</v>
      </c>
      <c r="Z1690" s="74" t="e">
        <f t="shared" ca="1" si="276"/>
        <v>#N/A</v>
      </c>
      <c r="AA1690" s="80" t="str">
        <f t="shared" ca="1" si="277"/>
        <v>CLN3</v>
      </c>
      <c r="AB1690" s="74" t="e">
        <f t="shared" si="279"/>
        <v>#N/A</v>
      </c>
      <c r="AC1690" s="80" t="str">
        <f t="shared" si="278"/>
        <v>LCOQ3</v>
      </c>
      <c r="AD1690" s="80" t="str">
        <f t="shared" si="280"/>
        <v>CLQ3</v>
      </c>
      <c r="AE1690" s="80" t="str">
        <f t="shared" si="281"/>
        <v>LCOU3</v>
      </c>
      <c r="AF1690" s="80" t="str">
        <f t="shared" si="282"/>
        <v>CLU3</v>
      </c>
      <c r="AG1690" s="80" t="str">
        <f t="shared" si="283"/>
        <v>LCOV3</v>
      </c>
      <c r="AH1690" s="80" t="str">
        <f t="shared" si="284"/>
        <v>LCOX3</v>
      </c>
    </row>
    <row r="1691" spans="25:34" x14ac:dyDescent="0.35">
      <c r="Y1691" s="74">
        <f t="shared" si="275"/>
        <v>45094</v>
      </c>
      <c r="Z1691" s="74" t="e">
        <f t="shared" ca="1" si="276"/>
        <v>#N/A</v>
      </c>
      <c r="AA1691" s="80" t="str">
        <f t="shared" ca="1" si="277"/>
        <v>CLN3</v>
      </c>
      <c r="AB1691" s="74" t="e">
        <f t="shared" si="279"/>
        <v>#N/A</v>
      </c>
      <c r="AC1691" s="80" t="str">
        <f t="shared" si="278"/>
        <v>LCOQ3</v>
      </c>
      <c r="AD1691" s="80" t="str">
        <f t="shared" si="280"/>
        <v>CLQ3</v>
      </c>
      <c r="AE1691" s="80" t="str">
        <f t="shared" si="281"/>
        <v>LCOU3</v>
      </c>
      <c r="AF1691" s="80" t="str">
        <f t="shared" si="282"/>
        <v>CLU3</v>
      </c>
      <c r="AG1691" s="80" t="str">
        <f t="shared" si="283"/>
        <v>LCOV3</v>
      </c>
      <c r="AH1691" s="80" t="str">
        <f t="shared" si="284"/>
        <v>LCOX3</v>
      </c>
    </row>
    <row r="1692" spans="25:34" x14ac:dyDescent="0.35">
      <c r="Y1692" s="74">
        <f t="shared" si="275"/>
        <v>45095</v>
      </c>
      <c r="Z1692" s="74" t="e">
        <f t="shared" ca="1" si="276"/>
        <v>#N/A</v>
      </c>
      <c r="AA1692" s="80" t="str">
        <f t="shared" ca="1" si="277"/>
        <v>CLN3</v>
      </c>
      <c r="AB1692" s="74" t="e">
        <f t="shared" si="279"/>
        <v>#N/A</v>
      </c>
      <c r="AC1692" s="80" t="str">
        <f t="shared" si="278"/>
        <v>LCOQ3</v>
      </c>
      <c r="AD1692" s="80" t="str">
        <f t="shared" si="280"/>
        <v>CLQ3</v>
      </c>
      <c r="AE1692" s="80" t="str">
        <f t="shared" si="281"/>
        <v>LCOU3</v>
      </c>
      <c r="AF1692" s="80" t="str">
        <f t="shared" si="282"/>
        <v>CLU3</v>
      </c>
      <c r="AG1692" s="80" t="str">
        <f t="shared" si="283"/>
        <v>LCOV3</v>
      </c>
      <c r="AH1692" s="80" t="str">
        <f t="shared" si="284"/>
        <v>LCOX3</v>
      </c>
    </row>
    <row r="1693" spans="25:34" x14ac:dyDescent="0.35">
      <c r="Y1693" s="74">
        <f t="shared" si="275"/>
        <v>45096</v>
      </c>
      <c r="Z1693" s="74" t="e">
        <f t="shared" ca="1" si="276"/>
        <v>#N/A</v>
      </c>
      <c r="AA1693" s="80" t="str">
        <f t="shared" ca="1" si="277"/>
        <v>CLN3</v>
      </c>
      <c r="AB1693" s="74" t="e">
        <f t="shared" si="279"/>
        <v>#N/A</v>
      </c>
      <c r="AC1693" s="80" t="str">
        <f t="shared" si="278"/>
        <v>LCOQ3</v>
      </c>
      <c r="AD1693" s="80" t="str">
        <f t="shared" si="280"/>
        <v>CLQ3</v>
      </c>
      <c r="AE1693" s="80" t="str">
        <f t="shared" si="281"/>
        <v>LCOU3</v>
      </c>
      <c r="AF1693" s="80" t="str">
        <f t="shared" si="282"/>
        <v>CLU3</v>
      </c>
      <c r="AG1693" s="80" t="str">
        <f t="shared" si="283"/>
        <v>LCOV3</v>
      </c>
      <c r="AH1693" s="80" t="str">
        <f t="shared" si="284"/>
        <v>LCOX3</v>
      </c>
    </row>
    <row r="1694" spans="25:34" x14ac:dyDescent="0.35">
      <c r="Y1694" s="74">
        <f t="shared" si="275"/>
        <v>45097</v>
      </c>
      <c r="Z1694" s="74" t="e">
        <f t="shared" ca="1" si="276"/>
        <v>#N/A</v>
      </c>
      <c r="AA1694" s="80" t="str">
        <f t="shared" ca="1" si="277"/>
        <v>CLN3</v>
      </c>
      <c r="AB1694" s="74" t="e">
        <f t="shared" si="279"/>
        <v>#N/A</v>
      </c>
      <c r="AC1694" s="80" t="str">
        <f t="shared" si="278"/>
        <v>LCOQ3</v>
      </c>
      <c r="AD1694" s="80" t="str">
        <f t="shared" si="280"/>
        <v>CLQ3</v>
      </c>
      <c r="AE1694" s="80" t="str">
        <f t="shared" si="281"/>
        <v>LCOU3</v>
      </c>
      <c r="AF1694" s="80" t="str">
        <f t="shared" si="282"/>
        <v>CLU3</v>
      </c>
      <c r="AG1694" s="80" t="str">
        <f t="shared" si="283"/>
        <v>LCOV3</v>
      </c>
      <c r="AH1694" s="80" t="str">
        <f t="shared" si="284"/>
        <v>LCOX3</v>
      </c>
    </row>
    <row r="1695" spans="25:34" x14ac:dyDescent="0.35">
      <c r="Y1695" s="74">
        <f t="shared" si="275"/>
        <v>45098</v>
      </c>
      <c r="Z1695" s="74" t="e">
        <f t="shared" ca="1" si="276"/>
        <v>#N/A</v>
      </c>
      <c r="AA1695" s="80" t="str">
        <f t="shared" ca="1" si="277"/>
        <v>CLQ3</v>
      </c>
      <c r="AB1695" s="74" t="e">
        <f t="shared" si="279"/>
        <v>#N/A</v>
      </c>
      <c r="AC1695" s="80" t="str">
        <f t="shared" si="278"/>
        <v>LCOQ3</v>
      </c>
      <c r="AD1695" s="80" t="str">
        <f t="shared" si="280"/>
        <v>CLQ3</v>
      </c>
      <c r="AE1695" s="80" t="str">
        <f t="shared" si="281"/>
        <v>LCOU3</v>
      </c>
      <c r="AF1695" s="80" t="str">
        <f t="shared" si="282"/>
        <v>CLU3</v>
      </c>
      <c r="AG1695" s="80" t="str">
        <f t="shared" si="283"/>
        <v>LCOV3</v>
      </c>
      <c r="AH1695" s="80" t="str">
        <f t="shared" si="284"/>
        <v>LCOX3</v>
      </c>
    </row>
    <row r="1696" spans="25:34" x14ac:dyDescent="0.35">
      <c r="Y1696" s="74">
        <f t="shared" si="275"/>
        <v>45099</v>
      </c>
      <c r="Z1696" s="74" t="e">
        <f t="shared" ca="1" si="276"/>
        <v>#N/A</v>
      </c>
      <c r="AA1696" s="80" t="str">
        <f t="shared" ca="1" si="277"/>
        <v>CLQ3</v>
      </c>
      <c r="AB1696" s="74" t="e">
        <f t="shared" si="279"/>
        <v>#N/A</v>
      </c>
      <c r="AC1696" s="80" t="str">
        <f t="shared" si="278"/>
        <v>LCOQ3</v>
      </c>
      <c r="AD1696" s="80" t="str">
        <f t="shared" si="280"/>
        <v>CLQ3</v>
      </c>
      <c r="AE1696" s="80" t="str">
        <f t="shared" si="281"/>
        <v>LCOU3</v>
      </c>
      <c r="AF1696" s="80" t="str">
        <f t="shared" si="282"/>
        <v>CLU3</v>
      </c>
      <c r="AG1696" s="80" t="str">
        <f t="shared" si="283"/>
        <v>LCOV3</v>
      </c>
      <c r="AH1696" s="80" t="str">
        <f t="shared" si="284"/>
        <v>LCOX3</v>
      </c>
    </row>
    <row r="1697" spans="25:34" x14ac:dyDescent="0.35">
      <c r="Y1697" s="74">
        <f t="shared" ref="Y1697:Y1760" si="285">Y1696+1</f>
        <v>45100</v>
      </c>
      <c r="Z1697" s="74" t="e">
        <f t="shared" ca="1" si="276"/>
        <v>#N/A</v>
      </c>
      <c r="AA1697" s="80" t="str">
        <f t="shared" ca="1" si="277"/>
        <v>CLQ3</v>
      </c>
      <c r="AB1697" s="74" t="e">
        <f t="shared" si="279"/>
        <v>#N/A</v>
      </c>
      <c r="AC1697" s="80" t="str">
        <f t="shared" si="278"/>
        <v>LCOQ3</v>
      </c>
      <c r="AD1697" s="80" t="str">
        <f t="shared" si="280"/>
        <v>CLQ3</v>
      </c>
      <c r="AE1697" s="80" t="str">
        <f t="shared" si="281"/>
        <v>LCOU3</v>
      </c>
      <c r="AF1697" s="80" t="str">
        <f t="shared" si="282"/>
        <v>CLU3</v>
      </c>
      <c r="AG1697" s="80" t="str">
        <f t="shared" si="283"/>
        <v>LCOV3</v>
      </c>
      <c r="AH1697" s="80" t="str">
        <f t="shared" si="284"/>
        <v>LCOX3</v>
      </c>
    </row>
    <row r="1698" spans="25:34" x14ac:dyDescent="0.35">
      <c r="Y1698" s="74">
        <f t="shared" si="285"/>
        <v>45101</v>
      </c>
      <c r="Z1698" s="74" t="e">
        <f t="shared" ca="1" si="276"/>
        <v>#N/A</v>
      </c>
      <c r="AA1698" s="80" t="str">
        <f t="shared" ca="1" si="277"/>
        <v>CLQ3</v>
      </c>
      <c r="AB1698" s="74" t="e">
        <f t="shared" si="279"/>
        <v>#N/A</v>
      </c>
      <c r="AC1698" s="80" t="str">
        <f t="shared" si="278"/>
        <v>LCOQ3</v>
      </c>
      <c r="AD1698" s="80" t="str">
        <f t="shared" si="280"/>
        <v>CLQ3</v>
      </c>
      <c r="AE1698" s="80" t="str">
        <f t="shared" si="281"/>
        <v>LCOU3</v>
      </c>
      <c r="AF1698" s="80" t="str">
        <f t="shared" si="282"/>
        <v>CLU3</v>
      </c>
      <c r="AG1698" s="80" t="str">
        <f t="shared" si="283"/>
        <v>LCOV3</v>
      </c>
      <c r="AH1698" s="80" t="str">
        <f t="shared" si="284"/>
        <v>LCOX3</v>
      </c>
    </row>
    <row r="1699" spans="25:34" x14ac:dyDescent="0.35">
      <c r="Y1699" s="74">
        <f t="shared" si="285"/>
        <v>45102</v>
      </c>
      <c r="Z1699" s="74" t="e">
        <f t="shared" ca="1" si="276"/>
        <v>#N/A</v>
      </c>
      <c r="AA1699" s="80" t="str">
        <f t="shared" ca="1" si="277"/>
        <v>CLQ3</v>
      </c>
      <c r="AB1699" s="74" t="e">
        <f t="shared" si="279"/>
        <v>#N/A</v>
      </c>
      <c r="AC1699" s="80" t="str">
        <f t="shared" si="278"/>
        <v>LCOQ3</v>
      </c>
      <c r="AD1699" s="80" t="str">
        <f t="shared" si="280"/>
        <v>CLQ3</v>
      </c>
      <c r="AE1699" s="80" t="str">
        <f t="shared" si="281"/>
        <v>LCOU3</v>
      </c>
      <c r="AF1699" s="80" t="str">
        <f t="shared" si="282"/>
        <v>CLU3</v>
      </c>
      <c r="AG1699" s="80" t="str">
        <f t="shared" si="283"/>
        <v>LCOV3</v>
      </c>
      <c r="AH1699" s="80" t="str">
        <f t="shared" si="284"/>
        <v>LCOX3</v>
      </c>
    </row>
    <row r="1700" spans="25:34" x14ac:dyDescent="0.35">
      <c r="Y1700" s="74">
        <f t="shared" si="285"/>
        <v>45103</v>
      </c>
      <c r="Z1700" s="74" t="e">
        <f t="shared" ca="1" si="276"/>
        <v>#N/A</v>
      </c>
      <c r="AA1700" s="80" t="str">
        <f t="shared" ca="1" si="277"/>
        <v>CLQ3</v>
      </c>
      <c r="AB1700" s="74" t="e">
        <f t="shared" si="279"/>
        <v>#N/A</v>
      </c>
      <c r="AC1700" s="80" t="str">
        <f t="shared" si="278"/>
        <v>LCOQ3</v>
      </c>
      <c r="AD1700" s="80" t="str">
        <f t="shared" si="280"/>
        <v>CLQ3</v>
      </c>
      <c r="AE1700" s="80" t="str">
        <f t="shared" si="281"/>
        <v>LCOU3</v>
      </c>
      <c r="AF1700" s="80" t="str">
        <f t="shared" si="282"/>
        <v>CLU3</v>
      </c>
      <c r="AG1700" s="80" t="str">
        <f t="shared" si="283"/>
        <v>LCOV3</v>
      </c>
      <c r="AH1700" s="80" t="str">
        <f t="shared" si="284"/>
        <v>LCOX3</v>
      </c>
    </row>
    <row r="1701" spans="25:34" x14ac:dyDescent="0.35">
      <c r="Y1701" s="74">
        <f t="shared" si="285"/>
        <v>45104</v>
      </c>
      <c r="Z1701" s="74" t="e">
        <f t="shared" ca="1" si="276"/>
        <v>#N/A</v>
      </c>
      <c r="AA1701" s="80" t="str">
        <f t="shared" ca="1" si="277"/>
        <v>CLQ3</v>
      </c>
      <c r="AB1701" s="74" t="e">
        <f t="shared" si="279"/>
        <v>#N/A</v>
      </c>
      <c r="AC1701" s="80" t="str">
        <f t="shared" si="278"/>
        <v>LCOQ3</v>
      </c>
      <c r="AD1701" s="80" t="str">
        <f t="shared" si="280"/>
        <v>CLQ3</v>
      </c>
      <c r="AE1701" s="80" t="str">
        <f t="shared" si="281"/>
        <v>LCOU3</v>
      </c>
      <c r="AF1701" s="80" t="str">
        <f t="shared" si="282"/>
        <v>CLU3</v>
      </c>
      <c r="AG1701" s="80" t="str">
        <f t="shared" si="283"/>
        <v>LCOV3</v>
      </c>
      <c r="AH1701" s="80" t="str">
        <f t="shared" si="284"/>
        <v>LCOX3</v>
      </c>
    </row>
    <row r="1702" spans="25:34" x14ac:dyDescent="0.35">
      <c r="Y1702" s="74">
        <f t="shared" si="285"/>
        <v>45105</v>
      </c>
      <c r="Z1702" s="74" t="e">
        <f t="shared" ca="1" si="276"/>
        <v>#N/A</v>
      </c>
      <c r="AA1702" s="80" t="str">
        <f t="shared" ca="1" si="277"/>
        <v>CLQ3</v>
      </c>
      <c r="AB1702" s="74" t="e">
        <f t="shared" si="279"/>
        <v>#N/A</v>
      </c>
      <c r="AC1702" s="80" t="str">
        <f t="shared" si="278"/>
        <v>LCOQ3</v>
      </c>
      <c r="AD1702" s="80" t="str">
        <f t="shared" si="280"/>
        <v>CLQ3</v>
      </c>
      <c r="AE1702" s="80" t="str">
        <f t="shared" si="281"/>
        <v>LCOU3</v>
      </c>
      <c r="AF1702" s="80" t="str">
        <f t="shared" si="282"/>
        <v>CLU3</v>
      </c>
      <c r="AG1702" s="80" t="str">
        <f t="shared" si="283"/>
        <v>LCOV3</v>
      </c>
      <c r="AH1702" s="80" t="str">
        <f t="shared" si="284"/>
        <v>LCOX3</v>
      </c>
    </row>
    <row r="1703" spans="25:34" x14ac:dyDescent="0.35">
      <c r="Y1703" s="74">
        <f t="shared" si="285"/>
        <v>45106</v>
      </c>
      <c r="Z1703" s="74" t="e">
        <f t="shared" ca="1" si="276"/>
        <v>#N/A</v>
      </c>
      <c r="AA1703" s="80" t="str">
        <f t="shared" ca="1" si="277"/>
        <v>CLQ3</v>
      </c>
      <c r="AB1703" s="74" t="e">
        <f t="shared" si="279"/>
        <v>#N/A</v>
      </c>
      <c r="AC1703" s="80" t="str">
        <f t="shared" si="278"/>
        <v>LCOQ3</v>
      </c>
      <c r="AD1703" s="80" t="str">
        <f t="shared" si="280"/>
        <v>CLQ3</v>
      </c>
      <c r="AE1703" s="80" t="str">
        <f t="shared" si="281"/>
        <v>LCOU3</v>
      </c>
      <c r="AF1703" s="80" t="str">
        <f t="shared" si="282"/>
        <v>CLU3</v>
      </c>
      <c r="AG1703" s="80" t="str">
        <f t="shared" si="283"/>
        <v>LCOV3</v>
      </c>
      <c r="AH1703" s="80" t="str">
        <f t="shared" si="284"/>
        <v>LCOX3</v>
      </c>
    </row>
    <row r="1704" spans="25:34" x14ac:dyDescent="0.35">
      <c r="Y1704" s="74">
        <f t="shared" si="285"/>
        <v>45107</v>
      </c>
      <c r="Z1704" s="74" t="e">
        <f t="shared" ca="1" si="276"/>
        <v>#N/A</v>
      </c>
      <c r="AA1704" s="80" t="str">
        <f t="shared" ca="1" si="277"/>
        <v>CLQ3</v>
      </c>
      <c r="AB1704" s="74" t="e">
        <f t="shared" si="279"/>
        <v>#N/A</v>
      </c>
      <c r="AC1704" s="80" t="str">
        <f t="shared" si="278"/>
        <v>LCOQ3</v>
      </c>
      <c r="AD1704" s="80" t="str">
        <f t="shared" si="280"/>
        <v>CLQ3</v>
      </c>
      <c r="AE1704" s="80" t="str">
        <f t="shared" si="281"/>
        <v>LCOU3</v>
      </c>
      <c r="AF1704" s="80" t="str">
        <f t="shared" si="282"/>
        <v>CLU3</v>
      </c>
      <c r="AG1704" s="80" t="str">
        <f t="shared" si="283"/>
        <v>LCOV3</v>
      </c>
      <c r="AH1704" s="80" t="str">
        <f t="shared" si="284"/>
        <v>LCOX3</v>
      </c>
    </row>
    <row r="1705" spans="25:34" x14ac:dyDescent="0.35">
      <c r="Y1705" s="74">
        <f t="shared" si="285"/>
        <v>45108</v>
      </c>
      <c r="Z1705" s="74" t="e">
        <f t="shared" ca="1" si="276"/>
        <v>#N/A</v>
      </c>
      <c r="AA1705" s="80" t="str">
        <f t="shared" ca="1" si="277"/>
        <v>CLQ3</v>
      </c>
      <c r="AB1705" s="74" t="e">
        <f t="shared" si="279"/>
        <v>#N/A</v>
      </c>
      <c r="AC1705" s="80" t="str">
        <f t="shared" si="278"/>
        <v>LCOU3</v>
      </c>
      <c r="AD1705" s="80" t="str">
        <f t="shared" si="280"/>
        <v>CLU3</v>
      </c>
      <c r="AE1705" s="80" t="str">
        <f t="shared" si="281"/>
        <v>LCOV3</v>
      </c>
      <c r="AF1705" s="80" t="str">
        <f t="shared" si="282"/>
        <v>CLV3</v>
      </c>
      <c r="AG1705" s="80" t="str">
        <f t="shared" si="283"/>
        <v>LCOX3</v>
      </c>
      <c r="AH1705" s="80" t="str">
        <f t="shared" si="284"/>
        <v>LCOZ3</v>
      </c>
    </row>
    <row r="1706" spans="25:34" x14ac:dyDescent="0.35">
      <c r="Y1706" s="74">
        <f t="shared" si="285"/>
        <v>45109</v>
      </c>
      <c r="Z1706" s="74" t="e">
        <f t="shared" ca="1" si="276"/>
        <v>#N/A</v>
      </c>
      <c r="AA1706" s="80" t="str">
        <f t="shared" ca="1" si="277"/>
        <v>CLQ3</v>
      </c>
      <c r="AB1706" s="74" t="e">
        <f t="shared" si="279"/>
        <v>#N/A</v>
      </c>
      <c r="AC1706" s="80" t="str">
        <f t="shared" si="278"/>
        <v>LCOU3</v>
      </c>
      <c r="AD1706" s="80" t="str">
        <f t="shared" si="280"/>
        <v>CLU3</v>
      </c>
      <c r="AE1706" s="80" t="str">
        <f t="shared" si="281"/>
        <v>LCOV3</v>
      </c>
      <c r="AF1706" s="80" t="str">
        <f t="shared" si="282"/>
        <v>CLV3</v>
      </c>
      <c r="AG1706" s="80" t="str">
        <f t="shared" si="283"/>
        <v>LCOX3</v>
      </c>
      <c r="AH1706" s="80" t="str">
        <f t="shared" si="284"/>
        <v>LCOZ3</v>
      </c>
    </row>
    <row r="1707" spans="25:34" x14ac:dyDescent="0.35">
      <c r="Y1707" s="74">
        <f t="shared" si="285"/>
        <v>45110</v>
      </c>
      <c r="Z1707" s="74" t="e">
        <f t="shared" ca="1" si="276"/>
        <v>#N/A</v>
      </c>
      <c r="AA1707" s="80" t="str">
        <f t="shared" ca="1" si="277"/>
        <v>CLQ3</v>
      </c>
      <c r="AB1707" s="74" t="e">
        <f t="shared" si="279"/>
        <v>#N/A</v>
      </c>
      <c r="AC1707" s="80" t="str">
        <f t="shared" si="278"/>
        <v>LCOU3</v>
      </c>
      <c r="AD1707" s="80" t="str">
        <f t="shared" si="280"/>
        <v>CLU3</v>
      </c>
      <c r="AE1707" s="80" t="str">
        <f t="shared" si="281"/>
        <v>LCOV3</v>
      </c>
      <c r="AF1707" s="80" t="str">
        <f t="shared" si="282"/>
        <v>CLV3</v>
      </c>
      <c r="AG1707" s="80" t="str">
        <f t="shared" si="283"/>
        <v>LCOX3</v>
      </c>
      <c r="AH1707" s="80" t="str">
        <f t="shared" si="284"/>
        <v>LCOZ3</v>
      </c>
    </row>
    <row r="1708" spans="25:34" x14ac:dyDescent="0.35">
      <c r="Y1708" s="74">
        <f t="shared" si="285"/>
        <v>45111</v>
      </c>
      <c r="Z1708" s="74" t="e">
        <f t="shared" ca="1" si="276"/>
        <v>#N/A</v>
      </c>
      <c r="AA1708" s="80" t="str">
        <f t="shared" ca="1" si="277"/>
        <v>CLQ3</v>
      </c>
      <c r="AB1708" s="74" t="e">
        <f t="shared" si="279"/>
        <v>#N/A</v>
      </c>
      <c r="AC1708" s="80" t="str">
        <f t="shared" si="278"/>
        <v>LCOU3</v>
      </c>
      <c r="AD1708" s="80" t="str">
        <f t="shared" si="280"/>
        <v>CLU3</v>
      </c>
      <c r="AE1708" s="80" t="str">
        <f t="shared" si="281"/>
        <v>LCOV3</v>
      </c>
      <c r="AF1708" s="80" t="str">
        <f t="shared" si="282"/>
        <v>CLV3</v>
      </c>
      <c r="AG1708" s="80" t="str">
        <f t="shared" si="283"/>
        <v>LCOX3</v>
      </c>
      <c r="AH1708" s="80" t="str">
        <f t="shared" si="284"/>
        <v>LCOZ3</v>
      </c>
    </row>
    <row r="1709" spans="25:34" x14ac:dyDescent="0.35">
      <c r="Y1709" s="74">
        <f t="shared" si="285"/>
        <v>45112</v>
      </c>
      <c r="Z1709" s="74" t="e">
        <f t="shared" ca="1" si="276"/>
        <v>#N/A</v>
      </c>
      <c r="AA1709" s="80" t="str">
        <f t="shared" ca="1" si="277"/>
        <v>CLQ3</v>
      </c>
      <c r="AB1709" s="74" t="e">
        <f t="shared" si="279"/>
        <v>#N/A</v>
      </c>
      <c r="AC1709" s="80" t="str">
        <f t="shared" si="278"/>
        <v>LCOU3</v>
      </c>
      <c r="AD1709" s="80" t="str">
        <f t="shared" si="280"/>
        <v>CLU3</v>
      </c>
      <c r="AE1709" s="80" t="str">
        <f t="shared" si="281"/>
        <v>LCOV3</v>
      </c>
      <c r="AF1709" s="80" t="str">
        <f t="shared" si="282"/>
        <v>CLV3</v>
      </c>
      <c r="AG1709" s="80" t="str">
        <f t="shared" si="283"/>
        <v>LCOX3</v>
      </c>
      <c r="AH1709" s="80" t="str">
        <f t="shared" si="284"/>
        <v>LCOZ3</v>
      </c>
    </row>
    <row r="1710" spans="25:34" x14ac:dyDescent="0.35">
      <c r="Y1710" s="74">
        <f t="shared" si="285"/>
        <v>45113</v>
      </c>
      <c r="Z1710" s="74" t="e">
        <f t="shared" ca="1" si="276"/>
        <v>#N/A</v>
      </c>
      <c r="AA1710" s="80" t="str">
        <f t="shared" ca="1" si="277"/>
        <v>CLQ3</v>
      </c>
      <c r="AB1710" s="74" t="e">
        <f t="shared" si="279"/>
        <v>#N/A</v>
      </c>
      <c r="AC1710" s="80" t="str">
        <f t="shared" si="278"/>
        <v>LCOU3</v>
      </c>
      <c r="AD1710" s="80" t="str">
        <f t="shared" si="280"/>
        <v>CLU3</v>
      </c>
      <c r="AE1710" s="80" t="str">
        <f t="shared" si="281"/>
        <v>LCOV3</v>
      </c>
      <c r="AF1710" s="80" t="str">
        <f t="shared" si="282"/>
        <v>CLV3</v>
      </c>
      <c r="AG1710" s="80" t="str">
        <f t="shared" si="283"/>
        <v>LCOX3</v>
      </c>
      <c r="AH1710" s="80" t="str">
        <f t="shared" si="284"/>
        <v>LCOZ3</v>
      </c>
    </row>
    <row r="1711" spans="25:34" x14ac:dyDescent="0.35">
      <c r="Y1711" s="74">
        <f t="shared" si="285"/>
        <v>45114</v>
      </c>
      <c r="Z1711" s="74" t="e">
        <f t="shared" ca="1" si="276"/>
        <v>#N/A</v>
      </c>
      <c r="AA1711" s="80" t="str">
        <f t="shared" ca="1" si="277"/>
        <v>CLQ3</v>
      </c>
      <c r="AB1711" s="74" t="e">
        <f t="shared" si="279"/>
        <v>#N/A</v>
      </c>
      <c r="AC1711" s="80" t="str">
        <f t="shared" si="278"/>
        <v>LCOU3</v>
      </c>
      <c r="AD1711" s="80" t="str">
        <f t="shared" si="280"/>
        <v>CLU3</v>
      </c>
      <c r="AE1711" s="80" t="str">
        <f t="shared" si="281"/>
        <v>LCOV3</v>
      </c>
      <c r="AF1711" s="80" t="str">
        <f t="shared" si="282"/>
        <v>CLV3</v>
      </c>
      <c r="AG1711" s="80" t="str">
        <f t="shared" si="283"/>
        <v>LCOX3</v>
      </c>
      <c r="AH1711" s="80" t="str">
        <f t="shared" si="284"/>
        <v>LCOZ3</v>
      </c>
    </row>
    <row r="1712" spans="25:34" x14ac:dyDescent="0.35">
      <c r="Y1712" s="74">
        <f t="shared" si="285"/>
        <v>45115</v>
      </c>
      <c r="Z1712" s="74" t="e">
        <f t="shared" ca="1" si="276"/>
        <v>#N/A</v>
      </c>
      <c r="AA1712" s="80" t="str">
        <f t="shared" ca="1" si="277"/>
        <v>CLQ3</v>
      </c>
      <c r="AB1712" s="74" t="e">
        <f t="shared" si="279"/>
        <v>#N/A</v>
      </c>
      <c r="AC1712" s="80" t="str">
        <f t="shared" si="278"/>
        <v>LCOU3</v>
      </c>
      <c r="AD1712" s="80" t="str">
        <f t="shared" si="280"/>
        <v>CLU3</v>
      </c>
      <c r="AE1712" s="80" t="str">
        <f t="shared" si="281"/>
        <v>LCOV3</v>
      </c>
      <c r="AF1712" s="80" t="str">
        <f t="shared" si="282"/>
        <v>CLV3</v>
      </c>
      <c r="AG1712" s="80" t="str">
        <f t="shared" si="283"/>
        <v>LCOX3</v>
      </c>
      <c r="AH1712" s="80" t="str">
        <f t="shared" si="284"/>
        <v>LCOZ3</v>
      </c>
    </row>
    <row r="1713" spans="25:34" x14ac:dyDescent="0.35">
      <c r="Y1713" s="74">
        <f t="shared" si="285"/>
        <v>45116</v>
      </c>
      <c r="Z1713" s="74" t="e">
        <f t="shared" ca="1" si="276"/>
        <v>#N/A</v>
      </c>
      <c r="AA1713" s="80" t="str">
        <f t="shared" ca="1" si="277"/>
        <v>CLQ3</v>
      </c>
      <c r="AB1713" s="74" t="e">
        <f t="shared" si="279"/>
        <v>#N/A</v>
      </c>
      <c r="AC1713" s="80" t="str">
        <f t="shared" si="278"/>
        <v>LCOU3</v>
      </c>
      <c r="AD1713" s="80" t="str">
        <f t="shared" si="280"/>
        <v>CLU3</v>
      </c>
      <c r="AE1713" s="80" t="str">
        <f t="shared" si="281"/>
        <v>LCOV3</v>
      </c>
      <c r="AF1713" s="80" t="str">
        <f t="shared" si="282"/>
        <v>CLV3</v>
      </c>
      <c r="AG1713" s="80" t="str">
        <f t="shared" si="283"/>
        <v>LCOX3</v>
      </c>
      <c r="AH1713" s="80" t="str">
        <f t="shared" si="284"/>
        <v>LCOZ3</v>
      </c>
    </row>
    <row r="1714" spans="25:34" x14ac:dyDescent="0.35">
      <c r="Y1714" s="74">
        <f t="shared" si="285"/>
        <v>45117</v>
      </c>
      <c r="Z1714" s="74" t="e">
        <f t="shared" ca="1" si="276"/>
        <v>#N/A</v>
      </c>
      <c r="AA1714" s="80" t="str">
        <f t="shared" ca="1" si="277"/>
        <v>CLQ3</v>
      </c>
      <c r="AB1714" s="74" t="e">
        <f t="shared" si="279"/>
        <v>#N/A</v>
      </c>
      <c r="AC1714" s="80" t="str">
        <f t="shared" si="278"/>
        <v>LCOU3</v>
      </c>
      <c r="AD1714" s="80" t="str">
        <f t="shared" si="280"/>
        <v>CLU3</v>
      </c>
      <c r="AE1714" s="80" t="str">
        <f t="shared" si="281"/>
        <v>LCOV3</v>
      </c>
      <c r="AF1714" s="80" t="str">
        <f t="shared" si="282"/>
        <v>CLV3</v>
      </c>
      <c r="AG1714" s="80" t="str">
        <f t="shared" si="283"/>
        <v>LCOX3</v>
      </c>
      <c r="AH1714" s="80" t="str">
        <f t="shared" si="284"/>
        <v>LCOZ3</v>
      </c>
    </row>
    <row r="1715" spans="25:34" x14ac:dyDescent="0.35">
      <c r="Y1715" s="74">
        <f t="shared" si="285"/>
        <v>45118</v>
      </c>
      <c r="Z1715" s="74" t="e">
        <f t="shared" ca="1" si="276"/>
        <v>#N/A</v>
      </c>
      <c r="AA1715" s="80" t="str">
        <f t="shared" ca="1" si="277"/>
        <v>CLQ3</v>
      </c>
      <c r="AB1715" s="74" t="e">
        <f t="shared" si="279"/>
        <v>#N/A</v>
      </c>
      <c r="AC1715" s="80" t="str">
        <f t="shared" si="278"/>
        <v>LCOU3</v>
      </c>
      <c r="AD1715" s="80" t="str">
        <f t="shared" si="280"/>
        <v>CLU3</v>
      </c>
      <c r="AE1715" s="80" t="str">
        <f t="shared" si="281"/>
        <v>LCOV3</v>
      </c>
      <c r="AF1715" s="80" t="str">
        <f t="shared" si="282"/>
        <v>CLV3</v>
      </c>
      <c r="AG1715" s="80" t="str">
        <f t="shared" si="283"/>
        <v>LCOX3</v>
      </c>
      <c r="AH1715" s="80" t="str">
        <f t="shared" si="284"/>
        <v>LCOZ3</v>
      </c>
    </row>
    <row r="1716" spans="25:34" x14ac:dyDescent="0.35">
      <c r="Y1716" s="74">
        <f t="shared" si="285"/>
        <v>45119</v>
      </c>
      <c r="Z1716" s="74" t="e">
        <f t="shared" ca="1" si="276"/>
        <v>#N/A</v>
      </c>
      <c r="AA1716" s="80" t="str">
        <f t="shared" ca="1" si="277"/>
        <v>CLQ3</v>
      </c>
      <c r="AB1716" s="74" t="e">
        <f t="shared" si="279"/>
        <v>#N/A</v>
      </c>
      <c r="AC1716" s="80" t="str">
        <f t="shared" si="278"/>
        <v>LCOU3</v>
      </c>
      <c r="AD1716" s="80" t="str">
        <f t="shared" si="280"/>
        <v>CLU3</v>
      </c>
      <c r="AE1716" s="80" t="str">
        <f t="shared" si="281"/>
        <v>LCOV3</v>
      </c>
      <c r="AF1716" s="80" t="str">
        <f t="shared" si="282"/>
        <v>CLV3</v>
      </c>
      <c r="AG1716" s="80" t="str">
        <f t="shared" si="283"/>
        <v>LCOX3</v>
      </c>
      <c r="AH1716" s="80" t="str">
        <f t="shared" si="284"/>
        <v>LCOZ3</v>
      </c>
    </row>
    <row r="1717" spans="25:34" x14ac:dyDescent="0.35">
      <c r="Y1717" s="74">
        <f t="shared" si="285"/>
        <v>45120</v>
      </c>
      <c r="Z1717" s="74" t="e">
        <f t="shared" ca="1" si="276"/>
        <v>#N/A</v>
      </c>
      <c r="AA1717" s="80" t="str">
        <f t="shared" ca="1" si="277"/>
        <v>CLQ3</v>
      </c>
      <c r="AB1717" s="74" t="e">
        <f t="shared" si="279"/>
        <v>#N/A</v>
      </c>
      <c r="AC1717" s="80" t="str">
        <f t="shared" si="278"/>
        <v>LCOU3</v>
      </c>
      <c r="AD1717" s="80" t="str">
        <f t="shared" si="280"/>
        <v>CLU3</v>
      </c>
      <c r="AE1717" s="80" t="str">
        <f t="shared" si="281"/>
        <v>LCOV3</v>
      </c>
      <c r="AF1717" s="80" t="str">
        <f t="shared" si="282"/>
        <v>CLV3</v>
      </c>
      <c r="AG1717" s="80" t="str">
        <f t="shared" si="283"/>
        <v>LCOX3</v>
      </c>
      <c r="AH1717" s="80" t="str">
        <f t="shared" si="284"/>
        <v>LCOZ3</v>
      </c>
    </row>
    <row r="1718" spans="25:34" x14ac:dyDescent="0.35">
      <c r="Y1718" s="74">
        <f t="shared" si="285"/>
        <v>45121</v>
      </c>
      <c r="Z1718" s="74" t="e">
        <f t="shared" ca="1" si="276"/>
        <v>#N/A</v>
      </c>
      <c r="AA1718" s="80" t="str">
        <f t="shared" ca="1" si="277"/>
        <v>CLQ3</v>
      </c>
      <c r="AB1718" s="74" t="e">
        <f t="shared" si="279"/>
        <v>#N/A</v>
      </c>
      <c r="AC1718" s="80" t="str">
        <f t="shared" si="278"/>
        <v>LCOU3</v>
      </c>
      <c r="AD1718" s="80" t="str">
        <f t="shared" si="280"/>
        <v>CLU3</v>
      </c>
      <c r="AE1718" s="80" t="str">
        <f t="shared" si="281"/>
        <v>LCOV3</v>
      </c>
      <c r="AF1718" s="80" t="str">
        <f t="shared" si="282"/>
        <v>CLV3</v>
      </c>
      <c r="AG1718" s="80" t="str">
        <f t="shared" si="283"/>
        <v>LCOX3</v>
      </c>
      <c r="AH1718" s="80" t="str">
        <f t="shared" si="284"/>
        <v>LCOZ3</v>
      </c>
    </row>
    <row r="1719" spans="25:34" x14ac:dyDescent="0.35">
      <c r="Y1719" s="74">
        <f t="shared" si="285"/>
        <v>45122</v>
      </c>
      <c r="Z1719" s="74" t="e">
        <f t="shared" ca="1" si="276"/>
        <v>#N/A</v>
      </c>
      <c r="AA1719" s="80" t="str">
        <f t="shared" ca="1" si="277"/>
        <v>CLQ3</v>
      </c>
      <c r="AB1719" s="74" t="e">
        <f t="shared" si="279"/>
        <v>#N/A</v>
      </c>
      <c r="AC1719" s="80" t="str">
        <f t="shared" si="278"/>
        <v>LCOU3</v>
      </c>
      <c r="AD1719" s="80" t="str">
        <f t="shared" si="280"/>
        <v>CLU3</v>
      </c>
      <c r="AE1719" s="80" t="str">
        <f t="shared" si="281"/>
        <v>LCOV3</v>
      </c>
      <c r="AF1719" s="80" t="str">
        <f t="shared" si="282"/>
        <v>CLV3</v>
      </c>
      <c r="AG1719" s="80" t="str">
        <f t="shared" si="283"/>
        <v>LCOX3</v>
      </c>
      <c r="AH1719" s="80" t="str">
        <f t="shared" si="284"/>
        <v>LCOZ3</v>
      </c>
    </row>
    <row r="1720" spans="25:34" x14ac:dyDescent="0.35">
      <c r="Y1720" s="74">
        <f t="shared" si="285"/>
        <v>45123</v>
      </c>
      <c r="Z1720" s="74" t="e">
        <f t="shared" ca="1" si="276"/>
        <v>#N/A</v>
      </c>
      <c r="AA1720" s="80" t="str">
        <f t="shared" ca="1" si="277"/>
        <v>CLQ3</v>
      </c>
      <c r="AB1720" s="74" t="e">
        <f t="shared" si="279"/>
        <v>#N/A</v>
      </c>
      <c r="AC1720" s="80" t="str">
        <f t="shared" si="278"/>
        <v>LCOU3</v>
      </c>
      <c r="AD1720" s="80" t="str">
        <f t="shared" si="280"/>
        <v>CLU3</v>
      </c>
      <c r="AE1720" s="80" t="str">
        <f t="shared" si="281"/>
        <v>LCOV3</v>
      </c>
      <c r="AF1720" s="80" t="str">
        <f t="shared" si="282"/>
        <v>CLV3</v>
      </c>
      <c r="AG1720" s="80" t="str">
        <f t="shared" si="283"/>
        <v>LCOX3</v>
      </c>
      <c r="AH1720" s="80" t="str">
        <f t="shared" si="284"/>
        <v>LCOZ3</v>
      </c>
    </row>
    <row r="1721" spans="25:34" x14ac:dyDescent="0.35">
      <c r="Y1721" s="74">
        <f t="shared" si="285"/>
        <v>45124</v>
      </c>
      <c r="Z1721" s="74" t="e">
        <f t="shared" ca="1" si="276"/>
        <v>#N/A</v>
      </c>
      <c r="AA1721" s="80" t="str">
        <f t="shared" ca="1" si="277"/>
        <v>CLQ3</v>
      </c>
      <c r="AB1721" s="74" t="e">
        <f t="shared" si="279"/>
        <v>#N/A</v>
      </c>
      <c r="AC1721" s="80" t="str">
        <f t="shared" si="278"/>
        <v>LCOU3</v>
      </c>
      <c r="AD1721" s="80" t="str">
        <f t="shared" si="280"/>
        <v>CLU3</v>
      </c>
      <c r="AE1721" s="80" t="str">
        <f t="shared" si="281"/>
        <v>LCOV3</v>
      </c>
      <c r="AF1721" s="80" t="str">
        <f t="shared" si="282"/>
        <v>CLV3</v>
      </c>
      <c r="AG1721" s="80" t="str">
        <f t="shared" si="283"/>
        <v>LCOX3</v>
      </c>
      <c r="AH1721" s="80" t="str">
        <f t="shared" si="284"/>
        <v>LCOZ3</v>
      </c>
    </row>
    <row r="1722" spans="25:34" x14ac:dyDescent="0.35">
      <c r="Y1722" s="74">
        <f t="shared" si="285"/>
        <v>45125</v>
      </c>
      <c r="Z1722" s="74" t="e">
        <f t="shared" ca="1" si="276"/>
        <v>#N/A</v>
      </c>
      <c r="AA1722" s="80" t="str">
        <f t="shared" ca="1" si="277"/>
        <v>CLQ3</v>
      </c>
      <c r="AB1722" s="74" t="e">
        <f t="shared" si="279"/>
        <v>#N/A</v>
      </c>
      <c r="AC1722" s="80" t="str">
        <f t="shared" si="278"/>
        <v>LCOU3</v>
      </c>
      <c r="AD1722" s="80" t="str">
        <f t="shared" si="280"/>
        <v>CLU3</v>
      </c>
      <c r="AE1722" s="80" t="str">
        <f t="shared" si="281"/>
        <v>LCOV3</v>
      </c>
      <c r="AF1722" s="80" t="str">
        <f t="shared" si="282"/>
        <v>CLV3</v>
      </c>
      <c r="AG1722" s="80" t="str">
        <f t="shared" si="283"/>
        <v>LCOX3</v>
      </c>
      <c r="AH1722" s="80" t="str">
        <f t="shared" si="284"/>
        <v>LCOZ3</v>
      </c>
    </row>
    <row r="1723" spans="25:34" x14ac:dyDescent="0.35">
      <c r="Y1723" s="74">
        <f t="shared" si="285"/>
        <v>45126</v>
      </c>
      <c r="Z1723" s="74" t="e">
        <f t="shared" ca="1" si="276"/>
        <v>#N/A</v>
      </c>
      <c r="AA1723" s="80" t="str">
        <f t="shared" ca="1" si="277"/>
        <v>CLQ3</v>
      </c>
      <c r="AB1723" s="74" t="e">
        <f t="shared" si="279"/>
        <v>#N/A</v>
      </c>
      <c r="AC1723" s="80" t="str">
        <f t="shared" si="278"/>
        <v>LCOU3</v>
      </c>
      <c r="AD1723" s="80" t="str">
        <f t="shared" si="280"/>
        <v>CLU3</v>
      </c>
      <c r="AE1723" s="80" t="str">
        <f t="shared" si="281"/>
        <v>LCOV3</v>
      </c>
      <c r="AF1723" s="80" t="str">
        <f t="shared" si="282"/>
        <v>CLV3</v>
      </c>
      <c r="AG1723" s="80" t="str">
        <f t="shared" si="283"/>
        <v>LCOX3</v>
      </c>
      <c r="AH1723" s="80" t="str">
        <f t="shared" si="284"/>
        <v>LCOZ3</v>
      </c>
    </row>
    <row r="1724" spans="25:34" x14ac:dyDescent="0.35">
      <c r="Y1724" s="74">
        <f t="shared" si="285"/>
        <v>45127</v>
      </c>
      <c r="Z1724" s="74" t="e">
        <f t="shared" ca="1" si="276"/>
        <v>#N/A</v>
      </c>
      <c r="AA1724" s="80" t="str">
        <f t="shared" ca="1" si="277"/>
        <v>CLQ3</v>
      </c>
      <c r="AB1724" s="74" t="e">
        <f t="shared" si="279"/>
        <v>#N/A</v>
      </c>
      <c r="AC1724" s="80" t="str">
        <f t="shared" si="278"/>
        <v>LCOU3</v>
      </c>
      <c r="AD1724" s="80" t="str">
        <f t="shared" si="280"/>
        <v>CLU3</v>
      </c>
      <c r="AE1724" s="80" t="str">
        <f t="shared" si="281"/>
        <v>LCOV3</v>
      </c>
      <c r="AF1724" s="80" t="str">
        <f t="shared" si="282"/>
        <v>CLV3</v>
      </c>
      <c r="AG1724" s="80" t="str">
        <f t="shared" si="283"/>
        <v>LCOX3</v>
      </c>
      <c r="AH1724" s="80" t="str">
        <f t="shared" si="284"/>
        <v>LCOZ3</v>
      </c>
    </row>
    <row r="1725" spans="25:34" x14ac:dyDescent="0.35">
      <c r="Y1725" s="74">
        <f t="shared" si="285"/>
        <v>45128</v>
      </c>
      <c r="Z1725" s="74" t="e">
        <f t="shared" ca="1" si="276"/>
        <v>#N/A</v>
      </c>
      <c r="AA1725" s="80" t="str">
        <f t="shared" ca="1" si="277"/>
        <v>CLU3</v>
      </c>
      <c r="AB1725" s="74" t="e">
        <f t="shared" si="279"/>
        <v>#N/A</v>
      </c>
      <c r="AC1725" s="80" t="str">
        <f t="shared" si="278"/>
        <v>LCOU3</v>
      </c>
      <c r="AD1725" s="80" t="str">
        <f t="shared" si="280"/>
        <v>CLU3</v>
      </c>
      <c r="AE1725" s="80" t="str">
        <f t="shared" si="281"/>
        <v>LCOV3</v>
      </c>
      <c r="AF1725" s="80" t="str">
        <f t="shared" si="282"/>
        <v>CLV3</v>
      </c>
      <c r="AG1725" s="80" t="str">
        <f t="shared" si="283"/>
        <v>LCOX3</v>
      </c>
      <c r="AH1725" s="80" t="str">
        <f t="shared" si="284"/>
        <v>LCOZ3</v>
      </c>
    </row>
    <row r="1726" spans="25:34" x14ac:dyDescent="0.35">
      <c r="Y1726" s="74">
        <f t="shared" si="285"/>
        <v>45129</v>
      </c>
      <c r="Z1726" s="74" t="e">
        <f t="shared" ca="1" si="276"/>
        <v>#N/A</v>
      </c>
      <c r="AA1726" s="80" t="str">
        <f t="shared" ca="1" si="277"/>
        <v>CLU3</v>
      </c>
      <c r="AB1726" s="74" t="e">
        <f t="shared" si="279"/>
        <v>#N/A</v>
      </c>
      <c r="AC1726" s="80" t="str">
        <f t="shared" si="278"/>
        <v>LCOU3</v>
      </c>
      <c r="AD1726" s="80" t="str">
        <f t="shared" si="280"/>
        <v>CLU3</v>
      </c>
      <c r="AE1726" s="80" t="str">
        <f t="shared" si="281"/>
        <v>LCOV3</v>
      </c>
      <c r="AF1726" s="80" t="str">
        <f t="shared" si="282"/>
        <v>CLV3</v>
      </c>
      <c r="AG1726" s="80" t="str">
        <f t="shared" si="283"/>
        <v>LCOX3</v>
      </c>
      <c r="AH1726" s="80" t="str">
        <f t="shared" si="284"/>
        <v>LCOZ3</v>
      </c>
    </row>
    <row r="1727" spans="25:34" x14ac:dyDescent="0.35">
      <c r="Y1727" s="74">
        <f t="shared" si="285"/>
        <v>45130</v>
      </c>
      <c r="Z1727" s="74" t="e">
        <f t="shared" ca="1" si="276"/>
        <v>#N/A</v>
      </c>
      <c r="AA1727" s="80" t="str">
        <f t="shared" ca="1" si="277"/>
        <v>CLU3</v>
      </c>
      <c r="AB1727" s="74" t="e">
        <f t="shared" si="279"/>
        <v>#N/A</v>
      </c>
      <c r="AC1727" s="80" t="str">
        <f t="shared" si="278"/>
        <v>LCOU3</v>
      </c>
      <c r="AD1727" s="80" t="str">
        <f t="shared" si="280"/>
        <v>CLU3</v>
      </c>
      <c r="AE1727" s="80" t="str">
        <f t="shared" si="281"/>
        <v>LCOV3</v>
      </c>
      <c r="AF1727" s="80" t="str">
        <f t="shared" si="282"/>
        <v>CLV3</v>
      </c>
      <c r="AG1727" s="80" t="str">
        <f t="shared" si="283"/>
        <v>LCOX3</v>
      </c>
      <c r="AH1727" s="80" t="str">
        <f t="shared" si="284"/>
        <v>LCOZ3</v>
      </c>
    </row>
    <row r="1728" spans="25:34" x14ac:dyDescent="0.35">
      <c r="Y1728" s="74">
        <f t="shared" si="285"/>
        <v>45131</v>
      </c>
      <c r="Z1728" s="74" t="e">
        <f t="shared" ca="1" si="276"/>
        <v>#N/A</v>
      </c>
      <c r="AA1728" s="80" t="str">
        <f t="shared" ca="1" si="277"/>
        <v>CLU3</v>
      </c>
      <c r="AB1728" s="74" t="e">
        <f t="shared" si="279"/>
        <v>#N/A</v>
      </c>
      <c r="AC1728" s="80" t="str">
        <f t="shared" si="278"/>
        <v>LCOU3</v>
      </c>
      <c r="AD1728" s="80" t="str">
        <f t="shared" si="280"/>
        <v>CLU3</v>
      </c>
      <c r="AE1728" s="80" t="str">
        <f t="shared" si="281"/>
        <v>LCOV3</v>
      </c>
      <c r="AF1728" s="80" t="str">
        <f t="shared" si="282"/>
        <v>CLV3</v>
      </c>
      <c r="AG1728" s="80" t="str">
        <f t="shared" si="283"/>
        <v>LCOX3</v>
      </c>
      <c r="AH1728" s="80" t="str">
        <f t="shared" si="284"/>
        <v>LCOZ3</v>
      </c>
    </row>
    <row r="1729" spans="25:34" x14ac:dyDescent="0.35">
      <c r="Y1729" s="74">
        <f t="shared" si="285"/>
        <v>45132</v>
      </c>
      <c r="Z1729" s="74" t="e">
        <f t="shared" ca="1" si="276"/>
        <v>#N/A</v>
      </c>
      <c r="AA1729" s="80" t="str">
        <f t="shared" ca="1" si="277"/>
        <v>CLU3</v>
      </c>
      <c r="AB1729" s="74" t="e">
        <f t="shared" si="279"/>
        <v>#N/A</v>
      </c>
      <c r="AC1729" s="80" t="str">
        <f t="shared" si="278"/>
        <v>LCOU3</v>
      </c>
      <c r="AD1729" s="80" t="str">
        <f t="shared" si="280"/>
        <v>CLU3</v>
      </c>
      <c r="AE1729" s="80" t="str">
        <f t="shared" si="281"/>
        <v>LCOV3</v>
      </c>
      <c r="AF1729" s="80" t="str">
        <f t="shared" si="282"/>
        <v>CLV3</v>
      </c>
      <c r="AG1729" s="80" t="str">
        <f t="shared" si="283"/>
        <v>LCOX3</v>
      </c>
      <c r="AH1729" s="80" t="str">
        <f t="shared" si="284"/>
        <v>LCOZ3</v>
      </c>
    </row>
    <row r="1730" spans="25:34" x14ac:dyDescent="0.35">
      <c r="Y1730" s="74">
        <f t="shared" si="285"/>
        <v>45133</v>
      </c>
      <c r="Z1730" s="74" t="e">
        <f t="shared" ref="Z1730:Z1793" ca="1" si="286">VLOOKUP(AA1730,$I$2:$K$39,3,FALSE)</f>
        <v>#N/A</v>
      </c>
      <c r="AA1730" s="80" t="str">
        <f t="shared" ref="AA1730:AA1793" ca="1" si="287">LOOKUP(2,1/($J$2:$J$700&lt;=$Y1730)/($K$2:$K$700&gt;=$Y1730),$L$2:$L$700)</f>
        <v>CLU3</v>
      </c>
      <c r="AB1730" s="74" t="e">
        <f t="shared" si="279"/>
        <v>#N/A</v>
      </c>
      <c r="AC1730" s="80" t="str">
        <f t="shared" ref="AC1730:AC1793" si="288">LOOKUP(2,1/($R$2:$R$700&lt;=$Y1730)/($S$2:$S$700&gt;=$Y1730),$T$2:$T$700)</f>
        <v>LCOU3</v>
      </c>
      <c r="AD1730" s="80" t="str">
        <f t="shared" si="280"/>
        <v>CLU3</v>
      </c>
      <c r="AE1730" s="80" t="str">
        <f t="shared" si="281"/>
        <v>LCOV3</v>
      </c>
      <c r="AF1730" s="80" t="str">
        <f t="shared" si="282"/>
        <v>CLV3</v>
      </c>
      <c r="AG1730" s="80" t="str">
        <f t="shared" si="283"/>
        <v>LCOX3</v>
      </c>
      <c r="AH1730" s="80" t="str">
        <f t="shared" si="284"/>
        <v>LCOZ3</v>
      </c>
    </row>
    <row r="1731" spans="25:34" x14ac:dyDescent="0.35">
      <c r="Y1731" s="74">
        <f t="shared" si="285"/>
        <v>45134</v>
      </c>
      <c r="Z1731" s="74" t="e">
        <f t="shared" ca="1" si="286"/>
        <v>#N/A</v>
      </c>
      <c r="AA1731" s="80" t="str">
        <f t="shared" ca="1" si="287"/>
        <v>CLU3</v>
      </c>
      <c r="AB1731" s="74" t="e">
        <f t="shared" ref="AB1731:AB1794" si="289">VLOOKUP(AC1731,$Q$2:$S$39,3,FALSE)</f>
        <v>#N/A</v>
      </c>
      <c r="AC1731" s="80" t="str">
        <f t="shared" si="288"/>
        <v>LCOU3</v>
      </c>
      <c r="AD1731" s="80" t="str">
        <f t="shared" ref="AD1731:AD1794" si="290">CONCATENATE("CL",RIGHT(AC1731,2))</f>
        <v>CLU3</v>
      </c>
      <c r="AE1731" s="80" t="str">
        <f t="shared" ref="AE1731:AE1794" si="291">LOOKUP(2,1/($R$2:$R$700&lt;=$Y1731)/($S$2:$S$700&gt;=$Y1731),$U$2:$U$700)</f>
        <v>LCOV3</v>
      </c>
      <c r="AF1731" s="80" t="str">
        <f t="shared" ref="AF1731:AF1794" si="292">CONCATENATE("CL",RIGHT(AE1731,2))</f>
        <v>CLV3</v>
      </c>
      <c r="AG1731" s="80" t="str">
        <f t="shared" ref="AG1731:AG1794" si="293">LOOKUP(2,1/($R$2:$R$700&lt;=$Y1731)/($S$2:$S$700&gt;=$Y1731),$V$2:$V$700)</f>
        <v>LCOX3</v>
      </c>
      <c r="AH1731" s="80" t="str">
        <f t="shared" ref="AH1731:AH1794" si="294">LOOKUP(2,1/($R$2:$R$700&lt;=$Y1731)/($S$2:$S$700&gt;=$Y1731),$W$2:$W$700)</f>
        <v>LCOZ3</v>
      </c>
    </row>
    <row r="1732" spans="25:34" x14ac:dyDescent="0.35">
      <c r="Y1732" s="74">
        <f t="shared" si="285"/>
        <v>45135</v>
      </c>
      <c r="Z1732" s="74" t="e">
        <f t="shared" ca="1" si="286"/>
        <v>#N/A</v>
      </c>
      <c r="AA1732" s="80" t="str">
        <f t="shared" ca="1" si="287"/>
        <v>CLU3</v>
      </c>
      <c r="AB1732" s="74" t="e">
        <f t="shared" si="289"/>
        <v>#N/A</v>
      </c>
      <c r="AC1732" s="80" t="str">
        <f t="shared" si="288"/>
        <v>LCOU3</v>
      </c>
      <c r="AD1732" s="80" t="str">
        <f t="shared" si="290"/>
        <v>CLU3</v>
      </c>
      <c r="AE1732" s="80" t="str">
        <f t="shared" si="291"/>
        <v>LCOV3</v>
      </c>
      <c r="AF1732" s="80" t="str">
        <f t="shared" si="292"/>
        <v>CLV3</v>
      </c>
      <c r="AG1732" s="80" t="str">
        <f t="shared" si="293"/>
        <v>LCOX3</v>
      </c>
      <c r="AH1732" s="80" t="str">
        <f t="shared" si="294"/>
        <v>LCOZ3</v>
      </c>
    </row>
    <row r="1733" spans="25:34" x14ac:dyDescent="0.35">
      <c r="Y1733" s="74">
        <f t="shared" si="285"/>
        <v>45136</v>
      </c>
      <c r="Z1733" s="74" t="e">
        <f t="shared" ca="1" si="286"/>
        <v>#N/A</v>
      </c>
      <c r="AA1733" s="80" t="str">
        <f t="shared" ca="1" si="287"/>
        <v>CLU3</v>
      </c>
      <c r="AB1733" s="74" t="e">
        <f t="shared" si="289"/>
        <v>#N/A</v>
      </c>
      <c r="AC1733" s="80" t="str">
        <f t="shared" si="288"/>
        <v>LCOU3</v>
      </c>
      <c r="AD1733" s="80" t="str">
        <f t="shared" si="290"/>
        <v>CLU3</v>
      </c>
      <c r="AE1733" s="80" t="str">
        <f t="shared" si="291"/>
        <v>LCOV3</v>
      </c>
      <c r="AF1733" s="80" t="str">
        <f t="shared" si="292"/>
        <v>CLV3</v>
      </c>
      <c r="AG1733" s="80" t="str">
        <f t="shared" si="293"/>
        <v>LCOX3</v>
      </c>
      <c r="AH1733" s="80" t="str">
        <f t="shared" si="294"/>
        <v>LCOZ3</v>
      </c>
    </row>
    <row r="1734" spans="25:34" x14ac:dyDescent="0.35">
      <c r="Y1734" s="74">
        <f t="shared" si="285"/>
        <v>45137</v>
      </c>
      <c r="Z1734" s="74" t="e">
        <f t="shared" ca="1" si="286"/>
        <v>#N/A</v>
      </c>
      <c r="AA1734" s="80" t="str">
        <f t="shared" ca="1" si="287"/>
        <v>CLU3</v>
      </c>
      <c r="AB1734" s="74" t="e">
        <f t="shared" si="289"/>
        <v>#N/A</v>
      </c>
      <c r="AC1734" s="80" t="str">
        <f t="shared" si="288"/>
        <v>LCOU3</v>
      </c>
      <c r="AD1734" s="80" t="str">
        <f t="shared" si="290"/>
        <v>CLU3</v>
      </c>
      <c r="AE1734" s="80" t="str">
        <f t="shared" si="291"/>
        <v>LCOV3</v>
      </c>
      <c r="AF1734" s="80" t="str">
        <f t="shared" si="292"/>
        <v>CLV3</v>
      </c>
      <c r="AG1734" s="80" t="str">
        <f t="shared" si="293"/>
        <v>LCOX3</v>
      </c>
      <c r="AH1734" s="80" t="str">
        <f t="shared" si="294"/>
        <v>LCOZ3</v>
      </c>
    </row>
    <row r="1735" spans="25:34" x14ac:dyDescent="0.35">
      <c r="Y1735" s="74">
        <f t="shared" si="285"/>
        <v>45138</v>
      </c>
      <c r="Z1735" s="74" t="e">
        <f t="shared" ca="1" si="286"/>
        <v>#N/A</v>
      </c>
      <c r="AA1735" s="80" t="str">
        <f t="shared" ca="1" si="287"/>
        <v>CLU3</v>
      </c>
      <c r="AB1735" s="74" t="e">
        <f t="shared" si="289"/>
        <v>#N/A</v>
      </c>
      <c r="AC1735" s="80" t="str">
        <f t="shared" si="288"/>
        <v>LCOU3</v>
      </c>
      <c r="AD1735" s="80" t="str">
        <f t="shared" si="290"/>
        <v>CLU3</v>
      </c>
      <c r="AE1735" s="80" t="str">
        <f t="shared" si="291"/>
        <v>LCOV3</v>
      </c>
      <c r="AF1735" s="80" t="str">
        <f t="shared" si="292"/>
        <v>CLV3</v>
      </c>
      <c r="AG1735" s="80" t="str">
        <f t="shared" si="293"/>
        <v>LCOX3</v>
      </c>
      <c r="AH1735" s="80" t="str">
        <f t="shared" si="294"/>
        <v>LCOZ3</v>
      </c>
    </row>
    <row r="1736" spans="25:34" x14ac:dyDescent="0.35">
      <c r="Y1736" s="74">
        <f t="shared" si="285"/>
        <v>45139</v>
      </c>
      <c r="Z1736" s="74" t="e">
        <f t="shared" ca="1" si="286"/>
        <v>#N/A</v>
      </c>
      <c r="AA1736" s="80" t="str">
        <f t="shared" ca="1" si="287"/>
        <v>CLU3</v>
      </c>
      <c r="AB1736" s="74" t="e">
        <f t="shared" si="289"/>
        <v>#N/A</v>
      </c>
      <c r="AC1736" s="80" t="str">
        <f t="shared" si="288"/>
        <v>LCOV3</v>
      </c>
      <c r="AD1736" s="80" t="str">
        <f t="shared" si="290"/>
        <v>CLV3</v>
      </c>
      <c r="AE1736" s="80" t="str">
        <f t="shared" si="291"/>
        <v>LCOX3</v>
      </c>
      <c r="AF1736" s="80" t="str">
        <f t="shared" si="292"/>
        <v>CLX3</v>
      </c>
      <c r="AG1736" s="80" t="str">
        <f t="shared" si="293"/>
        <v>LCOZ3</v>
      </c>
      <c r="AH1736" s="80" t="str">
        <f t="shared" si="294"/>
        <v>LCOF4</v>
      </c>
    </row>
    <row r="1737" spans="25:34" x14ac:dyDescent="0.35">
      <c r="Y1737" s="74">
        <f t="shared" si="285"/>
        <v>45140</v>
      </c>
      <c r="Z1737" s="74" t="e">
        <f t="shared" ca="1" si="286"/>
        <v>#N/A</v>
      </c>
      <c r="AA1737" s="80" t="str">
        <f t="shared" ca="1" si="287"/>
        <v>CLU3</v>
      </c>
      <c r="AB1737" s="74" t="e">
        <f t="shared" si="289"/>
        <v>#N/A</v>
      </c>
      <c r="AC1737" s="80" t="str">
        <f t="shared" si="288"/>
        <v>LCOV3</v>
      </c>
      <c r="AD1737" s="80" t="str">
        <f t="shared" si="290"/>
        <v>CLV3</v>
      </c>
      <c r="AE1737" s="80" t="str">
        <f t="shared" si="291"/>
        <v>LCOX3</v>
      </c>
      <c r="AF1737" s="80" t="str">
        <f t="shared" si="292"/>
        <v>CLX3</v>
      </c>
      <c r="AG1737" s="80" t="str">
        <f t="shared" si="293"/>
        <v>LCOZ3</v>
      </c>
      <c r="AH1737" s="80" t="str">
        <f t="shared" si="294"/>
        <v>LCOF4</v>
      </c>
    </row>
    <row r="1738" spans="25:34" x14ac:dyDescent="0.35">
      <c r="Y1738" s="74">
        <f t="shared" si="285"/>
        <v>45141</v>
      </c>
      <c r="Z1738" s="74" t="e">
        <f t="shared" ca="1" si="286"/>
        <v>#N/A</v>
      </c>
      <c r="AA1738" s="80" t="str">
        <f t="shared" ca="1" si="287"/>
        <v>CLU3</v>
      </c>
      <c r="AB1738" s="74" t="e">
        <f t="shared" si="289"/>
        <v>#N/A</v>
      </c>
      <c r="AC1738" s="80" t="str">
        <f t="shared" si="288"/>
        <v>LCOV3</v>
      </c>
      <c r="AD1738" s="80" t="str">
        <f t="shared" si="290"/>
        <v>CLV3</v>
      </c>
      <c r="AE1738" s="80" t="str">
        <f t="shared" si="291"/>
        <v>LCOX3</v>
      </c>
      <c r="AF1738" s="80" t="str">
        <f t="shared" si="292"/>
        <v>CLX3</v>
      </c>
      <c r="AG1738" s="80" t="str">
        <f t="shared" si="293"/>
        <v>LCOZ3</v>
      </c>
      <c r="AH1738" s="80" t="str">
        <f t="shared" si="294"/>
        <v>LCOF4</v>
      </c>
    </row>
    <row r="1739" spans="25:34" x14ac:dyDescent="0.35">
      <c r="Y1739" s="74">
        <f t="shared" si="285"/>
        <v>45142</v>
      </c>
      <c r="Z1739" s="74" t="e">
        <f t="shared" ca="1" si="286"/>
        <v>#N/A</v>
      </c>
      <c r="AA1739" s="80" t="str">
        <f t="shared" ca="1" si="287"/>
        <v>CLU3</v>
      </c>
      <c r="AB1739" s="74" t="e">
        <f t="shared" si="289"/>
        <v>#N/A</v>
      </c>
      <c r="AC1739" s="80" t="str">
        <f t="shared" si="288"/>
        <v>LCOV3</v>
      </c>
      <c r="AD1739" s="80" t="str">
        <f t="shared" si="290"/>
        <v>CLV3</v>
      </c>
      <c r="AE1739" s="80" t="str">
        <f t="shared" si="291"/>
        <v>LCOX3</v>
      </c>
      <c r="AF1739" s="80" t="str">
        <f t="shared" si="292"/>
        <v>CLX3</v>
      </c>
      <c r="AG1739" s="80" t="str">
        <f t="shared" si="293"/>
        <v>LCOZ3</v>
      </c>
      <c r="AH1739" s="80" t="str">
        <f t="shared" si="294"/>
        <v>LCOF4</v>
      </c>
    </row>
    <row r="1740" spans="25:34" x14ac:dyDescent="0.35">
      <c r="Y1740" s="74">
        <f t="shared" si="285"/>
        <v>45143</v>
      </c>
      <c r="Z1740" s="74" t="e">
        <f t="shared" ca="1" si="286"/>
        <v>#N/A</v>
      </c>
      <c r="AA1740" s="80" t="str">
        <f t="shared" ca="1" si="287"/>
        <v>CLU3</v>
      </c>
      <c r="AB1740" s="74" t="e">
        <f t="shared" si="289"/>
        <v>#N/A</v>
      </c>
      <c r="AC1740" s="80" t="str">
        <f t="shared" si="288"/>
        <v>LCOV3</v>
      </c>
      <c r="AD1740" s="80" t="str">
        <f t="shared" si="290"/>
        <v>CLV3</v>
      </c>
      <c r="AE1740" s="80" t="str">
        <f t="shared" si="291"/>
        <v>LCOX3</v>
      </c>
      <c r="AF1740" s="80" t="str">
        <f t="shared" si="292"/>
        <v>CLX3</v>
      </c>
      <c r="AG1740" s="80" t="str">
        <f t="shared" si="293"/>
        <v>LCOZ3</v>
      </c>
      <c r="AH1740" s="80" t="str">
        <f t="shared" si="294"/>
        <v>LCOF4</v>
      </c>
    </row>
    <row r="1741" spans="25:34" x14ac:dyDescent="0.35">
      <c r="Y1741" s="74">
        <f t="shared" si="285"/>
        <v>45144</v>
      </c>
      <c r="Z1741" s="74" t="e">
        <f t="shared" ca="1" si="286"/>
        <v>#N/A</v>
      </c>
      <c r="AA1741" s="80" t="str">
        <f t="shared" ca="1" si="287"/>
        <v>CLU3</v>
      </c>
      <c r="AB1741" s="74" t="e">
        <f t="shared" si="289"/>
        <v>#N/A</v>
      </c>
      <c r="AC1741" s="80" t="str">
        <f t="shared" si="288"/>
        <v>LCOV3</v>
      </c>
      <c r="AD1741" s="80" t="str">
        <f t="shared" si="290"/>
        <v>CLV3</v>
      </c>
      <c r="AE1741" s="80" t="str">
        <f t="shared" si="291"/>
        <v>LCOX3</v>
      </c>
      <c r="AF1741" s="80" t="str">
        <f t="shared" si="292"/>
        <v>CLX3</v>
      </c>
      <c r="AG1741" s="80" t="str">
        <f t="shared" si="293"/>
        <v>LCOZ3</v>
      </c>
      <c r="AH1741" s="80" t="str">
        <f t="shared" si="294"/>
        <v>LCOF4</v>
      </c>
    </row>
    <row r="1742" spans="25:34" x14ac:dyDescent="0.35">
      <c r="Y1742" s="74">
        <f t="shared" si="285"/>
        <v>45145</v>
      </c>
      <c r="Z1742" s="74" t="e">
        <f t="shared" ca="1" si="286"/>
        <v>#N/A</v>
      </c>
      <c r="AA1742" s="80" t="str">
        <f t="shared" ca="1" si="287"/>
        <v>CLU3</v>
      </c>
      <c r="AB1742" s="74" t="e">
        <f t="shared" si="289"/>
        <v>#N/A</v>
      </c>
      <c r="AC1742" s="80" t="str">
        <f t="shared" si="288"/>
        <v>LCOV3</v>
      </c>
      <c r="AD1742" s="80" t="str">
        <f t="shared" si="290"/>
        <v>CLV3</v>
      </c>
      <c r="AE1742" s="80" t="str">
        <f t="shared" si="291"/>
        <v>LCOX3</v>
      </c>
      <c r="AF1742" s="80" t="str">
        <f t="shared" si="292"/>
        <v>CLX3</v>
      </c>
      <c r="AG1742" s="80" t="str">
        <f t="shared" si="293"/>
        <v>LCOZ3</v>
      </c>
      <c r="AH1742" s="80" t="str">
        <f t="shared" si="294"/>
        <v>LCOF4</v>
      </c>
    </row>
    <row r="1743" spans="25:34" x14ac:dyDescent="0.35">
      <c r="Y1743" s="74">
        <f t="shared" si="285"/>
        <v>45146</v>
      </c>
      <c r="Z1743" s="74" t="e">
        <f t="shared" ca="1" si="286"/>
        <v>#N/A</v>
      </c>
      <c r="AA1743" s="80" t="str">
        <f t="shared" ca="1" si="287"/>
        <v>CLU3</v>
      </c>
      <c r="AB1743" s="74" t="e">
        <f t="shared" si="289"/>
        <v>#N/A</v>
      </c>
      <c r="AC1743" s="80" t="str">
        <f t="shared" si="288"/>
        <v>LCOV3</v>
      </c>
      <c r="AD1743" s="80" t="str">
        <f t="shared" si="290"/>
        <v>CLV3</v>
      </c>
      <c r="AE1743" s="80" t="str">
        <f t="shared" si="291"/>
        <v>LCOX3</v>
      </c>
      <c r="AF1743" s="80" t="str">
        <f t="shared" si="292"/>
        <v>CLX3</v>
      </c>
      <c r="AG1743" s="80" t="str">
        <f t="shared" si="293"/>
        <v>LCOZ3</v>
      </c>
      <c r="AH1743" s="80" t="str">
        <f t="shared" si="294"/>
        <v>LCOF4</v>
      </c>
    </row>
    <row r="1744" spans="25:34" x14ac:dyDescent="0.35">
      <c r="Y1744" s="74">
        <f t="shared" si="285"/>
        <v>45147</v>
      </c>
      <c r="Z1744" s="74" t="e">
        <f t="shared" ca="1" si="286"/>
        <v>#N/A</v>
      </c>
      <c r="AA1744" s="80" t="str">
        <f t="shared" ca="1" si="287"/>
        <v>CLU3</v>
      </c>
      <c r="AB1744" s="74" t="e">
        <f t="shared" si="289"/>
        <v>#N/A</v>
      </c>
      <c r="AC1744" s="80" t="str">
        <f t="shared" si="288"/>
        <v>LCOV3</v>
      </c>
      <c r="AD1744" s="80" t="str">
        <f t="shared" si="290"/>
        <v>CLV3</v>
      </c>
      <c r="AE1744" s="80" t="str">
        <f t="shared" si="291"/>
        <v>LCOX3</v>
      </c>
      <c r="AF1744" s="80" t="str">
        <f t="shared" si="292"/>
        <v>CLX3</v>
      </c>
      <c r="AG1744" s="80" t="str">
        <f t="shared" si="293"/>
        <v>LCOZ3</v>
      </c>
      <c r="AH1744" s="80" t="str">
        <f t="shared" si="294"/>
        <v>LCOF4</v>
      </c>
    </row>
    <row r="1745" spans="25:34" x14ac:dyDescent="0.35">
      <c r="Y1745" s="74">
        <f t="shared" si="285"/>
        <v>45148</v>
      </c>
      <c r="Z1745" s="74" t="e">
        <f t="shared" ca="1" si="286"/>
        <v>#N/A</v>
      </c>
      <c r="AA1745" s="80" t="str">
        <f t="shared" ca="1" si="287"/>
        <v>CLU3</v>
      </c>
      <c r="AB1745" s="74" t="e">
        <f t="shared" si="289"/>
        <v>#N/A</v>
      </c>
      <c r="AC1745" s="80" t="str">
        <f t="shared" si="288"/>
        <v>LCOV3</v>
      </c>
      <c r="AD1745" s="80" t="str">
        <f t="shared" si="290"/>
        <v>CLV3</v>
      </c>
      <c r="AE1745" s="80" t="str">
        <f t="shared" si="291"/>
        <v>LCOX3</v>
      </c>
      <c r="AF1745" s="80" t="str">
        <f t="shared" si="292"/>
        <v>CLX3</v>
      </c>
      <c r="AG1745" s="80" t="str">
        <f t="shared" si="293"/>
        <v>LCOZ3</v>
      </c>
      <c r="AH1745" s="80" t="str">
        <f t="shared" si="294"/>
        <v>LCOF4</v>
      </c>
    </row>
    <row r="1746" spans="25:34" x14ac:dyDescent="0.35">
      <c r="Y1746" s="74">
        <f t="shared" si="285"/>
        <v>45149</v>
      </c>
      <c r="Z1746" s="74" t="e">
        <f t="shared" ca="1" si="286"/>
        <v>#N/A</v>
      </c>
      <c r="AA1746" s="80" t="str">
        <f t="shared" ca="1" si="287"/>
        <v>CLU3</v>
      </c>
      <c r="AB1746" s="74" t="e">
        <f t="shared" si="289"/>
        <v>#N/A</v>
      </c>
      <c r="AC1746" s="80" t="str">
        <f t="shared" si="288"/>
        <v>LCOV3</v>
      </c>
      <c r="AD1746" s="80" t="str">
        <f t="shared" si="290"/>
        <v>CLV3</v>
      </c>
      <c r="AE1746" s="80" t="str">
        <f t="shared" si="291"/>
        <v>LCOX3</v>
      </c>
      <c r="AF1746" s="80" t="str">
        <f t="shared" si="292"/>
        <v>CLX3</v>
      </c>
      <c r="AG1746" s="80" t="str">
        <f t="shared" si="293"/>
        <v>LCOZ3</v>
      </c>
      <c r="AH1746" s="80" t="str">
        <f t="shared" si="294"/>
        <v>LCOF4</v>
      </c>
    </row>
    <row r="1747" spans="25:34" x14ac:dyDescent="0.35">
      <c r="Y1747" s="74">
        <f t="shared" si="285"/>
        <v>45150</v>
      </c>
      <c r="Z1747" s="74" t="e">
        <f t="shared" ca="1" si="286"/>
        <v>#N/A</v>
      </c>
      <c r="AA1747" s="80" t="str">
        <f t="shared" ca="1" si="287"/>
        <v>CLU3</v>
      </c>
      <c r="AB1747" s="74" t="e">
        <f t="shared" si="289"/>
        <v>#N/A</v>
      </c>
      <c r="AC1747" s="80" t="str">
        <f t="shared" si="288"/>
        <v>LCOV3</v>
      </c>
      <c r="AD1747" s="80" t="str">
        <f t="shared" si="290"/>
        <v>CLV3</v>
      </c>
      <c r="AE1747" s="80" t="str">
        <f t="shared" si="291"/>
        <v>LCOX3</v>
      </c>
      <c r="AF1747" s="80" t="str">
        <f t="shared" si="292"/>
        <v>CLX3</v>
      </c>
      <c r="AG1747" s="80" t="str">
        <f t="shared" si="293"/>
        <v>LCOZ3</v>
      </c>
      <c r="AH1747" s="80" t="str">
        <f t="shared" si="294"/>
        <v>LCOF4</v>
      </c>
    </row>
    <row r="1748" spans="25:34" x14ac:dyDescent="0.35">
      <c r="Y1748" s="74">
        <f t="shared" si="285"/>
        <v>45151</v>
      </c>
      <c r="Z1748" s="74" t="e">
        <f t="shared" ca="1" si="286"/>
        <v>#N/A</v>
      </c>
      <c r="AA1748" s="80" t="str">
        <f t="shared" ca="1" si="287"/>
        <v>CLU3</v>
      </c>
      <c r="AB1748" s="74" t="e">
        <f t="shared" si="289"/>
        <v>#N/A</v>
      </c>
      <c r="AC1748" s="80" t="str">
        <f t="shared" si="288"/>
        <v>LCOV3</v>
      </c>
      <c r="AD1748" s="80" t="str">
        <f t="shared" si="290"/>
        <v>CLV3</v>
      </c>
      <c r="AE1748" s="80" t="str">
        <f t="shared" si="291"/>
        <v>LCOX3</v>
      </c>
      <c r="AF1748" s="80" t="str">
        <f t="shared" si="292"/>
        <v>CLX3</v>
      </c>
      <c r="AG1748" s="80" t="str">
        <f t="shared" si="293"/>
        <v>LCOZ3</v>
      </c>
      <c r="AH1748" s="80" t="str">
        <f t="shared" si="294"/>
        <v>LCOF4</v>
      </c>
    </row>
    <row r="1749" spans="25:34" x14ac:dyDescent="0.35">
      <c r="Y1749" s="74">
        <f t="shared" si="285"/>
        <v>45152</v>
      </c>
      <c r="Z1749" s="74" t="e">
        <f t="shared" ca="1" si="286"/>
        <v>#N/A</v>
      </c>
      <c r="AA1749" s="80" t="str">
        <f t="shared" ca="1" si="287"/>
        <v>CLU3</v>
      </c>
      <c r="AB1749" s="74" t="e">
        <f t="shared" si="289"/>
        <v>#N/A</v>
      </c>
      <c r="AC1749" s="80" t="str">
        <f t="shared" si="288"/>
        <v>LCOV3</v>
      </c>
      <c r="AD1749" s="80" t="str">
        <f t="shared" si="290"/>
        <v>CLV3</v>
      </c>
      <c r="AE1749" s="80" t="str">
        <f t="shared" si="291"/>
        <v>LCOX3</v>
      </c>
      <c r="AF1749" s="80" t="str">
        <f t="shared" si="292"/>
        <v>CLX3</v>
      </c>
      <c r="AG1749" s="80" t="str">
        <f t="shared" si="293"/>
        <v>LCOZ3</v>
      </c>
      <c r="AH1749" s="80" t="str">
        <f t="shared" si="294"/>
        <v>LCOF4</v>
      </c>
    </row>
    <row r="1750" spans="25:34" x14ac:dyDescent="0.35">
      <c r="Y1750" s="74">
        <f t="shared" si="285"/>
        <v>45153</v>
      </c>
      <c r="Z1750" s="74" t="e">
        <f t="shared" ca="1" si="286"/>
        <v>#N/A</v>
      </c>
      <c r="AA1750" s="80" t="str">
        <f t="shared" ca="1" si="287"/>
        <v>CLU3</v>
      </c>
      <c r="AB1750" s="74" t="e">
        <f t="shared" si="289"/>
        <v>#N/A</v>
      </c>
      <c r="AC1750" s="80" t="str">
        <f t="shared" si="288"/>
        <v>LCOV3</v>
      </c>
      <c r="AD1750" s="80" t="str">
        <f t="shared" si="290"/>
        <v>CLV3</v>
      </c>
      <c r="AE1750" s="80" t="str">
        <f t="shared" si="291"/>
        <v>LCOX3</v>
      </c>
      <c r="AF1750" s="80" t="str">
        <f t="shared" si="292"/>
        <v>CLX3</v>
      </c>
      <c r="AG1750" s="80" t="str">
        <f t="shared" si="293"/>
        <v>LCOZ3</v>
      </c>
      <c r="AH1750" s="80" t="str">
        <f t="shared" si="294"/>
        <v>LCOF4</v>
      </c>
    </row>
    <row r="1751" spans="25:34" x14ac:dyDescent="0.35">
      <c r="Y1751" s="74">
        <f t="shared" si="285"/>
        <v>45154</v>
      </c>
      <c r="Z1751" s="74" t="e">
        <f t="shared" ca="1" si="286"/>
        <v>#N/A</v>
      </c>
      <c r="AA1751" s="80" t="str">
        <f t="shared" ca="1" si="287"/>
        <v>CLU3</v>
      </c>
      <c r="AB1751" s="74" t="e">
        <f t="shared" si="289"/>
        <v>#N/A</v>
      </c>
      <c r="AC1751" s="80" t="str">
        <f t="shared" si="288"/>
        <v>LCOV3</v>
      </c>
      <c r="AD1751" s="80" t="str">
        <f t="shared" si="290"/>
        <v>CLV3</v>
      </c>
      <c r="AE1751" s="80" t="str">
        <f t="shared" si="291"/>
        <v>LCOX3</v>
      </c>
      <c r="AF1751" s="80" t="str">
        <f t="shared" si="292"/>
        <v>CLX3</v>
      </c>
      <c r="AG1751" s="80" t="str">
        <f t="shared" si="293"/>
        <v>LCOZ3</v>
      </c>
      <c r="AH1751" s="80" t="str">
        <f t="shared" si="294"/>
        <v>LCOF4</v>
      </c>
    </row>
    <row r="1752" spans="25:34" x14ac:dyDescent="0.35">
      <c r="Y1752" s="74">
        <f t="shared" si="285"/>
        <v>45155</v>
      </c>
      <c r="Z1752" s="74" t="e">
        <f t="shared" ca="1" si="286"/>
        <v>#N/A</v>
      </c>
      <c r="AA1752" s="80" t="str">
        <f t="shared" ca="1" si="287"/>
        <v>CLU3</v>
      </c>
      <c r="AB1752" s="74" t="e">
        <f t="shared" si="289"/>
        <v>#N/A</v>
      </c>
      <c r="AC1752" s="80" t="str">
        <f t="shared" si="288"/>
        <v>LCOV3</v>
      </c>
      <c r="AD1752" s="80" t="str">
        <f t="shared" si="290"/>
        <v>CLV3</v>
      </c>
      <c r="AE1752" s="80" t="str">
        <f t="shared" si="291"/>
        <v>LCOX3</v>
      </c>
      <c r="AF1752" s="80" t="str">
        <f t="shared" si="292"/>
        <v>CLX3</v>
      </c>
      <c r="AG1752" s="80" t="str">
        <f t="shared" si="293"/>
        <v>LCOZ3</v>
      </c>
      <c r="AH1752" s="80" t="str">
        <f t="shared" si="294"/>
        <v>LCOF4</v>
      </c>
    </row>
    <row r="1753" spans="25:34" x14ac:dyDescent="0.35">
      <c r="Y1753" s="74">
        <f t="shared" si="285"/>
        <v>45156</v>
      </c>
      <c r="Z1753" s="74" t="e">
        <f t="shared" ca="1" si="286"/>
        <v>#N/A</v>
      </c>
      <c r="AA1753" s="80" t="str">
        <f t="shared" ca="1" si="287"/>
        <v>CLU3</v>
      </c>
      <c r="AB1753" s="74" t="e">
        <f t="shared" si="289"/>
        <v>#N/A</v>
      </c>
      <c r="AC1753" s="80" t="str">
        <f t="shared" si="288"/>
        <v>LCOV3</v>
      </c>
      <c r="AD1753" s="80" t="str">
        <f t="shared" si="290"/>
        <v>CLV3</v>
      </c>
      <c r="AE1753" s="80" t="str">
        <f t="shared" si="291"/>
        <v>LCOX3</v>
      </c>
      <c r="AF1753" s="80" t="str">
        <f t="shared" si="292"/>
        <v>CLX3</v>
      </c>
      <c r="AG1753" s="80" t="str">
        <f t="shared" si="293"/>
        <v>LCOZ3</v>
      </c>
      <c r="AH1753" s="80" t="str">
        <f t="shared" si="294"/>
        <v>LCOF4</v>
      </c>
    </row>
    <row r="1754" spans="25:34" x14ac:dyDescent="0.35">
      <c r="Y1754" s="74">
        <f t="shared" si="285"/>
        <v>45157</v>
      </c>
      <c r="Z1754" s="74" t="e">
        <f t="shared" ca="1" si="286"/>
        <v>#N/A</v>
      </c>
      <c r="AA1754" s="80" t="str">
        <f t="shared" ca="1" si="287"/>
        <v>CLU3</v>
      </c>
      <c r="AB1754" s="74" t="e">
        <f t="shared" si="289"/>
        <v>#N/A</v>
      </c>
      <c r="AC1754" s="80" t="str">
        <f t="shared" si="288"/>
        <v>LCOV3</v>
      </c>
      <c r="AD1754" s="80" t="str">
        <f t="shared" si="290"/>
        <v>CLV3</v>
      </c>
      <c r="AE1754" s="80" t="str">
        <f t="shared" si="291"/>
        <v>LCOX3</v>
      </c>
      <c r="AF1754" s="80" t="str">
        <f t="shared" si="292"/>
        <v>CLX3</v>
      </c>
      <c r="AG1754" s="80" t="str">
        <f t="shared" si="293"/>
        <v>LCOZ3</v>
      </c>
      <c r="AH1754" s="80" t="str">
        <f t="shared" si="294"/>
        <v>LCOF4</v>
      </c>
    </row>
    <row r="1755" spans="25:34" x14ac:dyDescent="0.35">
      <c r="Y1755" s="74">
        <f t="shared" si="285"/>
        <v>45158</v>
      </c>
      <c r="Z1755" s="74" t="e">
        <f t="shared" ca="1" si="286"/>
        <v>#N/A</v>
      </c>
      <c r="AA1755" s="80" t="str">
        <f t="shared" ca="1" si="287"/>
        <v>CLU3</v>
      </c>
      <c r="AB1755" s="74" t="e">
        <f t="shared" si="289"/>
        <v>#N/A</v>
      </c>
      <c r="AC1755" s="80" t="str">
        <f t="shared" si="288"/>
        <v>LCOV3</v>
      </c>
      <c r="AD1755" s="80" t="str">
        <f t="shared" si="290"/>
        <v>CLV3</v>
      </c>
      <c r="AE1755" s="80" t="str">
        <f t="shared" si="291"/>
        <v>LCOX3</v>
      </c>
      <c r="AF1755" s="80" t="str">
        <f t="shared" si="292"/>
        <v>CLX3</v>
      </c>
      <c r="AG1755" s="80" t="str">
        <f t="shared" si="293"/>
        <v>LCOZ3</v>
      </c>
      <c r="AH1755" s="80" t="str">
        <f t="shared" si="294"/>
        <v>LCOF4</v>
      </c>
    </row>
    <row r="1756" spans="25:34" x14ac:dyDescent="0.35">
      <c r="Y1756" s="74">
        <f t="shared" si="285"/>
        <v>45159</v>
      </c>
      <c r="Z1756" s="74" t="e">
        <f t="shared" ca="1" si="286"/>
        <v>#N/A</v>
      </c>
      <c r="AA1756" s="80" t="str">
        <f t="shared" ca="1" si="287"/>
        <v>CLU3</v>
      </c>
      <c r="AB1756" s="74" t="e">
        <f t="shared" si="289"/>
        <v>#N/A</v>
      </c>
      <c r="AC1756" s="80" t="str">
        <f t="shared" si="288"/>
        <v>LCOV3</v>
      </c>
      <c r="AD1756" s="80" t="str">
        <f t="shared" si="290"/>
        <v>CLV3</v>
      </c>
      <c r="AE1756" s="80" t="str">
        <f t="shared" si="291"/>
        <v>LCOX3</v>
      </c>
      <c r="AF1756" s="80" t="str">
        <f t="shared" si="292"/>
        <v>CLX3</v>
      </c>
      <c r="AG1756" s="80" t="str">
        <f t="shared" si="293"/>
        <v>LCOZ3</v>
      </c>
      <c r="AH1756" s="80" t="str">
        <f t="shared" si="294"/>
        <v>LCOF4</v>
      </c>
    </row>
    <row r="1757" spans="25:34" x14ac:dyDescent="0.35">
      <c r="Y1757" s="74">
        <f t="shared" si="285"/>
        <v>45160</v>
      </c>
      <c r="Z1757" s="74" t="e">
        <f t="shared" ca="1" si="286"/>
        <v>#N/A</v>
      </c>
      <c r="AA1757" s="80" t="str">
        <f t="shared" ca="1" si="287"/>
        <v>CLU3</v>
      </c>
      <c r="AB1757" s="74" t="e">
        <f t="shared" si="289"/>
        <v>#N/A</v>
      </c>
      <c r="AC1757" s="80" t="str">
        <f t="shared" si="288"/>
        <v>LCOV3</v>
      </c>
      <c r="AD1757" s="80" t="str">
        <f t="shared" si="290"/>
        <v>CLV3</v>
      </c>
      <c r="AE1757" s="80" t="str">
        <f t="shared" si="291"/>
        <v>LCOX3</v>
      </c>
      <c r="AF1757" s="80" t="str">
        <f t="shared" si="292"/>
        <v>CLX3</v>
      </c>
      <c r="AG1757" s="80" t="str">
        <f t="shared" si="293"/>
        <v>LCOZ3</v>
      </c>
      <c r="AH1757" s="80" t="str">
        <f t="shared" si="294"/>
        <v>LCOF4</v>
      </c>
    </row>
    <row r="1758" spans="25:34" x14ac:dyDescent="0.35">
      <c r="Y1758" s="74">
        <f t="shared" si="285"/>
        <v>45161</v>
      </c>
      <c r="Z1758" s="74" t="e">
        <f t="shared" ca="1" si="286"/>
        <v>#N/A</v>
      </c>
      <c r="AA1758" s="80" t="str">
        <f t="shared" ca="1" si="287"/>
        <v>CLV3</v>
      </c>
      <c r="AB1758" s="74" t="e">
        <f t="shared" si="289"/>
        <v>#N/A</v>
      </c>
      <c r="AC1758" s="80" t="str">
        <f t="shared" si="288"/>
        <v>LCOV3</v>
      </c>
      <c r="AD1758" s="80" t="str">
        <f t="shared" si="290"/>
        <v>CLV3</v>
      </c>
      <c r="AE1758" s="80" t="str">
        <f t="shared" si="291"/>
        <v>LCOX3</v>
      </c>
      <c r="AF1758" s="80" t="str">
        <f t="shared" si="292"/>
        <v>CLX3</v>
      </c>
      <c r="AG1758" s="80" t="str">
        <f t="shared" si="293"/>
        <v>LCOZ3</v>
      </c>
      <c r="AH1758" s="80" t="str">
        <f t="shared" si="294"/>
        <v>LCOF4</v>
      </c>
    </row>
    <row r="1759" spans="25:34" x14ac:dyDescent="0.35">
      <c r="Y1759" s="74">
        <f t="shared" si="285"/>
        <v>45162</v>
      </c>
      <c r="Z1759" s="74" t="e">
        <f t="shared" ca="1" si="286"/>
        <v>#N/A</v>
      </c>
      <c r="AA1759" s="80" t="str">
        <f t="shared" ca="1" si="287"/>
        <v>CLV3</v>
      </c>
      <c r="AB1759" s="74" t="e">
        <f t="shared" si="289"/>
        <v>#N/A</v>
      </c>
      <c r="AC1759" s="80" t="str">
        <f t="shared" si="288"/>
        <v>LCOV3</v>
      </c>
      <c r="AD1759" s="80" t="str">
        <f t="shared" si="290"/>
        <v>CLV3</v>
      </c>
      <c r="AE1759" s="80" t="str">
        <f t="shared" si="291"/>
        <v>LCOX3</v>
      </c>
      <c r="AF1759" s="80" t="str">
        <f t="shared" si="292"/>
        <v>CLX3</v>
      </c>
      <c r="AG1759" s="80" t="str">
        <f t="shared" si="293"/>
        <v>LCOZ3</v>
      </c>
      <c r="AH1759" s="80" t="str">
        <f t="shared" si="294"/>
        <v>LCOF4</v>
      </c>
    </row>
    <row r="1760" spans="25:34" x14ac:dyDescent="0.35">
      <c r="Y1760" s="74">
        <f t="shared" si="285"/>
        <v>45163</v>
      </c>
      <c r="Z1760" s="74" t="e">
        <f t="shared" ca="1" si="286"/>
        <v>#N/A</v>
      </c>
      <c r="AA1760" s="80" t="str">
        <f t="shared" ca="1" si="287"/>
        <v>CLV3</v>
      </c>
      <c r="AB1760" s="74" t="e">
        <f t="shared" si="289"/>
        <v>#N/A</v>
      </c>
      <c r="AC1760" s="80" t="str">
        <f t="shared" si="288"/>
        <v>LCOV3</v>
      </c>
      <c r="AD1760" s="80" t="str">
        <f t="shared" si="290"/>
        <v>CLV3</v>
      </c>
      <c r="AE1760" s="80" t="str">
        <f t="shared" si="291"/>
        <v>LCOX3</v>
      </c>
      <c r="AF1760" s="80" t="str">
        <f t="shared" si="292"/>
        <v>CLX3</v>
      </c>
      <c r="AG1760" s="80" t="str">
        <f t="shared" si="293"/>
        <v>LCOZ3</v>
      </c>
      <c r="AH1760" s="80" t="str">
        <f t="shared" si="294"/>
        <v>LCOF4</v>
      </c>
    </row>
    <row r="1761" spans="25:34" x14ac:dyDescent="0.35">
      <c r="Y1761" s="74">
        <f t="shared" ref="Y1761:Y1824" si="295">Y1760+1</f>
        <v>45164</v>
      </c>
      <c r="Z1761" s="74" t="e">
        <f t="shared" ca="1" si="286"/>
        <v>#N/A</v>
      </c>
      <c r="AA1761" s="80" t="str">
        <f t="shared" ca="1" si="287"/>
        <v>CLV3</v>
      </c>
      <c r="AB1761" s="74" t="e">
        <f t="shared" si="289"/>
        <v>#N/A</v>
      </c>
      <c r="AC1761" s="80" t="str">
        <f t="shared" si="288"/>
        <v>LCOV3</v>
      </c>
      <c r="AD1761" s="80" t="str">
        <f t="shared" si="290"/>
        <v>CLV3</v>
      </c>
      <c r="AE1761" s="80" t="str">
        <f t="shared" si="291"/>
        <v>LCOX3</v>
      </c>
      <c r="AF1761" s="80" t="str">
        <f t="shared" si="292"/>
        <v>CLX3</v>
      </c>
      <c r="AG1761" s="80" t="str">
        <f t="shared" si="293"/>
        <v>LCOZ3</v>
      </c>
      <c r="AH1761" s="80" t="str">
        <f t="shared" si="294"/>
        <v>LCOF4</v>
      </c>
    </row>
    <row r="1762" spans="25:34" x14ac:dyDescent="0.35">
      <c r="Y1762" s="74">
        <f t="shared" si="295"/>
        <v>45165</v>
      </c>
      <c r="Z1762" s="74" t="e">
        <f t="shared" ca="1" si="286"/>
        <v>#N/A</v>
      </c>
      <c r="AA1762" s="80" t="str">
        <f t="shared" ca="1" si="287"/>
        <v>CLV3</v>
      </c>
      <c r="AB1762" s="74" t="e">
        <f t="shared" si="289"/>
        <v>#N/A</v>
      </c>
      <c r="AC1762" s="80" t="str">
        <f t="shared" si="288"/>
        <v>LCOV3</v>
      </c>
      <c r="AD1762" s="80" t="str">
        <f t="shared" si="290"/>
        <v>CLV3</v>
      </c>
      <c r="AE1762" s="80" t="str">
        <f t="shared" si="291"/>
        <v>LCOX3</v>
      </c>
      <c r="AF1762" s="80" t="str">
        <f t="shared" si="292"/>
        <v>CLX3</v>
      </c>
      <c r="AG1762" s="80" t="str">
        <f t="shared" si="293"/>
        <v>LCOZ3</v>
      </c>
      <c r="AH1762" s="80" t="str">
        <f t="shared" si="294"/>
        <v>LCOF4</v>
      </c>
    </row>
    <row r="1763" spans="25:34" x14ac:dyDescent="0.35">
      <c r="Y1763" s="74">
        <f t="shared" si="295"/>
        <v>45166</v>
      </c>
      <c r="Z1763" s="74" t="e">
        <f t="shared" ca="1" si="286"/>
        <v>#N/A</v>
      </c>
      <c r="AA1763" s="80" t="str">
        <f t="shared" ca="1" si="287"/>
        <v>CLV3</v>
      </c>
      <c r="AB1763" s="74" t="e">
        <f t="shared" si="289"/>
        <v>#N/A</v>
      </c>
      <c r="AC1763" s="80" t="str">
        <f t="shared" si="288"/>
        <v>LCOV3</v>
      </c>
      <c r="AD1763" s="80" t="str">
        <f t="shared" si="290"/>
        <v>CLV3</v>
      </c>
      <c r="AE1763" s="80" t="str">
        <f t="shared" si="291"/>
        <v>LCOX3</v>
      </c>
      <c r="AF1763" s="80" t="str">
        <f t="shared" si="292"/>
        <v>CLX3</v>
      </c>
      <c r="AG1763" s="80" t="str">
        <f t="shared" si="293"/>
        <v>LCOZ3</v>
      </c>
      <c r="AH1763" s="80" t="str">
        <f t="shared" si="294"/>
        <v>LCOF4</v>
      </c>
    </row>
    <row r="1764" spans="25:34" x14ac:dyDescent="0.35">
      <c r="Y1764" s="74">
        <f t="shared" si="295"/>
        <v>45167</v>
      </c>
      <c r="Z1764" s="74" t="e">
        <f t="shared" ca="1" si="286"/>
        <v>#N/A</v>
      </c>
      <c r="AA1764" s="80" t="str">
        <f t="shared" ca="1" si="287"/>
        <v>CLV3</v>
      </c>
      <c r="AB1764" s="74" t="e">
        <f t="shared" si="289"/>
        <v>#N/A</v>
      </c>
      <c r="AC1764" s="80" t="str">
        <f t="shared" si="288"/>
        <v>LCOV3</v>
      </c>
      <c r="AD1764" s="80" t="str">
        <f t="shared" si="290"/>
        <v>CLV3</v>
      </c>
      <c r="AE1764" s="80" t="str">
        <f t="shared" si="291"/>
        <v>LCOX3</v>
      </c>
      <c r="AF1764" s="80" t="str">
        <f t="shared" si="292"/>
        <v>CLX3</v>
      </c>
      <c r="AG1764" s="80" t="str">
        <f t="shared" si="293"/>
        <v>LCOZ3</v>
      </c>
      <c r="AH1764" s="80" t="str">
        <f t="shared" si="294"/>
        <v>LCOF4</v>
      </c>
    </row>
    <row r="1765" spans="25:34" x14ac:dyDescent="0.35">
      <c r="Y1765" s="74">
        <f t="shared" si="295"/>
        <v>45168</v>
      </c>
      <c r="Z1765" s="74" t="e">
        <f t="shared" ca="1" si="286"/>
        <v>#N/A</v>
      </c>
      <c r="AA1765" s="80" t="str">
        <f t="shared" ca="1" si="287"/>
        <v>CLV3</v>
      </c>
      <c r="AB1765" s="74" t="e">
        <f t="shared" si="289"/>
        <v>#N/A</v>
      </c>
      <c r="AC1765" s="80" t="str">
        <f t="shared" si="288"/>
        <v>LCOV3</v>
      </c>
      <c r="AD1765" s="80" t="str">
        <f t="shared" si="290"/>
        <v>CLV3</v>
      </c>
      <c r="AE1765" s="80" t="str">
        <f t="shared" si="291"/>
        <v>LCOX3</v>
      </c>
      <c r="AF1765" s="80" t="str">
        <f t="shared" si="292"/>
        <v>CLX3</v>
      </c>
      <c r="AG1765" s="80" t="str">
        <f t="shared" si="293"/>
        <v>LCOZ3</v>
      </c>
      <c r="AH1765" s="80" t="str">
        <f t="shared" si="294"/>
        <v>LCOF4</v>
      </c>
    </row>
    <row r="1766" spans="25:34" x14ac:dyDescent="0.35">
      <c r="Y1766" s="74">
        <f t="shared" si="295"/>
        <v>45169</v>
      </c>
      <c r="Z1766" s="74" t="e">
        <f t="shared" ca="1" si="286"/>
        <v>#N/A</v>
      </c>
      <c r="AA1766" s="80" t="str">
        <f t="shared" ca="1" si="287"/>
        <v>CLV3</v>
      </c>
      <c r="AB1766" s="74" t="e">
        <f t="shared" si="289"/>
        <v>#N/A</v>
      </c>
      <c r="AC1766" s="80" t="str">
        <f t="shared" si="288"/>
        <v>LCOV3</v>
      </c>
      <c r="AD1766" s="80" t="str">
        <f t="shared" si="290"/>
        <v>CLV3</v>
      </c>
      <c r="AE1766" s="80" t="str">
        <f t="shared" si="291"/>
        <v>LCOX3</v>
      </c>
      <c r="AF1766" s="80" t="str">
        <f t="shared" si="292"/>
        <v>CLX3</v>
      </c>
      <c r="AG1766" s="80" t="str">
        <f t="shared" si="293"/>
        <v>LCOZ3</v>
      </c>
      <c r="AH1766" s="80" t="str">
        <f t="shared" si="294"/>
        <v>LCOF4</v>
      </c>
    </row>
    <row r="1767" spans="25:34" x14ac:dyDescent="0.35">
      <c r="Y1767" s="74">
        <f t="shared" si="295"/>
        <v>45170</v>
      </c>
      <c r="Z1767" s="74" t="e">
        <f t="shared" ca="1" si="286"/>
        <v>#N/A</v>
      </c>
      <c r="AA1767" s="80" t="str">
        <f t="shared" ca="1" si="287"/>
        <v>CLV3</v>
      </c>
      <c r="AB1767" s="74" t="e">
        <f t="shared" si="289"/>
        <v>#N/A</v>
      </c>
      <c r="AC1767" s="80" t="str">
        <f t="shared" si="288"/>
        <v>LCOX3</v>
      </c>
      <c r="AD1767" s="80" t="str">
        <f t="shared" si="290"/>
        <v>CLX3</v>
      </c>
      <c r="AE1767" s="80" t="str">
        <f t="shared" si="291"/>
        <v>LCOZ3</v>
      </c>
      <c r="AF1767" s="80" t="str">
        <f t="shared" si="292"/>
        <v>CLZ3</v>
      </c>
      <c r="AG1767" s="80" t="str">
        <f t="shared" si="293"/>
        <v>LCOF4</v>
      </c>
      <c r="AH1767" s="80" t="str">
        <f t="shared" si="294"/>
        <v>LCOG4</v>
      </c>
    </row>
    <row r="1768" spans="25:34" x14ac:dyDescent="0.35">
      <c r="Y1768" s="74">
        <f t="shared" si="295"/>
        <v>45171</v>
      </c>
      <c r="Z1768" s="74" t="e">
        <f t="shared" ca="1" si="286"/>
        <v>#N/A</v>
      </c>
      <c r="AA1768" s="80" t="str">
        <f t="shared" ca="1" si="287"/>
        <v>CLV3</v>
      </c>
      <c r="AB1768" s="74" t="e">
        <f t="shared" si="289"/>
        <v>#N/A</v>
      </c>
      <c r="AC1768" s="80" t="str">
        <f t="shared" si="288"/>
        <v>LCOX3</v>
      </c>
      <c r="AD1768" s="80" t="str">
        <f t="shared" si="290"/>
        <v>CLX3</v>
      </c>
      <c r="AE1768" s="80" t="str">
        <f t="shared" si="291"/>
        <v>LCOZ3</v>
      </c>
      <c r="AF1768" s="80" t="str">
        <f t="shared" si="292"/>
        <v>CLZ3</v>
      </c>
      <c r="AG1768" s="80" t="str">
        <f t="shared" si="293"/>
        <v>LCOF4</v>
      </c>
      <c r="AH1768" s="80" t="str">
        <f t="shared" si="294"/>
        <v>LCOG4</v>
      </c>
    </row>
    <row r="1769" spans="25:34" x14ac:dyDescent="0.35">
      <c r="Y1769" s="74">
        <f t="shared" si="295"/>
        <v>45172</v>
      </c>
      <c r="Z1769" s="74" t="e">
        <f t="shared" ca="1" si="286"/>
        <v>#N/A</v>
      </c>
      <c r="AA1769" s="80" t="str">
        <f t="shared" ca="1" si="287"/>
        <v>CLV3</v>
      </c>
      <c r="AB1769" s="74" t="e">
        <f t="shared" si="289"/>
        <v>#N/A</v>
      </c>
      <c r="AC1769" s="80" t="str">
        <f t="shared" si="288"/>
        <v>LCOX3</v>
      </c>
      <c r="AD1769" s="80" t="str">
        <f t="shared" si="290"/>
        <v>CLX3</v>
      </c>
      <c r="AE1769" s="80" t="str">
        <f t="shared" si="291"/>
        <v>LCOZ3</v>
      </c>
      <c r="AF1769" s="80" t="str">
        <f t="shared" si="292"/>
        <v>CLZ3</v>
      </c>
      <c r="AG1769" s="80" t="str">
        <f t="shared" si="293"/>
        <v>LCOF4</v>
      </c>
      <c r="AH1769" s="80" t="str">
        <f t="shared" si="294"/>
        <v>LCOG4</v>
      </c>
    </row>
    <row r="1770" spans="25:34" x14ac:dyDescent="0.35">
      <c r="Y1770" s="74">
        <f t="shared" si="295"/>
        <v>45173</v>
      </c>
      <c r="Z1770" s="74" t="e">
        <f t="shared" ca="1" si="286"/>
        <v>#N/A</v>
      </c>
      <c r="AA1770" s="80" t="str">
        <f t="shared" ca="1" si="287"/>
        <v>CLV3</v>
      </c>
      <c r="AB1770" s="74" t="e">
        <f t="shared" si="289"/>
        <v>#N/A</v>
      </c>
      <c r="AC1770" s="80" t="str">
        <f t="shared" si="288"/>
        <v>LCOX3</v>
      </c>
      <c r="AD1770" s="80" t="str">
        <f t="shared" si="290"/>
        <v>CLX3</v>
      </c>
      <c r="AE1770" s="80" t="str">
        <f t="shared" si="291"/>
        <v>LCOZ3</v>
      </c>
      <c r="AF1770" s="80" t="str">
        <f t="shared" si="292"/>
        <v>CLZ3</v>
      </c>
      <c r="AG1770" s="80" t="str">
        <f t="shared" si="293"/>
        <v>LCOF4</v>
      </c>
      <c r="AH1770" s="80" t="str">
        <f t="shared" si="294"/>
        <v>LCOG4</v>
      </c>
    </row>
    <row r="1771" spans="25:34" x14ac:dyDescent="0.35">
      <c r="Y1771" s="74">
        <f t="shared" si="295"/>
        <v>45174</v>
      </c>
      <c r="Z1771" s="74" t="e">
        <f t="shared" ca="1" si="286"/>
        <v>#N/A</v>
      </c>
      <c r="AA1771" s="80" t="str">
        <f t="shared" ca="1" si="287"/>
        <v>CLV3</v>
      </c>
      <c r="AB1771" s="74" t="e">
        <f t="shared" si="289"/>
        <v>#N/A</v>
      </c>
      <c r="AC1771" s="80" t="str">
        <f t="shared" si="288"/>
        <v>LCOX3</v>
      </c>
      <c r="AD1771" s="80" t="str">
        <f t="shared" si="290"/>
        <v>CLX3</v>
      </c>
      <c r="AE1771" s="80" t="str">
        <f t="shared" si="291"/>
        <v>LCOZ3</v>
      </c>
      <c r="AF1771" s="80" t="str">
        <f t="shared" si="292"/>
        <v>CLZ3</v>
      </c>
      <c r="AG1771" s="80" t="str">
        <f t="shared" si="293"/>
        <v>LCOF4</v>
      </c>
      <c r="AH1771" s="80" t="str">
        <f t="shared" si="294"/>
        <v>LCOG4</v>
      </c>
    </row>
    <row r="1772" spans="25:34" x14ac:dyDescent="0.35">
      <c r="Y1772" s="74">
        <f t="shared" si="295"/>
        <v>45175</v>
      </c>
      <c r="Z1772" s="74" t="e">
        <f t="shared" ca="1" si="286"/>
        <v>#N/A</v>
      </c>
      <c r="AA1772" s="80" t="str">
        <f t="shared" ca="1" si="287"/>
        <v>CLV3</v>
      </c>
      <c r="AB1772" s="74" t="e">
        <f t="shared" si="289"/>
        <v>#N/A</v>
      </c>
      <c r="AC1772" s="80" t="str">
        <f t="shared" si="288"/>
        <v>LCOX3</v>
      </c>
      <c r="AD1772" s="80" t="str">
        <f t="shared" si="290"/>
        <v>CLX3</v>
      </c>
      <c r="AE1772" s="80" t="str">
        <f t="shared" si="291"/>
        <v>LCOZ3</v>
      </c>
      <c r="AF1772" s="80" t="str">
        <f t="shared" si="292"/>
        <v>CLZ3</v>
      </c>
      <c r="AG1772" s="80" t="str">
        <f t="shared" si="293"/>
        <v>LCOF4</v>
      </c>
      <c r="AH1772" s="80" t="str">
        <f t="shared" si="294"/>
        <v>LCOG4</v>
      </c>
    </row>
    <row r="1773" spans="25:34" x14ac:dyDescent="0.35">
      <c r="Y1773" s="74">
        <f t="shared" si="295"/>
        <v>45176</v>
      </c>
      <c r="Z1773" s="74" t="e">
        <f t="shared" ca="1" si="286"/>
        <v>#N/A</v>
      </c>
      <c r="AA1773" s="80" t="str">
        <f t="shared" ca="1" si="287"/>
        <v>CLV3</v>
      </c>
      <c r="AB1773" s="74" t="e">
        <f t="shared" si="289"/>
        <v>#N/A</v>
      </c>
      <c r="AC1773" s="80" t="str">
        <f t="shared" si="288"/>
        <v>LCOX3</v>
      </c>
      <c r="AD1773" s="80" t="str">
        <f t="shared" si="290"/>
        <v>CLX3</v>
      </c>
      <c r="AE1773" s="80" t="str">
        <f t="shared" si="291"/>
        <v>LCOZ3</v>
      </c>
      <c r="AF1773" s="80" t="str">
        <f t="shared" si="292"/>
        <v>CLZ3</v>
      </c>
      <c r="AG1773" s="80" t="str">
        <f t="shared" si="293"/>
        <v>LCOF4</v>
      </c>
      <c r="AH1773" s="80" t="str">
        <f t="shared" si="294"/>
        <v>LCOG4</v>
      </c>
    </row>
    <row r="1774" spans="25:34" x14ac:dyDescent="0.35">
      <c r="Y1774" s="74">
        <f t="shared" si="295"/>
        <v>45177</v>
      </c>
      <c r="Z1774" s="74" t="e">
        <f t="shared" ca="1" si="286"/>
        <v>#N/A</v>
      </c>
      <c r="AA1774" s="80" t="str">
        <f t="shared" ca="1" si="287"/>
        <v>CLV3</v>
      </c>
      <c r="AB1774" s="74" t="e">
        <f t="shared" si="289"/>
        <v>#N/A</v>
      </c>
      <c r="AC1774" s="80" t="str">
        <f t="shared" si="288"/>
        <v>LCOX3</v>
      </c>
      <c r="AD1774" s="80" t="str">
        <f t="shared" si="290"/>
        <v>CLX3</v>
      </c>
      <c r="AE1774" s="80" t="str">
        <f t="shared" si="291"/>
        <v>LCOZ3</v>
      </c>
      <c r="AF1774" s="80" t="str">
        <f t="shared" si="292"/>
        <v>CLZ3</v>
      </c>
      <c r="AG1774" s="80" t="str">
        <f t="shared" si="293"/>
        <v>LCOF4</v>
      </c>
      <c r="AH1774" s="80" t="str">
        <f t="shared" si="294"/>
        <v>LCOG4</v>
      </c>
    </row>
    <row r="1775" spans="25:34" x14ac:dyDescent="0.35">
      <c r="Y1775" s="74">
        <f t="shared" si="295"/>
        <v>45178</v>
      </c>
      <c r="Z1775" s="74" t="e">
        <f t="shared" ca="1" si="286"/>
        <v>#N/A</v>
      </c>
      <c r="AA1775" s="80" t="str">
        <f t="shared" ca="1" si="287"/>
        <v>CLV3</v>
      </c>
      <c r="AB1775" s="74" t="e">
        <f t="shared" si="289"/>
        <v>#N/A</v>
      </c>
      <c r="AC1775" s="80" t="str">
        <f t="shared" si="288"/>
        <v>LCOX3</v>
      </c>
      <c r="AD1775" s="80" t="str">
        <f t="shared" si="290"/>
        <v>CLX3</v>
      </c>
      <c r="AE1775" s="80" t="str">
        <f t="shared" si="291"/>
        <v>LCOZ3</v>
      </c>
      <c r="AF1775" s="80" t="str">
        <f t="shared" si="292"/>
        <v>CLZ3</v>
      </c>
      <c r="AG1775" s="80" t="str">
        <f t="shared" si="293"/>
        <v>LCOF4</v>
      </c>
      <c r="AH1775" s="80" t="str">
        <f t="shared" si="294"/>
        <v>LCOG4</v>
      </c>
    </row>
    <row r="1776" spans="25:34" x14ac:dyDescent="0.35">
      <c r="Y1776" s="74">
        <f t="shared" si="295"/>
        <v>45179</v>
      </c>
      <c r="Z1776" s="74" t="e">
        <f t="shared" ca="1" si="286"/>
        <v>#N/A</v>
      </c>
      <c r="AA1776" s="80" t="str">
        <f t="shared" ca="1" si="287"/>
        <v>CLV3</v>
      </c>
      <c r="AB1776" s="74" t="e">
        <f t="shared" si="289"/>
        <v>#N/A</v>
      </c>
      <c r="AC1776" s="80" t="str">
        <f t="shared" si="288"/>
        <v>LCOX3</v>
      </c>
      <c r="AD1776" s="80" t="str">
        <f t="shared" si="290"/>
        <v>CLX3</v>
      </c>
      <c r="AE1776" s="80" t="str">
        <f t="shared" si="291"/>
        <v>LCOZ3</v>
      </c>
      <c r="AF1776" s="80" t="str">
        <f t="shared" si="292"/>
        <v>CLZ3</v>
      </c>
      <c r="AG1776" s="80" t="str">
        <f t="shared" si="293"/>
        <v>LCOF4</v>
      </c>
      <c r="AH1776" s="80" t="str">
        <f t="shared" si="294"/>
        <v>LCOG4</v>
      </c>
    </row>
    <row r="1777" spans="25:34" x14ac:dyDescent="0.35">
      <c r="Y1777" s="74">
        <f t="shared" si="295"/>
        <v>45180</v>
      </c>
      <c r="Z1777" s="74" t="e">
        <f t="shared" ca="1" si="286"/>
        <v>#N/A</v>
      </c>
      <c r="AA1777" s="80" t="str">
        <f t="shared" ca="1" si="287"/>
        <v>CLV3</v>
      </c>
      <c r="AB1777" s="74" t="e">
        <f t="shared" si="289"/>
        <v>#N/A</v>
      </c>
      <c r="AC1777" s="80" t="str">
        <f t="shared" si="288"/>
        <v>LCOX3</v>
      </c>
      <c r="AD1777" s="80" t="str">
        <f t="shared" si="290"/>
        <v>CLX3</v>
      </c>
      <c r="AE1777" s="80" t="str">
        <f t="shared" si="291"/>
        <v>LCOZ3</v>
      </c>
      <c r="AF1777" s="80" t="str">
        <f t="shared" si="292"/>
        <v>CLZ3</v>
      </c>
      <c r="AG1777" s="80" t="str">
        <f t="shared" si="293"/>
        <v>LCOF4</v>
      </c>
      <c r="AH1777" s="80" t="str">
        <f t="shared" si="294"/>
        <v>LCOG4</v>
      </c>
    </row>
    <row r="1778" spans="25:34" x14ac:dyDescent="0.35">
      <c r="Y1778" s="74">
        <f t="shared" si="295"/>
        <v>45181</v>
      </c>
      <c r="Z1778" s="74" t="e">
        <f t="shared" ca="1" si="286"/>
        <v>#N/A</v>
      </c>
      <c r="AA1778" s="80" t="str">
        <f t="shared" ca="1" si="287"/>
        <v>CLV3</v>
      </c>
      <c r="AB1778" s="74" t="e">
        <f t="shared" si="289"/>
        <v>#N/A</v>
      </c>
      <c r="AC1778" s="80" t="str">
        <f t="shared" si="288"/>
        <v>LCOX3</v>
      </c>
      <c r="AD1778" s="80" t="str">
        <f t="shared" si="290"/>
        <v>CLX3</v>
      </c>
      <c r="AE1778" s="80" t="str">
        <f t="shared" si="291"/>
        <v>LCOZ3</v>
      </c>
      <c r="AF1778" s="80" t="str">
        <f t="shared" si="292"/>
        <v>CLZ3</v>
      </c>
      <c r="AG1778" s="80" t="str">
        <f t="shared" si="293"/>
        <v>LCOF4</v>
      </c>
      <c r="AH1778" s="80" t="str">
        <f t="shared" si="294"/>
        <v>LCOG4</v>
      </c>
    </row>
    <row r="1779" spans="25:34" x14ac:dyDescent="0.35">
      <c r="Y1779" s="74">
        <f t="shared" si="295"/>
        <v>45182</v>
      </c>
      <c r="Z1779" s="74" t="e">
        <f t="shared" ca="1" si="286"/>
        <v>#N/A</v>
      </c>
      <c r="AA1779" s="80" t="str">
        <f t="shared" ca="1" si="287"/>
        <v>CLV3</v>
      </c>
      <c r="AB1779" s="74" t="e">
        <f t="shared" si="289"/>
        <v>#N/A</v>
      </c>
      <c r="AC1779" s="80" t="str">
        <f t="shared" si="288"/>
        <v>LCOX3</v>
      </c>
      <c r="AD1779" s="80" t="str">
        <f t="shared" si="290"/>
        <v>CLX3</v>
      </c>
      <c r="AE1779" s="80" t="str">
        <f t="shared" si="291"/>
        <v>LCOZ3</v>
      </c>
      <c r="AF1779" s="80" t="str">
        <f t="shared" si="292"/>
        <v>CLZ3</v>
      </c>
      <c r="AG1779" s="80" t="str">
        <f t="shared" si="293"/>
        <v>LCOF4</v>
      </c>
      <c r="AH1779" s="80" t="str">
        <f t="shared" si="294"/>
        <v>LCOG4</v>
      </c>
    </row>
    <row r="1780" spans="25:34" x14ac:dyDescent="0.35">
      <c r="Y1780" s="74">
        <f t="shared" si="295"/>
        <v>45183</v>
      </c>
      <c r="Z1780" s="74" t="e">
        <f t="shared" ca="1" si="286"/>
        <v>#N/A</v>
      </c>
      <c r="AA1780" s="80" t="str">
        <f t="shared" ca="1" si="287"/>
        <v>CLV3</v>
      </c>
      <c r="AB1780" s="74" t="e">
        <f t="shared" si="289"/>
        <v>#N/A</v>
      </c>
      <c r="AC1780" s="80" t="str">
        <f t="shared" si="288"/>
        <v>LCOX3</v>
      </c>
      <c r="AD1780" s="80" t="str">
        <f t="shared" si="290"/>
        <v>CLX3</v>
      </c>
      <c r="AE1780" s="80" t="str">
        <f t="shared" si="291"/>
        <v>LCOZ3</v>
      </c>
      <c r="AF1780" s="80" t="str">
        <f t="shared" si="292"/>
        <v>CLZ3</v>
      </c>
      <c r="AG1780" s="80" t="str">
        <f t="shared" si="293"/>
        <v>LCOF4</v>
      </c>
      <c r="AH1780" s="80" t="str">
        <f t="shared" si="294"/>
        <v>LCOG4</v>
      </c>
    </row>
    <row r="1781" spans="25:34" x14ac:dyDescent="0.35">
      <c r="Y1781" s="74">
        <f t="shared" si="295"/>
        <v>45184</v>
      </c>
      <c r="Z1781" s="74" t="e">
        <f t="shared" ca="1" si="286"/>
        <v>#N/A</v>
      </c>
      <c r="AA1781" s="80" t="str">
        <f t="shared" ca="1" si="287"/>
        <v>CLV3</v>
      </c>
      <c r="AB1781" s="74" t="e">
        <f t="shared" si="289"/>
        <v>#N/A</v>
      </c>
      <c r="AC1781" s="80" t="str">
        <f t="shared" si="288"/>
        <v>LCOX3</v>
      </c>
      <c r="AD1781" s="80" t="str">
        <f t="shared" si="290"/>
        <v>CLX3</v>
      </c>
      <c r="AE1781" s="80" t="str">
        <f t="shared" si="291"/>
        <v>LCOZ3</v>
      </c>
      <c r="AF1781" s="80" t="str">
        <f t="shared" si="292"/>
        <v>CLZ3</v>
      </c>
      <c r="AG1781" s="80" t="str">
        <f t="shared" si="293"/>
        <v>LCOF4</v>
      </c>
      <c r="AH1781" s="80" t="str">
        <f t="shared" si="294"/>
        <v>LCOG4</v>
      </c>
    </row>
    <row r="1782" spans="25:34" x14ac:dyDescent="0.35">
      <c r="Y1782" s="74">
        <f t="shared" si="295"/>
        <v>45185</v>
      </c>
      <c r="Z1782" s="74" t="e">
        <f t="shared" ca="1" si="286"/>
        <v>#N/A</v>
      </c>
      <c r="AA1782" s="80" t="str">
        <f t="shared" ca="1" si="287"/>
        <v>CLV3</v>
      </c>
      <c r="AB1782" s="74" t="e">
        <f t="shared" si="289"/>
        <v>#N/A</v>
      </c>
      <c r="AC1782" s="80" t="str">
        <f t="shared" si="288"/>
        <v>LCOX3</v>
      </c>
      <c r="AD1782" s="80" t="str">
        <f t="shared" si="290"/>
        <v>CLX3</v>
      </c>
      <c r="AE1782" s="80" t="str">
        <f t="shared" si="291"/>
        <v>LCOZ3</v>
      </c>
      <c r="AF1782" s="80" t="str">
        <f t="shared" si="292"/>
        <v>CLZ3</v>
      </c>
      <c r="AG1782" s="80" t="str">
        <f t="shared" si="293"/>
        <v>LCOF4</v>
      </c>
      <c r="AH1782" s="80" t="str">
        <f t="shared" si="294"/>
        <v>LCOG4</v>
      </c>
    </row>
    <row r="1783" spans="25:34" x14ac:dyDescent="0.35">
      <c r="Y1783" s="74">
        <f t="shared" si="295"/>
        <v>45186</v>
      </c>
      <c r="Z1783" s="74" t="e">
        <f t="shared" ca="1" si="286"/>
        <v>#N/A</v>
      </c>
      <c r="AA1783" s="80" t="str">
        <f t="shared" ca="1" si="287"/>
        <v>CLV3</v>
      </c>
      <c r="AB1783" s="74" t="e">
        <f t="shared" si="289"/>
        <v>#N/A</v>
      </c>
      <c r="AC1783" s="80" t="str">
        <f t="shared" si="288"/>
        <v>LCOX3</v>
      </c>
      <c r="AD1783" s="80" t="str">
        <f t="shared" si="290"/>
        <v>CLX3</v>
      </c>
      <c r="AE1783" s="80" t="str">
        <f t="shared" si="291"/>
        <v>LCOZ3</v>
      </c>
      <c r="AF1783" s="80" t="str">
        <f t="shared" si="292"/>
        <v>CLZ3</v>
      </c>
      <c r="AG1783" s="80" t="str">
        <f t="shared" si="293"/>
        <v>LCOF4</v>
      </c>
      <c r="AH1783" s="80" t="str">
        <f t="shared" si="294"/>
        <v>LCOG4</v>
      </c>
    </row>
    <row r="1784" spans="25:34" x14ac:dyDescent="0.35">
      <c r="Y1784" s="74">
        <f t="shared" si="295"/>
        <v>45187</v>
      </c>
      <c r="Z1784" s="74" t="e">
        <f t="shared" ca="1" si="286"/>
        <v>#N/A</v>
      </c>
      <c r="AA1784" s="80" t="str">
        <f t="shared" ca="1" si="287"/>
        <v>CLV3</v>
      </c>
      <c r="AB1784" s="74" t="e">
        <f t="shared" si="289"/>
        <v>#N/A</v>
      </c>
      <c r="AC1784" s="80" t="str">
        <f t="shared" si="288"/>
        <v>LCOX3</v>
      </c>
      <c r="AD1784" s="80" t="str">
        <f t="shared" si="290"/>
        <v>CLX3</v>
      </c>
      <c r="AE1784" s="80" t="str">
        <f t="shared" si="291"/>
        <v>LCOZ3</v>
      </c>
      <c r="AF1784" s="80" t="str">
        <f t="shared" si="292"/>
        <v>CLZ3</v>
      </c>
      <c r="AG1784" s="80" t="str">
        <f t="shared" si="293"/>
        <v>LCOF4</v>
      </c>
      <c r="AH1784" s="80" t="str">
        <f t="shared" si="294"/>
        <v>LCOG4</v>
      </c>
    </row>
    <row r="1785" spans="25:34" x14ac:dyDescent="0.35">
      <c r="Y1785" s="74">
        <f t="shared" si="295"/>
        <v>45188</v>
      </c>
      <c r="Z1785" s="74" t="e">
        <f t="shared" ca="1" si="286"/>
        <v>#N/A</v>
      </c>
      <c r="AA1785" s="80" t="str">
        <f t="shared" ca="1" si="287"/>
        <v>CLV3</v>
      </c>
      <c r="AB1785" s="74" t="e">
        <f t="shared" si="289"/>
        <v>#N/A</v>
      </c>
      <c r="AC1785" s="80" t="str">
        <f t="shared" si="288"/>
        <v>LCOX3</v>
      </c>
      <c r="AD1785" s="80" t="str">
        <f t="shared" si="290"/>
        <v>CLX3</v>
      </c>
      <c r="AE1785" s="80" t="str">
        <f t="shared" si="291"/>
        <v>LCOZ3</v>
      </c>
      <c r="AF1785" s="80" t="str">
        <f t="shared" si="292"/>
        <v>CLZ3</v>
      </c>
      <c r="AG1785" s="80" t="str">
        <f t="shared" si="293"/>
        <v>LCOF4</v>
      </c>
      <c r="AH1785" s="80" t="str">
        <f t="shared" si="294"/>
        <v>LCOG4</v>
      </c>
    </row>
    <row r="1786" spans="25:34" x14ac:dyDescent="0.35">
      <c r="Y1786" s="74">
        <f t="shared" si="295"/>
        <v>45189</v>
      </c>
      <c r="Z1786" s="74" t="e">
        <f t="shared" ca="1" si="286"/>
        <v>#N/A</v>
      </c>
      <c r="AA1786" s="80" t="str">
        <f t="shared" ca="1" si="287"/>
        <v>CLV3</v>
      </c>
      <c r="AB1786" s="74" t="e">
        <f t="shared" si="289"/>
        <v>#N/A</v>
      </c>
      <c r="AC1786" s="80" t="str">
        <f t="shared" si="288"/>
        <v>LCOX3</v>
      </c>
      <c r="AD1786" s="80" t="str">
        <f t="shared" si="290"/>
        <v>CLX3</v>
      </c>
      <c r="AE1786" s="80" t="str">
        <f t="shared" si="291"/>
        <v>LCOZ3</v>
      </c>
      <c r="AF1786" s="80" t="str">
        <f t="shared" si="292"/>
        <v>CLZ3</v>
      </c>
      <c r="AG1786" s="80" t="str">
        <f t="shared" si="293"/>
        <v>LCOF4</v>
      </c>
      <c r="AH1786" s="80" t="str">
        <f t="shared" si="294"/>
        <v>LCOG4</v>
      </c>
    </row>
    <row r="1787" spans="25:34" x14ac:dyDescent="0.35">
      <c r="Y1787" s="74">
        <f t="shared" si="295"/>
        <v>45190</v>
      </c>
      <c r="Z1787" s="74" t="e">
        <f t="shared" ca="1" si="286"/>
        <v>#N/A</v>
      </c>
      <c r="AA1787" s="80" t="str">
        <f t="shared" ca="1" si="287"/>
        <v>CLX3</v>
      </c>
      <c r="AB1787" s="74" t="e">
        <f t="shared" si="289"/>
        <v>#N/A</v>
      </c>
      <c r="AC1787" s="80" t="str">
        <f t="shared" si="288"/>
        <v>LCOX3</v>
      </c>
      <c r="AD1787" s="80" t="str">
        <f t="shared" si="290"/>
        <v>CLX3</v>
      </c>
      <c r="AE1787" s="80" t="str">
        <f t="shared" si="291"/>
        <v>LCOZ3</v>
      </c>
      <c r="AF1787" s="80" t="str">
        <f t="shared" si="292"/>
        <v>CLZ3</v>
      </c>
      <c r="AG1787" s="80" t="str">
        <f t="shared" si="293"/>
        <v>LCOF4</v>
      </c>
      <c r="AH1787" s="80" t="str">
        <f t="shared" si="294"/>
        <v>LCOG4</v>
      </c>
    </row>
    <row r="1788" spans="25:34" x14ac:dyDescent="0.35">
      <c r="Y1788" s="74">
        <f t="shared" si="295"/>
        <v>45191</v>
      </c>
      <c r="Z1788" s="74" t="e">
        <f t="shared" ca="1" si="286"/>
        <v>#N/A</v>
      </c>
      <c r="AA1788" s="80" t="str">
        <f t="shared" ca="1" si="287"/>
        <v>CLX3</v>
      </c>
      <c r="AB1788" s="74" t="e">
        <f t="shared" si="289"/>
        <v>#N/A</v>
      </c>
      <c r="AC1788" s="80" t="str">
        <f t="shared" si="288"/>
        <v>LCOX3</v>
      </c>
      <c r="AD1788" s="80" t="str">
        <f t="shared" si="290"/>
        <v>CLX3</v>
      </c>
      <c r="AE1788" s="80" t="str">
        <f t="shared" si="291"/>
        <v>LCOZ3</v>
      </c>
      <c r="AF1788" s="80" t="str">
        <f t="shared" si="292"/>
        <v>CLZ3</v>
      </c>
      <c r="AG1788" s="80" t="str">
        <f t="shared" si="293"/>
        <v>LCOF4</v>
      </c>
      <c r="AH1788" s="80" t="str">
        <f t="shared" si="294"/>
        <v>LCOG4</v>
      </c>
    </row>
    <row r="1789" spans="25:34" x14ac:dyDescent="0.35">
      <c r="Y1789" s="74">
        <f t="shared" si="295"/>
        <v>45192</v>
      </c>
      <c r="Z1789" s="74" t="e">
        <f t="shared" ca="1" si="286"/>
        <v>#N/A</v>
      </c>
      <c r="AA1789" s="80" t="str">
        <f t="shared" ca="1" si="287"/>
        <v>CLX3</v>
      </c>
      <c r="AB1789" s="74" t="e">
        <f t="shared" si="289"/>
        <v>#N/A</v>
      </c>
      <c r="AC1789" s="80" t="str">
        <f t="shared" si="288"/>
        <v>LCOX3</v>
      </c>
      <c r="AD1789" s="80" t="str">
        <f t="shared" si="290"/>
        <v>CLX3</v>
      </c>
      <c r="AE1789" s="80" t="str">
        <f t="shared" si="291"/>
        <v>LCOZ3</v>
      </c>
      <c r="AF1789" s="80" t="str">
        <f t="shared" si="292"/>
        <v>CLZ3</v>
      </c>
      <c r="AG1789" s="80" t="str">
        <f t="shared" si="293"/>
        <v>LCOF4</v>
      </c>
      <c r="AH1789" s="80" t="str">
        <f t="shared" si="294"/>
        <v>LCOG4</v>
      </c>
    </row>
    <row r="1790" spans="25:34" x14ac:dyDescent="0.35">
      <c r="Y1790" s="74">
        <f t="shared" si="295"/>
        <v>45193</v>
      </c>
      <c r="Z1790" s="74" t="e">
        <f t="shared" ca="1" si="286"/>
        <v>#N/A</v>
      </c>
      <c r="AA1790" s="80" t="str">
        <f t="shared" ca="1" si="287"/>
        <v>CLX3</v>
      </c>
      <c r="AB1790" s="74" t="e">
        <f t="shared" si="289"/>
        <v>#N/A</v>
      </c>
      <c r="AC1790" s="80" t="str">
        <f t="shared" si="288"/>
        <v>LCOX3</v>
      </c>
      <c r="AD1790" s="80" t="str">
        <f t="shared" si="290"/>
        <v>CLX3</v>
      </c>
      <c r="AE1790" s="80" t="str">
        <f t="shared" si="291"/>
        <v>LCOZ3</v>
      </c>
      <c r="AF1790" s="80" t="str">
        <f t="shared" si="292"/>
        <v>CLZ3</v>
      </c>
      <c r="AG1790" s="80" t="str">
        <f t="shared" si="293"/>
        <v>LCOF4</v>
      </c>
      <c r="AH1790" s="80" t="str">
        <f t="shared" si="294"/>
        <v>LCOG4</v>
      </c>
    </row>
    <row r="1791" spans="25:34" x14ac:dyDescent="0.35">
      <c r="Y1791" s="74">
        <f t="shared" si="295"/>
        <v>45194</v>
      </c>
      <c r="Z1791" s="74" t="e">
        <f t="shared" ca="1" si="286"/>
        <v>#N/A</v>
      </c>
      <c r="AA1791" s="80" t="str">
        <f t="shared" ca="1" si="287"/>
        <v>CLX3</v>
      </c>
      <c r="AB1791" s="74" t="e">
        <f t="shared" si="289"/>
        <v>#N/A</v>
      </c>
      <c r="AC1791" s="80" t="str">
        <f t="shared" si="288"/>
        <v>LCOX3</v>
      </c>
      <c r="AD1791" s="80" t="str">
        <f t="shared" si="290"/>
        <v>CLX3</v>
      </c>
      <c r="AE1791" s="80" t="str">
        <f t="shared" si="291"/>
        <v>LCOZ3</v>
      </c>
      <c r="AF1791" s="80" t="str">
        <f t="shared" si="292"/>
        <v>CLZ3</v>
      </c>
      <c r="AG1791" s="80" t="str">
        <f t="shared" si="293"/>
        <v>LCOF4</v>
      </c>
      <c r="AH1791" s="80" t="str">
        <f t="shared" si="294"/>
        <v>LCOG4</v>
      </c>
    </row>
    <row r="1792" spans="25:34" x14ac:dyDescent="0.35">
      <c r="Y1792" s="74">
        <f t="shared" si="295"/>
        <v>45195</v>
      </c>
      <c r="Z1792" s="74" t="e">
        <f t="shared" ca="1" si="286"/>
        <v>#N/A</v>
      </c>
      <c r="AA1792" s="80" t="str">
        <f t="shared" ca="1" si="287"/>
        <v>CLX3</v>
      </c>
      <c r="AB1792" s="74" t="e">
        <f t="shared" si="289"/>
        <v>#N/A</v>
      </c>
      <c r="AC1792" s="80" t="str">
        <f t="shared" si="288"/>
        <v>LCOX3</v>
      </c>
      <c r="AD1792" s="80" t="str">
        <f t="shared" si="290"/>
        <v>CLX3</v>
      </c>
      <c r="AE1792" s="80" t="str">
        <f t="shared" si="291"/>
        <v>LCOZ3</v>
      </c>
      <c r="AF1792" s="80" t="str">
        <f t="shared" si="292"/>
        <v>CLZ3</v>
      </c>
      <c r="AG1792" s="80" t="str">
        <f t="shared" si="293"/>
        <v>LCOF4</v>
      </c>
      <c r="AH1792" s="80" t="str">
        <f t="shared" si="294"/>
        <v>LCOG4</v>
      </c>
    </row>
    <row r="1793" spans="25:34" x14ac:dyDescent="0.35">
      <c r="Y1793" s="74">
        <f t="shared" si="295"/>
        <v>45196</v>
      </c>
      <c r="Z1793" s="74" t="e">
        <f t="shared" ca="1" si="286"/>
        <v>#N/A</v>
      </c>
      <c r="AA1793" s="80" t="str">
        <f t="shared" ca="1" si="287"/>
        <v>CLX3</v>
      </c>
      <c r="AB1793" s="74" t="e">
        <f t="shared" si="289"/>
        <v>#N/A</v>
      </c>
      <c r="AC1793" s="80" t="str">
        <f t="shared" si="288"/>
        <v>LCOX3</v>
      </c>
      <c r="AD1793" s="80" t="str">
        <f t="shared" si="290"/>
        <v>CLX3</v>
      </c>
      <c r="AE1793" s="80" t="str">
        <f t="shared" si="291"/>
        <v>LCOZ3</v>
      </c>
      <c r="AF1793" s="80" t="str">
        <f t="shared" si="292"/>
        <v>CLZ3</v>
      </c>
      <c r="AG1793" s="80" t="str">
        <f t="shared" si="293"/>
        <v>LCOF4</v>
      </c>
      <c r="AH1793" s="80" t="str">
        <f t="shared" si="294"/>
        <v>LCOG4</v>
      </c>
    </row>
    <row r="1794" spans="25:34" x14ac:dyDescent="0.35">
      <c r="Y1794" s="74">
        <f t="shared" si="295"/>
        <v>45197</v>
      </c>
      <c r="Z1794" s="74" t="e">
        <f t="shared" ref="Z1794:Z1857" ca="1" si="296">VLOOKUP(AA1794,$I$2:$K$39,3,FALSE)</f>
        <v>#N/A</v>
      </c>
      <c r="AA1794" s="80" t="str">
        <f t="shared" ref="AA1794:AA1857" ca="1" si="297">LOOKUP(2,1/($J$2:$J$700&lt;=$Y1794)/($K$2:$K$700&gt;=$Y1794),$L$2:$L$700)</f>
        <v>CLX3</v>
      </c>
      <c r="AB1794" s="74" t="e">
        <f t="shared" si="289"/>
        <v>#N/A</v>
      </c>
      <c r="AC1794" s="80" t="str">
        <f t="shared" ref="AC1794:AC1857" si="298">LOOKUP(2,1/($R$2:$R$700&lt;=$Y1794)/($S$2:$S$700&gt;=$Y1794),$T$2:$T$700)</f>
        <v>LCOX3</v>
      </c>
      <c r="AD1794" s="80" t="str">
        <f t="shared" si="290"/>
        <v>CLX3</v>
      </c>
      <c r="AE1794" s="80" t="str">
        <f t="shared" si="291"/>
        <v>LCOZ3</v>
      </c>
      <c r="AF1794" s="80" t="str">
        <f t="shared" si="292"/>
        <v>CLZ3</v>
      </c>
      <c r="AG1794" s="80" t="str">
        <f t="shared" si="293"/>
        <v>LCOF4</v>
      </c>
      <c r="AH1794" s="80" t="str">
        <f t="shared" si="294"/>
        <v>LCOG4</v>
      </c>
    </row>
    <row r="1795" spans="25:34" x14ac:dyDescent="0.35">
      <c r="Y1795" s="74">
        <f t="shared" si="295"/>
        <v>45198</v>
      </c>
      <c r="Z1795" s="74" t="e">
        <f t="shared" ca="1" si="296"/>
        <v>#N/A</v>
      </c>
      <c r="AA1795" s="80" t="str">
        <f t="shared" ca="1" si="297"/>
        <v>CLX3</v>
      </c>
      <c r="AB1795" s="74" t="e">
        <f t="shared" ref="AB1795:AB1858" si="299">VLOOKUP(AC1795,$Q$2:$S$39,3,FALSE)</f>
        <v>#N/A</v>
      </c>
      <c r="AC1795" s="80" t="str">
        <f t="shared" si="298"/>
        <v>LCOX3</v>
      </c>
      <c r="AD1795" s="80" t="str">
        <f t="shared" ref="AD1795:AD1858" si="300">CONCATENATE("CL",RIGHT(AC1795,2))</f>
        <v>CLX3</v>
      </c>
      <c r="AE1795" s="80" t="str">
        <f t="shared" ref="AE1795:AE1858" si="301">LOOKUP(2,1/($R$2:$R$700&lt;=$Y1795)/($S$2:$S$700&gt;=$Y1795),$U$2:$U$700)</f>
        <v>LCOZ3</v>
      </c>
      <c r="AF1795" s="80" t="str">
        <f t="shared" ref="AF1795:AF1858" si="302">CONCATENATE("CL",RIGHT(AE1795,2))</f>
        <v>CLZ3</v>
      </c>
      <c r="AG1795" s="80" t="str">
        <f t="shared" ref="AG1795:AG1858" si="303">LOOKUP(2,1/($R$2:$R$700&lt;=$Y1795)/($S$2:$S$700&gt;=$Y1795),$V$2:$V$700)</f>
        <v>LCOF4</v>
      </c>
      <c r="AH1795" s="80" t="str">
        <f t="shared" ref="AH1795:AH1858" si="304">LOOKUP(2,1/($R$2:$R$700&lt;=$Y1795)/($S$2:$S$700&gt;=$Y1795),$W$2:$W$700)</f>
        <v>LCOG4</v>
      </c>
    </row>
    <row r="1796" spans="25:34" x14ac:dyDescent="0.35">
      <c r="Y1796" s="74">
        <f t="shared" si="295"/>
        <v>45199</v>
      </c>
      <c r="Z1796" s="74" t="e">
        <f t="shared" ca="1" si="296"/>
        <v>#N/A</v>
      </c>
      <c r="AA1796" s="80" t="str">
        <f t="shared" ca="1" si="297"/>
        <v>CLX3</v>
      </c>
      <c r="AB1796" s="74" t="e">
        <f t="shared" si="299"/>
        <v>#N/A</v>
      </c>
      <c r="AC1796" s="80" t="str">
        <f t="shared" si="298"/>
        <v>LCOZ3</v>
      </c>
      <c r="AD1796" s="80" t="str">
        <f t="shared" si="300"/>
        <v>CLZ3</v>
      </c>
      <c r="AE1796" s="80" t="str">
        <f t="shared" si="301"/>
        <v>LCOF4</v>
      </c>
      <c r="AF1796" s="80" t="str">
        <f t="shared" si="302"/>
        <v>CLF4</v>
      </c>
      <c r="AG1796" s="80" t="str">
        <f t="shared" si="303"/>
        <v>LCOG4</v>
      </c>
      <c r="AH1796" s="80" t="str">
        <f t="shared" si="304"/>
        <v>LCOH4</v>
      </c>
    </row>
    <row r="1797" spans="25:34" x14ac:dyDescent="0.35">
      <c r="Y1797" s="74">
        <f t="shared" si="295"/>
        <v>45200</v>
      </c>
      <c r="Z1797" s="74" t="e">
        <f t="shared" ca="1" si="296"/>
        <v>#N/A</v>
      </c>
      <c r="AA1797" s="80" t="str">
        <f t="shared" ca="1" si="297"/>
        <v>CLX3</v>
      </c>
      <c r="AB1797" s="74" t="e">
        <f t="shared" si="299"/>
        <v>#N/A</v>
      </c>
      <c r="AC1797" s="80" t="str">
        <f t="shared" si="298"/>
        <v>LCOZ3</v>
      </c>
      <c r="AD1797" s="80" t="str">
        <f t="shared" si="300"/>
        <v>CLZ3</v>
      </c>
      <c r="AE1797" s="80" t="str">
        <f t="shared" si="301"/>
        <v>LCOF4</v>
      </c>
      <c r="AF1797" s="80" t="str">
        <f t="shared" si="302"/>
        <v>CLF4</v>
      </c>
      <c r="AG1797" s="80" t="str">
        <f t="shared" si="303"/>
        <v>LCOG4</v>
      </c>
      <c r="AH1797" s="80" t="str">
        <f t="shared" si="304"/>
        <v>LCOH4</v>
      </c>
    </row>
    <row r="1798" spans="25:34" x14ac:dyDescent="0.35">
      <c r="Y1798" s="74">
        <f t="shared" si="295"/>
        <v>45201</v>
      </c>
      <c r="Z1798" s="74" t="e">
        <f t="shared" ca="1" si="296"/>
        <v>#N/A</v>
      </c>
      <c r="AA1798" s="80" t="str">
        <f t="shared" ca="1" si="297"/>
        <v>CLX3</v>
      </c>
      <c r="AB1798" s="74" t="e">
        <f t="shared" si="299"/>
        <v>#N/A</v>
      </c>
      <c r="AC1798" s="80" t="str">
        <f t="shared" si="298"/>
        <v>LCOZ3</v>
      </c>
      <c r="AD1798" s="80" t="str">
        <f t="shared" si="300"/>
        <v>CLZ3</v>
      </c>
      <c r="AE1798" s="80" t="str">
        <f t="shared" si="301"/>
        <v>LCOF4</v>
      </c>
      <c r="AF1798" s="80" t="str">
        <f t="shared" si="302"/>
        <v>CLF4</v>
      </c>
      <c r="AG1798" s="80" t="str">
        <f t="shared" si="303"/>
        <v>LCOG4</v>
      </c>
      <c r="AH1798" s="80" t="str">
        <f t="shared" si="304"/>
        <v>LCOH4</v>
      </c>
    </row>
    <row r="1799" spans="25:34" x14ac:dyDescent="0.35">
      <c r="Y1799" s="74">
        <f t="shared" si="295"/>
        <v>45202</v>
      </c>
      <c r="Z1799" s="74" t="e">
        <f t="shared" ca="1" si="296"/>
        <v>#N/A</v>
      </c>
      <c r="AA1799" s="80" t="str">
        <f t="shared" ca="1" si="297"/>
        <v>CLX3</v>
      </c>
      <c r="AB1799" s="74" t="e">
        <f t="shared" si="299"/>
        <v>#N/A</v>
      </c>
      <c r="AC1799" s="80" t="str">
        <f t="shared" si="298"/>
        <v>LCOZ3</v>
      </c>
      <c r="AD1799" s="80" t="str">
        <f t="shared" si="300"/>
        <v>CLZ3</v>
      </c>
      <c r="AE1799" s="80" t="str">
        <f t="shared" si="301"/>
        <v>LCOF4</v>
      </c>
      <c r="AF1799" s="80" t="str">
        <f t="shared" si="302"/>
        <v>CLF4</v>
      </c>
      <c r="AG1799" s="80" t="str">
        <f t="shared" si="303"/>
        <v>LCOG4</v>
      </c>
      <c r="AH1799" s="80" t="str">
        <f t="shared" si="304"/>
        <v>LCOH4</v>
      </c>
    </row>
    <row r="1800" spans="25:34" x14ac:dyDescent="0.35">
      <c r="Y1800" s="74">
        <f t="shared" si="295"/>
        <v>45203</v>
      </c>
      <c r="Z1800" s="74" t="e">
        <f t="shared" ca="1" si="296"/>
        <v>#N/A</v>
      </c>
      <c r="AA1800" s="80" t="str">
        <f t="shared" ca="1" si="297"/>
        <v>CLX3</v>
      </c>
      <c r="AB1800" s="74" t="e">
        <f t="shared" si="299"/>
        <v>#N/A</v>
      </c>
      <c r="AC1800" s="80" t="str">
        <f t="shared" si="298"/>
        <v>LCOZ3</v>
      </c>
      <c r="AD1800" s="80" t="str">
        <f t="shared" si="300"/>
        <v>CLZ3</v>
      </c>
      <c r="AE1800" s="80" t="str">
        <f t="shared" si="301"/>
        <v>LCOF4</v>
      </c>
      <c r="AF1800" s="80" t="str">
        <f t="shared" si="302"/>
        <v>CLF4</v>
      </c>
      <c r="AG1800" s="80" t="str">
        <f t="shared" si="303"/>
        <v>LCOG4</v>
      </c>
      <c r="AH1800" s="80" t="str">
        <f t="shared" si="304"/>
        <v>LCOH4</v>
      </c>
    </row>
    <row r="1801" spans="25:34" x14ac:dyDescent="0.35">
      <c r="Y1801" s="74">
        <f t="shared" si="295"/>
        <v>45204</v>
      </c>
      <c r="Z1801" s="74" t="e">
        <f t="shared" ca="1" si="296"/>
        <v>#N/A</v>
      </c>
      <c r="AA1801" s="80" t="str">
        <f t="shared" ca="1" si="297"/>
        <v>CLX3</v>
      </c>
      <c r="AB1801" s="74" t="e">
        <f t="shared" si="299"/>
        <v>#N/A</v>
      </c>
      <c r="AC1801" s="80" t="str">
        <f t="shared" si="298"/>
        <v>LCOZ3</v>
      </c>
      <c r="AD1801" s="80" t="str">
        <f t="shared" si="300"/>
        <v>CLZ3</v>
      </c>
      <c r="AE1801" s="80" t="str">
        <f t="shared" si="301"/>
        <v>LCOF4</v>
      </c>
      <c r="AF1801" s="80" t="str">
        <f t="shared" si="302"/>
        <v>CLF4</v>
      </c>
      <c r="AG1801" s="80" t="str">
        <f t="shared" si="303"/>
        <v>LCOG4</v>
      </c>
      <c r="AH1801" s="80" t="str">
        <f t="shared" si="304"/>
        <v>LCOH4</v>
      </c>
    </row>
    <row r="1802" spans="25:34" x14ac:dyDescent="0.35">
      <c r="Y1802" s="74">
        <f t="shared" si="295"/>
        <v>45205</v>
      </c>
      <c r="Z1802" s="74" t="e">
        <f t="shared" ca="1" si="296"/>
        <v>#N/A</v>
      </c>
      <c r="AA1802" s="80" t="str">
        <f t="shared" ca="1" si="297"/>
        <v>CLX3</v>
      </c>
      <c r="AB1802" s="74" t="e">
        <f t="shared" si="299"/>
        <v>#N/A</v>
      </c>
      <c r="AC1802" s="80" t="str">
        <f t="shared" si="298"/>
        <v>LCOZ3</v>
      </c>
      <c r="AD1802" s="80" t="str">
        <f t="shared" si="300"/>
        <v>CLZ3</v>
      </c>
      <c r="AE1802" s="80" t="str">
        <f t="shared" si="301"/>
        <v>LCOF4</v>
      </c>
      <c r="AF1802" s="80" t="str">
        <f t="shared" si="302"/>
        <v>CLF4</v>
      </c>
      <c r="AG1802" s="80" t="str">
        <f t="shared" si="303"/>
        <v>LCOG4</v>
      </c>
      <c r="AH1802" s="80" t="str">
        <f t="shared" si="304"/>
        <v>LCOH4</v>
      </c>
    </row>
    <row r="1803" spans="25:34" x14ac:dyDescent="0.35">
      <c r="Y1803" s="74">
        <f t="shared" si="295"/>
        <v>45206</v>
      </c>
      <c r="Z1803" s="74" t="e">
        <f t="shared" ca="1" si="296"/>
        <v>#N/A</v>
      </c>
      <c r="AA1803" s="80" t="str">
        <f t="shared" ca="1" si="297"/>
        <v>CLX3</v>
      </c>
      <c r="AB1803" s="74" t="e">
        <f t="shared" si="299"/>
        <v>#N/A</v>
      </c>
      <c r="AC1803" s="80" t="str">
        <f t="shared" si="298"/>
        <v>LCOZ3</v>
      </c>
      <c r="AD1803" s="80" t="str">
        <f t="shared" si="300"/>
        <v>CLZ3</v>
      </c>
      <c r="AE1803" s="80" t="str">
        <f t="shared" si="301"/>
        <v>LCOF4</v>
      </c>
      <c r="AF1803" s="80" t="str">
        <f t="shared" si="302"/>
        <v>CLF4</v>
      </c>
      <c r="AG1803" s="80" t="str">
        <f t="shared" si="303"/>
        <v>LCOG4</v>
      </c>
      <c r="AH1803" s="80" t="str">
        <f t="shared" si="304"/>
        <v>LCOH4</v>
      </c>
    </row>
    <row r="1804" spans="25:34" x14ac:dyDescent="0.35">
      <c r="Y1804" s="74">
        <f t="shared" si="295"/>
        <v>45207</v>
      </c>
      <c r="Z1804" s="74" t="e">
        <f t="shared" ca="1" si="296"/>
        <v>#N/A</v>
      </c>
      <c r="AA1804" s="80" t="str">
        <f t="shared" ca="1" si="297"/>
        <v>CLX3</v>
      </c>
      <c r="AB1804" s="74" t="e">
        <f t="shared" si="299"/>
        <v>#N/A</v>
      </c>
      <c r="AC1804" s="80" t="str">
        <f t="shared" si="298"/>
        <v>LCOZ3</v>
      </c>
      <c r="AD1804" s="80" t="str">
        <f t="shared" si="300"/>
        <v>CLZ3</v>
      </c>
      <c r="AE1804" s="80" t="str">
        <f t="shared" si="301"/>
        <v>LCOF4</v>
      </c>
      <c r="AF1804" s="80" t="str">
        <f t="shared" si="302"/>
        <v>CLF4</v>
      </c>
      <c r="AG1804" s="80" t="str">
        <f t="shared" si="303"/>
        <v>LCOG4</v>
      </c>
      <c r="AH1804" s="80" t="str">
        <f t="shared" si="304"/>
        <v>LCOH4</v>
      </c>
    </row>
    <row r="1805" spans="25:34" x14ac:dyDescent="0.35">
      <c r="Y1805" s="74">
        <f t="shared" si="295"/>
        <v>45208</v>
      </c>
      <c r="Z1805" s="74" t="e">
        <f t="shared" ca="1" si="296"/>
        <v>#N/A</v>
      </c>
      <c r="AA1805" s="80" t="str">
        <f t="shared" ca="1" si="297"/>
        <v>CLX3</v>
      </c>
      <c r="AB1805" s="74" t="e">
        <f t="shared" si="299"/>
        <v>#N/A</v>
      </c>
      <c r="AC1805" s="80" t="str">
        <f t="shared" si="298"/>
        <v>LCOZ3</v>
      </c>
      <c r="AD1805" s="80" t="str">
        <f t="shared" si="300"/>
        <v>CLZ3</v>
      </c>
      <c r="AE1805" s="80" t="str">
        <f t="shared" si="301"/>
        <v>LCOF4</v>
      </c>
      <c r="AF1805" s="80" t="str">
        <f t="shared" si="302"/>
        <v>CLF4</v>
      </c>
      <c r="AG1805" s="80" t="str">
        <f t="shared" si="303"/>
        <v>LCOG4</v>
      </c>
      <c r="AH1805" s="80" t="str">
        <f t="shared" si="304"/>
        <v>LCOH4</v>
      </c>
    </row>
    <row r="1806" spans="25:34" x14ac:dyDescent="0.35">
      <c r="Y1806" s="74">
        <f t="shared" si="295"/>
        <v>45209</v>
      </c>
      <c r="Z1806" s="74" t="e">
        <f t="shared" ca="1" si="296"/>
        <v>#N/A</v>
      </c>
      <c r="AA1806" s="80" t="str">
        <f t="shared" ca="1" si="297"/>
        <v>CLX3</v>
      </c>
      <c r="AB1806" s="74" t="e">
        <f t="shared" si="299"/>
        <v>#N/A</v>
      </c>
      <c r="AC1806" s="80" t="str">
        <f t="shared" si="298"/>
        <v>LCOZ3</v>
      </c>
      <c r="AD1806" s="80" t="str">
        <f t="shared" si="300"/>
        <v>CLZ3</v>
      </c>
      <c r="AE1806" s="80" t="str">
        <f t="shared" si="301"/>
        <v>LCOF4</v>
      </c>
      <c r="AF1806" s="80" t="str">
        <f t="shared" si="302"/>
        <v>CLF4</v>
      </c>
      <c r="AG1806" s="80" t="str">
        <f t="shared" si="303"/>
        <v>LCOG4</v>
      </c>
      <c r="AH1806" s="80" t="str">
        <f t="shared" si="304"/>
        <v>LCOH4</v>
      </c>
    </row>
    <row r="1807" spans="25:34" x14ac:dyDescent="0.35">
      <c r="Y1807" s="74">
        <f t="shared" si="295"/>
        <v>45210</v>
      </c>
      <c r="Z1807" s="74" t="e">
        <f t="shared" ca="1" si="296"/>
        <v>#N/A</v>
      </c>
      <c r="AA1807" s="80" t="str">
        <f t="shared" ca="1" si="297"/>
        <v>CLX3</v>
      </c>
      <c r="AB1807" s="74" t="e">
        <f t="shared" si="299"/>
        <v>#N/A</v>
      </c>
      <c r="AC1807" s="80" t="str">
        <f t="shared" si="298"/>
        <v>LCOZ3</v>
      </c>
      <c r="AD1807" s="80" t="str">
        <f t="shared" si="300"/>
        <v>CLZ3</v>
      </c>
      <c r="AE1807" s="80" t="str">
        <f t="shared" si="301"/>
        <v>LCOF4</v>
      </c>
      <c r="AF1807" s="80" t="str">
        <f t="shared" si="302"/>
        <v>CLF4</v>
      </c>
      <c r="AG1807" s="80" t="str">
        <f t="shared" si="303"/>
        <v>LCOG4</v>
      </c>
      <c r="AH1807" s="80" t="str">
        <f t="shared" si="304"/>
        <v>LCOH4</v>
      </c>
    </row>
    <row r="1808" spans="25:34" x14ac:dyDescent="0.35">
      <c r="Y1808" s="74">
        <f t="shared" si="295"/>
        <v>45211</v>
      </c>
      <c r="Z1808" s="74" t="e">
        <f t="shared" ca="1" si="296"/>
        <v>#N/A</v>
      </c>
      <c r="AA1808" s="80" t="str">
        <f t="shared" ca="1" si="297"/>
        <v>CLX3</v>
      </c>
      <c r="AB1808" s="74" t="e">
        <f t="shared" si="299"/>
        <v>#N/A</v>
      </c>
      <c r="AC1808" s="80" t="str">
        <f t="shared" si="298"/>
        <v>LCOZ3</v>
      </c>
      <c r="AD1808" s="80" t="str">
        <f t="shared" si="300"/>
        <v>CLZ3</v>
      </c>
      <c r="AE1808" s="80" t="str">
        <f t="shared" si="301"/>
        <v>LCOF4</v>
      </c>
      <c r="AF1808" s="80" t="str">
        <f t="shared" si="302"/>
        <v>CLF4</v>
      </c>
      <c r="AG1808" s="80" t="str">
        <f t="shared" si="303"/>
        <v>LCOG4</v>
      </c>
      <c r="AH1808" s="80" t="str">
        <f t="shared" si="304"/>
        <v>LCOH4</v>
      </c>
    </row>
    <row r="1809" spans="25:34" x14ac:dyDescent="0.35">
      <c r="Y1809" s="74">
        <f t="shared" si="295"/>
        <v>45212</v>
      </c>
      <c r="Z1809" s="74" t="e">
        <f t="shared" ca="1" si="296"/>
        <v>#N/A</v>
      </c>
      <c r="AA1809" s="80" t="str">
        <f t="shared" ca="1" si="297"/>
        <v>CLX3</v>
      </c>
      <c r="AB1809" s="74" t="e">
        <f t="shared" si="299"/>
        <v>#N/A</v>
      </c>
      <c r="AC1809" s="80" t="str">
        <f t="shared" si="298"/>
        <v>LCOZ3</v>
      </c>
      <c r="AD1809" s="80" t="str">
        <f t="shared" si="300"/>
        <v>CLZ3</v>
      </c>
      <c r="AE1809" s="80" t="str">
        <f t="shared" si="301"/>
        <v>LCOF4</v>
      </c>
      <c r="AF1809" s="80" t="str">
        <f t="shared" si="302"/>
        <v>CLF4</v>
      </c>
      <c r="AG1809" s="80" t="str">
        <f t="shared" si="303"/>
        <v>LCOG4</v>
      </c>
      <c r="AH1809" s="80" t="str">
        <f t="shared" si="304"/>
        <v>LCOH4</v>
      </c>
    </row>
    <row r="1810" spans="25:34" x14ac:dyDescent="0.35">
      <c r="Y1810" s="74">
        <f t="shared" si="295"/>
        <v>45213</v>
      </c>
      <c r="Z1810" s="74" t="e">
        <f t="shared" ca="1" si="296"/>
        <v>#N/A</v>
      </c>
      <c r="AA1810" s="80" t="str">
        <f t="shared" ca="1" si="297"/>
        <v>CLX3</v>
      </c>
      <c r="AB1810" s="74" t="e">
        <f t="shared" si="299"/>
        <v>#N/A</v>
      </c>
      <c r="AC1810" s="80" t="str">
        <f t="shared" si="298"/>
        <v>LCOZ3</v>
      </c>
      <c r="AD1810" s="80" t="str">
        <f t="shared" si="300"/>
        <v>CLZ3</v>
      </c>
      <c r="AE1810" s="80" t="str">
        <f t="shared" si="301"/>
        <v>LCOF4</v>
      </c>
      <c r="AF1810" s="80" t="str">
        <f t="shared" si="302"/>
        <v>CLF4</v>
      </c>
      <c r="AG1810" s="80" t="str">
        <f t="shared" si="303"/>
        <v>LCOG4</v>
      </c>
      <c r="AH1810" s="80" t="str">
        <f t="shared" si="304"/>
        <v>LCOH4</v>
      </c>
    </row>
    <row r="1811" spans="25:34" x14ac:dyDescent="0.35">
      <c r="Y1811" s="74">
        <f t="shared" si="295"/>
        <v>45214</v>
      </c>
      <c r="Z1811" s="74" t="e">
        <f t="shared" ca="1" si="296"/>
        <v>#N/A</v>
      </c>
      <c r="AA1811" s="80" t="str">
        <f t="shared" ca="1" si="297"/>
        <v>CLX3</v>
      </c>
      <c r="AB1811" s="74" t="e">
        <f t="shared" si="299"/>
        <v>#N/A</v>
      </c>
      <c r="AC1811" s="80" t="str">
        <f t="shared" si="298"/>
        <v>LCOZ3</v>
      </c>
      <c r="AD1811" s="80" t="str">
        <f t="shared" si="300"/>
        <v>CLZ3</v>
      </c>
      <c r="AE1811" s="80" t="str">
        <f t="shared" si="301"/>
        <v>LCOF4</v>
      </c>
      <c r="AF1811" s="80" t="str">
        <f t="shared" si="302"/>
        <v>CLF4</v>
      </c>
      <c r="AG1811" s="80" t="str">
        <f t="shared" si="303"/>
        <v>LCOG4</v>
      </c>
      <c r="AH1811" s="80" t="str">
        <f t="shared" si="304"/>
        <v>LCOH4</v>
      </c>
    </row>
    <row r="1812" spans="25:34" x14ac:dyDescent="0.35">
      <c r="Y1812" s="74">
        <f t="shared" si="295"/>
        <v>45215</v>
      </c>
      <c r="Z1812" s="74" t="e">
        <f t="shared" ca="1" si="296"/>
        <v>#N/A</v>
      </c>
      <c r="AA1812" s="80" t="str">
        <f t="shared" ca="1" si="297"/>
        <v>CLX3</v>
      </c>
      <c r="AB1812" s="74" t="e">
        <f t="shared" si="299"/>
        <v>#N/A</v>
      </c>
      <c r="AC1812" s="80" t="str">
        <f t="shared" si="298"/>
        <v>LCOZ3</v>
      </c>
      <c r="AD1812" s="80" t="str">
        <f t="shared" si="300"/>
        <v>CLZ3</v>
      </c>
      <c r="AE1812" s="80" t="str">
        <f t="shared" si="301"/>
        <v>LCOF4</v>
      </c>
      <c r="AF1812" s="80" t="str">
        <f t="shared" si="302"/>
        <v>CLF4</v>
      </c>
      <c r="AG1812" s="80" t="str">
        <f t="shared" si="303"/>
        <v>LCOG4</v>
      </c>
      <c r="AH1812" s="80" t="str">
        <f t="shared" si="304"/>
        <v>LCOH4</v>
      </c>
    </row>
    <row r="1813" spans="25:34" x14ac:dyDescent="0.35">
      <c r="Y1813" s="74">
        <f t="shared" si="295"/>
        <v>45216</v>
      </c>
      <c r="Z1813" s="74" t="e">
        <f t="shared" ca="1" si="296"/>
        <v>#N/A</v>
      </c>
      <c r="AA1813" s="80" t="str">
        <f t="shared" ca="1" si="297"/>
        <v>CLX3</v>
      </c>
      <c r="AB1813" s="74" t="e">
        <f t="shared" si="299"/>
        <v>#N/A</v>
      </c>
      <c r="AC1813" s="80" t="str">
        <f t="shared" si="298"/>
        <v>LCOZ3</v>
      </c>
      <c r="AD1813" s="80" t="str">
        <f t="shared" si="300"/>
        <v>CLZ3</v>
      </c>
      <c r="AE1813" s="80" t="str">
        <f t="shared" si="301"/>
        <v>LCOF4</v>
      </c>
      <c r="AF1813" s="80" t="str">
        <f t="shared" si="302"/>
        <v>CLF4</v>
      </c>
      <c r="AG1813" s="80" t="str">
        <f t="shared" si="303"/>
        <v>LCOG4</v>
      </c>
      <c r="AH1813" s="80" t="str">
        <f t="shared" si="304"/>
        <v>LCOH4</v>
      </c>
    </row>
    <row r="1814" spans="25:34" x14ac:dyDescent="0.35">
      <c r="Y1814" s="74">
        <f t="shared" si="295"/>
        <v>45217</v>
      </c>
      <c r="Z1814" s="74" t="e">
        <f t="shared" ca="1" si="296"/>
        <v>#N/A</v>
      </c>
      <c r="AA1814" s="80" t="str">
        <f t="shared" ca="1" si="297"/>
        <v>CLX3</v>
      </c>
      <c r="AB1814" s="74" t="e">
        <f t="shared" si="299"/>
        <v>#N/A</v>
      </c>
      <c r="AC1814" s="80" t="str">
        <f t="shared" si="298"/>
        <v>LCOZ3</v>
      </c>
      <c r="AD1814" s="80" t="str">
        <f t="shared" si="300"/>
        <v>CLZ3</v>
      </c>
      <c r="AE1814" s="80" t="str">
        <f t="shared" si="301"/>
        <v>LCOF4</v>
      </c>
      <c r="AF1814" s="80" t="str">
        <f t="shared" si="302"/>
        <v>CLF4</v>
      </c>
      <c r="AG1814" s="80" t="str">
        <f t="shared" si="303"/>
        <v>LCOG4</v>
      </c>
      <c r="AH1814" s="80" t="str">
        <f t="shared" si="304"/>
        <v>LCOH4</v>
      </c>
    </row>
    <row r="1815" spans="25:34" x14ac:dyDescent="0.35">
      <c r="Y1815" s="74">
        <f t="shared" si="295"/>
        <v>45218</v>
      </c>
      <c r="Z1815" s="74" t="e">
        <f t="shared" ca="1" si="296"/>
        <v>#N/A</v>
      </c>
      <c r="AA1815" s="80" t="str">
        <f t="shared" ca="1" si="297"/>
        <v>CLX3</v>
      </c>
      <c r="AB1815" s="74" t="e">
        <f t="shared" si="299"/>
        <v>#N/A</v>
      </c>
      <c r="AC1815" s="80" t="str">
        <f t="shared" si="298"/>
        <v>LCOZ3</v>
      </c>
      <c r="AD1815" s="80" t="str">
        <f t="shared" si="300"/>
        <v>CLZ3</v>
      </c>
      <c r="AE1815" s="80" t="str">
        <f t="shared" si="301"/>
        <v>LCOF4</v>
      </c>
      <c r="AF1815" s="80" t="str">
        <f t="shared" si="302"/>
        <v>CLF4</v>
      </c>
      <c r="AG1815" s="80" t="str">
        <f t="shared" si="303"/>
        <v>LCOG4</v>
      </c>
      <c r="AH1815" s="80" t="str">
        <f t="shared" si="304"/>
        <v>LCOH4</v>
      </c>
    </row>
    <row r="1816" spans="25:34" x14ac:dyDescent="0.35">
      <c r="Y1816" s="74">
        <f t="shared" si="295"/>
        <v>45219</v>
      </c>
      <c r="Z1816" s="74" t="e">
        <f t="shared" ca="1" si="296"/>
        <v>#N/A</v>
      </c>
      <c r="AA1816" s="80" t="str">
        <f t="shared" ca="1" si="297"/>
        <v>CLX3</v>
      </c>
      <c r="AB1816" s="74" t="e">
        <f t="shared" si="299"/>
        <v>#N/A</v>
      </c>
      <c r="AC1816" s="80" t="str">
        <f t="shared" si="298"/>
        <v>LCOZ3</v>
      </c>
      <c r="AD1816" s="80" t="str">
        <f t="shared" si="300"/>
        <v>CLZ3</v>
      </c>
      <c r="AE1816" s="80" t="str">
        <f t="shared" si="301"/>
        <v>LCOF4</v>
      </c>
      <c r="AF1816" s="80" t="str">
        <f t="shared" si="302"/>
        <v>CLF4</v>
      </c>
      <c r="AG1816" s="80" t="str">
        <f t="shared" si="303"/>
        <v>LCOG4</v>
      </c>
      <c r="AH1816" s="80" t="str">
        <f t="shared" si="304"/>
        <v>LCOH4</v>
      </c>
    </row>
    <row r="1817" spans="25:34" x14ac:dyDescent="0.35">
      <c r="Y1817" s="74">
        <f t="shared" si="295"/>
        <v>45220</v>
      </c>
      <c r="Z1817" s="74" t="e">
        <f t="shared" ca="1" si="296"/>
        <v>#N/A</v>
      </c>
      <c r="AA1817" s="80" t="str">
        <f t="shared" ca="1" si="297"/>
        <v>CLZ3</v>
      </c>
      <c r="AB1817" s="74" t="e">
        <f t="shared" si="299"/>
        <v>#N/A</v>
      </c>
      <c r="AC1817" s="80" t="str">
        <f t="shared" si="298"/>
        <v>LCOZ3</v>
      </c>
      <c r="AD1817" s="80" t="str">
        <f t="shared" si="300"/>
        <v>CLZ3</v>
      </c>
      <c r="AE1817" s="80" t="str">
        <f t="shared" si="301"/>
        <v>LCOF4</v>
      </c>
      <c r="AF1817" s="80" t="str">
        <f t="shared" si="302"/>
        <v>CLF4</v>
      </c>
      <c r="AG1817" s="80" t="str">
        <f t="shared" si="303"/>
        <v>LCOG4</v>
      </c>
      <c r="AH1817" s="80" t="str">
        <f t="shared" si="304"/>
        <v>LCOH4</v>
      </c>
    </row>
    <row r="1818" spans="25:34" x14ac:dyDescent="0.35">
      <c r="Y1818" s="74">
        <f t="shared" si="295"/>
        <v>45221</v>
      </c>
      <c r="Z1818" s="74" t="e">
        <f t="shared" ca="1" si="296"/>
        <v>#N/A</v>
      </c>
      <c r="AA1818" s="80" t="str">
        <f t="shared" ca="1" si="297"/>
        <v>CLZ3</v>
      </c>
      <c r="AB1818" s="74" t="e">
        <f t="shared" si="299"/>
        <v>#N/A</v>
      </c>
      <c r="AC1818" s="80" t="str">
        <f t="shared" si="298"/>
        <v>LCOZ3</v>
      </c>
      <c r="AD1818" s="80" t="str">
        <f t="shared" si="300"/>
        <v>CLZ3</v>
      </c>
      <c r="AE1818" s="80" t="str">
        <f t="shared" si="301"/>
        <v>LCOF4</v>
      </c>
      <c r="AF1818" s="80" t="str">
        <f t="shared" si="302"/>
        <v>CLF4</v>
      </c>
      <c r="AG1818" s="80" t="str">
        <f t="shared" si="303"/>
        <v>LCOG4</v>
      </c>
      <c r="AH1818" s="80" t="str">
        <f t="shared" si="304"/>
        <v>LCOH4</v>
      </c>
    </row>
    <row r="1819" spans="25:34" x14ac:dyDescent="0.35">
      <c r="Y1819" s="74">
        <f t="shared" si="295"/>
        <v>45222</v>
      </c>
      <c r="Z1819" s="74" t="e">
        <f t="shared" ca="1" si="296"/>
        <v>#N/A</v>
      </c>
      <c r="AA1819" s="80" t="str">
        <f t="shared" ca="1" si="297"/>
        <v>CLZ3</v>
      </c>
      <c r="AB1819" s="74" t="e">
        <f t="shared" si="299"/>
        <v>#N/A</v>
      </c>
      <c r="AC1819" s="80" t="str">
        <f t="shared" si="298"/>
        <v>LCOZ3</v>
      </c>
      <c r="AD1819" s="80" t="str">
        <f t="shared" si="300"/>
        <v>CLZ3</v>
      </c>
      <c r="AE1819" s="80" t="str">
        <f t="shared" si="301"/>
        <v>LCOF4</v>
      </c>
      <c r="AF1819" s="80" t="str">
        <f t="shared" si="302"/>
        <v>CLF4</v>
      </c>
      <c r="AG1819" s="80" t="str">
        <f t="shared" si="303"/>
        <v>LCOG4</v>
      </c>
      <c r="AH1819" s="80" t="str">
        <f t="shared" si="304"/>
        <v>LCOH4</v>
      </c>
    </row>
    <row r="1820" spans="25:34" x14ac:dyDescent="0.35">
      <c r="Y1820" s="74">
        <f t="shared" si="295"/>
        <v>45223</v>
      </c>
      <c r="Z1820" s="74" t="e">
        <f t="shared" ca="1" si="296"/>
        <v>#N/A</v>
      </c>
      <c r="AA1820" s="80" t="str">
        <f t="shared" ca="1" si="297"/>
        <v>CLZ3</v>
      </c>
      <c r="AB1820" s="74" t="e">
        <f t="shared" si="299"/>
        <v>#N/A</v>
      </c>
      <c r="AC1820" s="80" t="str">
        <f t="shared" si="298"/>
        <v>LCOZ3</v>
      </c>
      <c r="AD1820" s="80" t="str">
        <f t="shared" si="300"/>
        <v>CLZ3</v>
      </c>
      <c r="AE1820" s="80" t="str">
        <f t="shared" si="301"/>
        <v>LCOF4</v>
      </c>
      <c r="AF1820" s="80" t="str">
        <f t="shared" si="302"/>
        <v>CLF4</v>
      </c>
      <c r="AG1820" s="80" t="str">
        <f t="shared" si="303"/>
        <v>LCOG4</v>
      </c>
      <c r="AH1820" s="80" t="str">
        <f t="shared" si="304"/>
        <v>LCOH4</v>
      </c>
    </row>
    <row r="1821" spans="25:34" x14ac:dyDescent="0.35">
      <c r="Y1821" s="74">
        <f t="shared" si="295"/>
        <v>45224</v>
      </c>
      <c r="Z1821" s="74" t="e">
        <f t="shared" ca="1" si="296"/>
        <v>#N/A</v>
      </c>
      <c r="AA1821" s="80" t="str">
        <f t="shared" ca="1" si="297"/>
        <v>CLZ3</v>
      </c>
      <c r="AB1821" s="74" t="e">
        <f t="shared" si="299"/>
        <v>#N/A</v>
      </c>
      <c r="AC1821" s="80" t="str">
        <f t="shared" si="298"/>
        <v>LCOZ3</v>
      </c>
      <c r="AD1821" s="80" t="str">
        <f t="shared" si="300"/>
        <v>CLZ3</v>
      </c>
      <c r="AE1821" s="80" t="str">
        <f t="shared" si="301"/>
        <v>LCOF4</v>
      </c>
      <c r="AF1821" s="80" t="str">
        <f t="shared" si="302"/>
        <v>CLF4</v>
      </c>
      <c r="AG1821" s="80" t="str">
        <f t="shared" si="303"/>
        <v>LCOG4</v>
      </c>
      <c r="AH1821" s="80" t="str">
        <f t="shared" si="304"/>
        <v>LCOH4</v>
      </c>
    </row>
    <row r="1822" spans="25:34" x14ac:dyDescent="0.35">
      <c r="Y1822" s="74">
        <f t="shared" si="295"/>
        <v>45225</v>
      </c>
      <c r="Z1822" s="74" t="e">
        <f t="shared" ca="1" si="296"/>
        <v>#N/A</v>
      </c>
      <c r="AA1822" s="80" t="str">
        <f t="shared" ca="1" si="297"/>
        <v>CLZ3</v>
      </c>
      <c r="AB1822" s="74" t="e">
        <f t="shared" si="299"/>
        <v>#N/A</v>
      </c>
      <c r="AC1822" s="80" t="str">
        <f t="shared" si="298"/>
        <v>LCOZ3</v>
      </c>
      <c r="AD1822" s="80" t="str">
        <f t="shared" si="300"/>
        <v>CLZ3</v>
      </c>
      <c r="AE1822" s="80" t="str">
        <f t="shared" si="301"/>
        <v>LCOF4</v>
      </c>
      <c r="AF1822" s="80" t="str">
        <f t="shared" si="302"/>
        <v>CLF4</v>
      </c>
      <c r="AG1822" s="80" t="str">
        <f t="shared" si="303"/>
        <v>LCOG4</v>
      </c>
      <c r="AH1822" s="80" t="str">
        <f t="shared" si="304"/>
        <v>LCOH4</v>
      </c>
    </row>
    <row r="1823" spans="25:34" x14ac:dyDescent="0.35">
      <c r="Y1823" s="74">
        <f t="shared" si="295"/>
        <v>45226</v>
      </c>
      <c r="Z1823" s="74" t="e">
        <f t="shared" ca="1" si="296"/>
        <v>#N/A</v>
      </c>
      <c r="AA1823" s="80" t="str">
        <f t="shared" ca="1" si="297"/>
        <v>CLZ3</v>
      </c>
      <c r="AB1823" s="74" t="e">
        <f t="shared" si="299"/>
        <v>#N/A</v>
      </c>
      <c r="AC1823" s="80" t="str">
        <f t="shared" si="298"/>
        <v>LCOZ3</v>
      </c>
      <c r="AD1823" s="80" t="str">
        <f t="shared" si="300"/>
        <v>CLZ3</v>
      </c>
      <c r="AE1823" s="80" t="str">
        <f t="shared" si="301"/>
        <v>LCOF4</v>
      </c>
      <c r="AF1823" s="80" t="str">
        <f t="shared" si="302"/>
        <v>CLF4</v>
      </c>
      <c r="AG1823" s="80" t="str">
        <f t="shared" si="303"/>
        <v>LCOG4</v>
      </c>
      <c r="AH1823" s="80" t="str">
        <f t="shared" si="304"/>
        <v>LCOH4</v>
      </c>
    </row>
    <row r="1824" spans="25:34" x14ac:dyDescent="0.35">
      <c r="Y1824" s="74">
        <f t="shared" si="295"/>
        <v>45227</v>
      </c>
      <c r="Z1824" s="74" t="e">
        <f t="shared" ca="1" si="296"/>
        <v>#N/A</v>
      </c>
      <c r="AA1824" s="80" t="str">
        <f t="shared" ca="1" si="297"/>
        <v>CLZ3</v>
      </c>
      <c r="AB1824" s="74" t="e">
        <f t="shared" si="299"/>
        <v>#N/A</v>
      </c>
      <c r="AC1824" s="80" t="str">
        <f t="shared" si="298"/>
        <v>LCOZ3</v>
      </c>
      <c r="AD1824" s="80" t="str">
        <f t="shared" si="300"/>
        <v>CLZ3</v>
      </c>
      <c r="AE1824" s="80" t="str">
        <f t="shared" si="301"/>
        <v>LCOF4</v>
      </c>
      <c r="AF1824" s="80" t="str">
        <f t="shared" si="302"/>
        <v>CLF4</v>
      </c>
      <c r="AG1824" s="80" t="str">
        <f t="shared" si="303"/>
        <v>LCOG4</v>
      </c>
      <c r="AH1824" s="80" t="str">
        <f t="shared" si="304"/>
        <v>LCOH4</v>
      </c>
    </row>
    <row r="1825" spans="25:34" x14ac:dyDescent="0.35">
      <c r="Y1825" s="74">
        <f t="shared" ref="Y1825:Y1888" si="305">Y1824+1</f>
        <v>45228</v>
      </c>
      <c r="Z1825" s="74" t="e">
        <f t="shared" ca="1" si="296"/>
        <v>#N/A</v>
      </c>
      <c r="AA1825" s="80" t="str">
        <f t="shared" ca="1" si="297"/>
        <v>CLZ3</v>
      </c>
      <c r="AB1825" s="74" t="e">
        <f t="shared" si="299"/>
        <v>#N/A</v>
      </c>
      <c r="AC1825" s="80" t="str">
        <f t="shared" si="298"/>
        <v>LCOZ3</v>
      </c>
      <c r="AD1825" s="80" t="str">
        <f t="shared" si="300"/>
        <v>CLZ3</v>
      </c>
      <c r="AE1825" s="80" t="str">
        <f t="shared" si="301"/>
        <v>LCOF4</v>
      </c>
      <c r="AF1825" s="80" t="str">
        <f t="shared" si="302"/>
        <v>CLF4</v>
      </c>
      <c r="AG1825" s="80" t="str">
        <f t="shared" si="303"/>
        <v>LCOG4</v>
      </c>
      <c r="AH1825" s="80" t="str">
        <f t="shared" si="304"/>
        <v>LCOH4</v>
      </c>
    </row>
    <row r="1826" spans="25:34" x14ac:dyDescent="0.35">
      <c r="Y1826" s="74">
        <f t="shared" si="305"/>
        <v>45229</v>
      </c>
      <c r="Z1826" s="74" t="e">
        <f t="shared" ca="1" si="296"/>
        <v>#N/A</v>
      </c>
      <c r="AA1826" s="80" t="str">
        <f t="shared" ca="1" si="297"/>
        <v>CLZ3</v>
      </c>
      <c r="AB1826" s="74" t="e">
        <f t="shared" si="299"/>
        <v>#N/A</v>
      </c>
      <c r="AC1826" s="80" t="str">
        <f t="shared" si="298"/>
        <v>LCOZ3</v>
      </c>
      <c r="AD1826" s="80" t="str">
        <f t="shared" si="300"/>
        <v>CLZ3</v>
      </c>
      <c r="AE1826" s="80" t="str">
        <f t="shared" si="301"/>
        <v>LCOF4</v>
      </c>
      <c r="AF1826" s="80" t="str">
        <f t="shared" si="302"/>
        <v>CLF4</v>
      </c>
      <c r="AG1826" s="80" t="str">
        <f t="shared" si="303"/>
        <v>LCOG4</v>
      </c>
      <c r="AH1826" s="80" t="str">
        <f t="shared" si="304"/>
        <v>LCOH4</v>
      </c>
    </row>
    <row r="1827" spans="25:34" x14ac:dyDescent="0.35">
      <c r="Y1827" s="74">
        <f t="shared" si="305"/>
        <v>45230</v>
      </c>
      <c r="Z1827" s="74" t="e">
        <f t="shared" ca="1" si="296"/>
        <v>#N/A</v>
      </c>
      <c r="AA1827" s="80" t="str">
        <f t="shared" ca="1" si="297"/>
        <v>CLZ3</v>
      </c>
      <c r="AB1827" s="74" t="e">
        <f t="shared" si="299"/>
        <v>#N/A</v>
      </c>
      <c r="AC1827" s="80" t="str">
        <f t="shared" si="298"/>
        <v>LCOZ3</v>
      </c>
      <c r="AD1827" s="80" t="str">
        <f t="shared" si="300"/>
        <v>CLZ3</v>
      </c>
      <c r="AE1827" s="80" t="str">
        <f t="shared" si="301"/>
        <v>LCOF4</v>
      </c>
      <c r="AF1827" s="80" t="str">
        <f t="shared" si="302"/>
        <v>CLF4</v>
      </c>
      <c r="AG1827" s="80" t="str">
        <f t="shared" si="303"/>
        <v>LCOG4</v>
      </c>
      <c r="AH1827" s="80" t="str">
        <f t="shared" si="304"/>
        <v>LCOH4</v>
      </c>
    </row>
    <row r="1828" spans="25:34" x14ac:dyDescent="0.35">
      <c r="Y1828" s="74">
        <f t="shared" si="305"/>
        <v>45231</v>
      </c>
      <c r="Z1828" s="74" t="e">
        <f t="shared" ca="1" si="296"/>
        <v>#N/A</v>
      </c>
      <c r="AA1828" s="80" t="str">
        <f t="shared" ca="1" si="297"/>
        <v>CLZ3</v>
      </c>
      <c r="AB1828" s="74" t="e">
        <f t="shared" si="299"/>
        <v>#N/A</v>
      </c>
      <c r="AC1828" s="80" t="str">
        <f t="shared" si="298"/>
        <v>LCOF4</v>
      </c>
      <c r="AD1828" s="80" t="str">
        <f t="shared" si="300"/>
        <v>CLF4</v>
      </c>
      <c r="AE1828" s="80" t="str">
        <f t="shared" si="301"/>
        <v>LCOG4</v>
      </c>
      <c r="AF1828" s="80" t="str">
        <f t="shared" si="302"/>
        <v>CLG4</v>
      </c>
      <c r="AG1828" s="80" t="str">
        <f t="shared" si="303"/>
        <v>LCOH4</v>
      </c>
      <c r="AH1828" s="80" t="str">
        <f t="shared" si="304"/>
        <v>LCOJ4</v>
      </c>
    </row>
    <row r="1829" spans="25:34" x14ac:dyDescent="0.35">
      <c r="Y1829" s="74">
        <f t="shared" si="305"/>
        <v>45232</v>
      </c>
      <c r="Z1829" s="74" t="e">
        <f t="shared" ca="1" si="296"/>
        <v>#N/A</v>
      </c>
      <c r="AA1829" s="80" t="str">
        <f t="shared" ca="1" si="297"/>
        <v>CLZ3</v>
      </c>
      <c r="AB1829" s="74" t="e">
        <f t="shared" si="299"/>
        <v>#N/A</v>
      </c>
      <c r="AC1829" s="80" t="str">
        <f t="shared" si="298"/>
        <v>LCOF4</v>
      </c>
      <c r="AD1829" s="80" t="str">
        <f t="shared" si="300"/>
        <v>CLF4</v>
      </c>
      <c r="AE1829" s="80" t="str">
        <f t="shared" si="301"/>
        <v>LCOG4</v>
      </c>
      <c r="AF1829" s="80" t="str">
        <f t="shared" si="302"/>
        <v>CLG4</v>
      </c>
      <c r="AG1829" s="80" t="str">
        <f t="shared" si="303"/>
        <v>LCOH4</v>
      </c>
      <c r="AH1829" s="80" t="str">
        <f t="shared" si="304"/>
        <v>LCOJ4</v>
      </c>
    </row>
    <row r="1830" spans="25:34" x14ac:dyDescent="0.35">
      <c r="Y1830" s="74">
        <f t="shared" si="305"/>
        <v>45233</v>
      </c>
      <c r="Z1830" s="74" t="e">
        <f t="shared" ca="1" si="296"/>
        <v>#N/A</v>
      </c>
      <c r="AA1830" s="80" t="str">
        <f t="shared" ca="1" si="297"/>
        <v>CLZ3</v>
      </c>
      <c r="AB1830" s="74" t="e">
        <f t="shared" si="299"/>
        <v>#N/A</v>
      </c>
      <c r="AC1830" s="80" t="str">
        <f t="shared" si="298"/>
        <v>LCOF4</v>
      </c>
      <c r="AD1830" s="80" t="str">
        <f t="shared" si="300"/>
        <v>CLF4</v>
      </c>
      <c r="AE1830" s="80" t="str">
        <f t="shared" si="301"/>
        <v>LCOG4</v>
      </c>
      <c r="AF1830" s="80" t="str">
        <f t="shared" si="302"/>
        <v>CLG4</v>
      </c>
      <c r="AG1830" s="80" t="str">
        <f t="shared" si="303"/>
        <v>LCOH4</v>
      </c>
      <c r="AH1830" s="80" t="str">
        <f t="shared" si="304"/>
        <v>LCOJ4</v>
      </c>
    </row>
    <row r="1831" spans="25:34" x14ac:dyDescent="0.35">
      <c r="Y1831" s="74">
        <f t="shared" si="305"/>
        <v>45234</v>
      </c>
      <c r="Z1831" s="74" t="e">
        <f t="shared" ca="1" si="296"/>
        <v>#N/A</v>
      </c>
      <c r="AA1831" s="80" t="str">
        <f t="shared" ca="1" si="297"/>
        <v>CLZ3</v>
      </c>
      <c r="AB1831" s="74" t="e">
        <f t="shared" si="299"/>
        <v>#N/A</v>
      </c>
      <c r="AC1831" s="80" t="str">
        <f t="shared" si="298"/>
        <v>LCOF4</v>
      </c>
      <c r="AD1831" s="80" t="str">
        <f t="shared" si="300"/>
        <v>CLF4</v>
      </c>
      <c r="AE1831" s="80" t="str">
        <f t="shared" si="301"/>
        <v>LCOG4</v>
      </c>
      <c r="AF1831" s="80" t="str">
        <f t="shared" si="302"/>
        <v>CLG4</v>
      </c>
      <c r="AG1831" s="80" t="str">
        <f t="shared" si="303"/>
        <v>LCOH4</v>
      </c>
      <c r="AH1831" s="80" t="str">
        <f t="shared" si="304"/>
        <v>LCOJ4</v>
      </c>
    </row>
    <row r="1832" spans="25:34" x14ac:dyDescent="0.35">
      <c r="Y1832" s="74">
        <f t="shared" si="305"/>
        <v>45235</v>
      </c>
      <c r="Z1832" s="74" t="e">
        <f t="shared" ca="1" si="296"/>
        <v>#N/A</v>
      </c>
      <c r="AA1832" s="80" t="str">
        <f t="shared" ca="1" si="297"/>
        <v>CLZ3</v>
      </c>
      <c r="AB1832" s="74" t="e">
        <f t="shared" si="299"/>
        <v>#N/A</v>
      </c>
      <c r="AC1832" s="80" t="str">
        <f t="shared" si="298"/>
        <v>LCOF4</v>
      </c>
      <c r="AD1832" s="80" t="str">
        <f t="shared" si="300"/>
        <v>CLF4</v>
      </c>
      <c r="AE1832" s="80" t="str">
        <f t="shared" si="301"/>
        <v>LCOG4</v>
      </c>
      <c r="AF1832" s="80" t="str">
        <f t="shared" si="302"/>
        <v>CLG4</v>
      </c>
      <c r="AG1832" s="80" t="str">
        <f t="shared" si="303"/>
        <v>LCOH4</v>
      </c>
      <c r="AH1832" s="80" t="str">
        <f t="shared" si="304"/>
        <v>LCOJ4</v>
      </c>
    </row>
    <row r="1833" spans="25:34" x14ac:dyDescent="0.35">
      <c r="Y1833" s="74">
        <f t="shared" si="305"/>
        <v>45236</v>
      </c>
      <c r="Z1833" s="74" t="e">
        <f t="shared" ca="1" si="296"/>
        <v>#N/A</v>
      </c>
      <c r="AA1833" s="80" t="str">
        <f t="shared" ca="1" si="297"/>
        <v>CLZ3</v>
      </c>
      <c r="AB1833" s="74" t="e">
        <f t="shared" si="299"/>
        <v>#N/A</v>
      </c>
      <c r="AC1833" s="80" t="str">
        <f t="shared" si="298"/>
        <v>LCOF4</v>
      </c>
      <c r="AD1833" s="80" t="str">
        <f t="shared" si="300"/>
        <v>CLF4</v>
      </c>
      <c r="AE1833" s="80" t="str">
        <f t="shared" si="301"/>
        <v>LCOG4</v>
      </c>
      <c r="AF1833" s="80" t="str">
        <f t="shared" si="302"/>
        <v>CLG4</v>
      </c>
      <c r="AG1833" s="80" t="str">
        <f t="shared" si="303"/>
        <v>LCOH4</v>
      </c>
      <c r="AH1833" s="80" t="str">
        <f t="shared" si="304"/>
        <v>LCOJ4</v>
      </c>
    </row>
    <row r="1834" spans="25:34" x14ac:dyDescent="0.35">
      <c r="Y1834" s="74">
        <f t="shared" si="305"/>
        <v>45237</v>
      </c>
      <c r="Z1834" s="74" t="e">
        <f t="shared" ca="1" si="296"/>
        <v>#N/A</v>
      </c>
      <c r="AA1834" s="80" t="str">
        <f t="shared" ca="1" si="297"/>
        <v>CLZ3</v>
      </c>
      <c r="AB1834" s="74" t="e">
        <f t="shared" si="299"/>
        <v>#N/A</v>
      </c>
      <c r="AC1834" s="80" t="str">
        <f t="shared" si="298"/>
        <v>LCOF4</v>
      </c>
      <c r="AD1834" s="80" t="str">
        <f t="shared" si="300"/>
        <v>CLF4</v>
      </c>
      <c r="AE1834" s="80" t="str">
        <f t="shared" si="301"/>
        <v>LCOG4</v>
      </c>
      <c r="AF1834" s="80" t="str">
        <f t="shared" si="302"/>
        <v>CLG4</v>
      </c>
      <c r="AG1834" s="80" t="str">
        <f t="shared" si="303"/>
        <v>LCOH4</v>
      </c>
      <c r="AH1834" s="80" t="str">
        <f t="shared" si="304"/>
        <v>LCOJ4</v>
      </c>
    </row>
    <row r="1835" spans="25:34" x14ac:dyDescent="0.35">
      <c r="Y1835" s="74">
        <f t="shared" si="305"/>
        <v>45238</v>
      </c>
      <c r="Z1835" s="74" t="e">
        <f t="shared" ca="1" si="296"/>
        <v>#N/A</v>
      </c>
      <c r="AA1835" s="80" t="str">
        <f t="shared" ca="1" si="297"/>
        <v>CLZ3</v>
      </c>
      <c r="AB1835" s="74" t="e">
        <f t="shared" si="299"/>
        <v>#N/A</v>
      </c>
      <c r="AC1835" s="80" t="str">
        <f t="shared" si="298"/>
        <v>LCOF4</v>
      </c>
      <c r="AD1835" s="80" t="str">
        <f t="shared" si="300"/>
        <v>CLF4</v>
      </c>
      <c r="AE1835" s="80" t="str">
        <f t="shared" si="301"/>
        <v>LCOG4</v>
      </c>
      <c r="AF1835" s="80" t="str">
        <f t="shared" si="302"/>
        <v>CLG4</v>
      </c>
      <c r="AG1835" s="80" t="str">
        <f t="shared" si="303"/>
        <v>LCOH4</v>
      </c>
      <c r="AH1835" s="80" t="str">
        <f t="shared" si="304"/>
        <v>LCOJ4</v>
      </c>
    </row>
    <row r="1836" spans="25:34" x14ac:dyDescent="0.35">
      <c r="Y1836" s="74">
        <f t="shared" si="305"/>
        <v>45239</v>
      </c>
      <c r="Z1836" s="74" t="e">
        <f t="shared" ca="1" si="296"/>
        <v>#N/A</v>
      </c>
      <c r="AA1836" s="80" t="str">
        <f t="shared" ca="1" si="297"/>
        <v>CLZ3</v>
      </c>
      <c r="AB1836" s="74" t="e">
        <f t="shared" si="299"/>
        <v>#N/A</v>
      </c>
      <c r="AC1836" s="80" t="str">
        <f t="shared" si="298"/>
        <v>LCOF4</v>
      </c>
      <c r="AD1836" s="80" t="str">
        <f t="shared" si="300"/>
        <v>CLF4</v>
      </c>
      <c r="AE1836" s="80" t="str">
        <f t="shared" si="301"/>
        <v>LCOG4</v>
      </c>
      <c r="AF1836" s="80" t="str">
        <f t="shared" si="302"/>
        <v>CLG4</v>
      </c>
      <c r="AG1836" s="80" t="str">
        <f t="shared" si="303"/>
        <v>LCOH4</v>
      </c>
      <c r="AH1836" s="80" t="str">
        <f t="shared" si="304"/>
        <v>LCOJ4</v>
      </c>
    </row>
    <row r="1837" spans="25:34" x14ac:dyDescent="0.35">
      <c r="Y1837" s="74">
        <f t="shared" si="305"/>
        <v>45240</v>
      </c>
      <c r="Z1837" s="74" t="e">
        <f t="shared" ca="1" si="296"/>
        <v>#N/A</v>
      </c>
      <c r="AA1837" s="80" t="str">
        <f t="shared" ca="1" si="297"/>
        <v>CLZ3</v>
      </c>
      <c r="AB1837" s="74" t="e">
        <f t="shared" si="299"/>
        <v>#N/A</v>
      </c>
      <c r="AC1837" s="80" t="str">
        <f t="shared" si="298"/>
        <v>LCOF4</v>
      </c>
      <c r="AD1837" s="80" t="str">
        <f t="shared" si="300"/>
        <v>CLF4</v>
      </c>
      <c r="AE1837" s="80" t="str">
        <f t="shared" si="301"/>
        <v>LCOG4</v>
      </c>
      <c r="AF1837" s="80" t="str">
        <f t="shared" si="302"/>
        <v>CLG4</v>
      </c>
      <c r="AG1837" s="80" t="str">
        <f t="shared" si="303"/>
        <v>LCOH4</v>
      </c>
      <c r="AH1837" s="80" t="str">
        <f t="shared" si="304"/>
        <v>LCOJ4</v>
      </c>
    </row>
    <row r="1838" spans="25:34" x14ac:dyDescent="0.35">
      <c r="Y1838" s="74">
        <f t="shared" si="305"/>
        <v>45241</v>
      </c>
      <c r="Z1838" s="74" t="e">
        <f t="shared" ca="1" si="296"/>
        <v>#N/A</v>
      </c>
      <c r="AA1838" s="80" t="str">
        <f t="shared" ca="1" si="297"/>
        <v>CLZ3</v>
      </c>
      <c r="AB1838" s="74" t="e">
        <f t="shared" si="299"/>
        <v>#N/A</v>
      </c>
      <c r="AC1838" s="80" t="str">
        <f t="shared" si="298"/>
        <v>LCOF4</v>
      </c>
      <c r="AD1838" s="80" t="str">
        <f t="shared" si="300"/>
        <v>CLF4</v>
      </c>
      <c r="AE1838" s="80" t="str">
        <f t="shared" si="301"/>
        <v>LCOG4</v>
      </c>
      <c r="AF1838" s="80" t="str">
        <f t="shared" si="302"/>
        <v>CLG4</v>
      </c>
      <c r="AG1838" s="80" t="str">
        <f t="shared" si="303"/>
        <v>LCOH4</v>
      </c>
      <c r="AH1838" s="80" t="str">
        <f t="shared" si="304"/>
        <v>LCOJ4</v>
      </c>
    </row>
    <row r="1839" spans="25:34" x14ac:dyDescent="0.35">
      <c r="Y1839" s="74">
        <f t="shared" si="305"/>
        <v>45242</v>
      </c>
      <c r="Z1839" s="74" t="e">
        <f t="shared" ca="1" si="296"/>
        <v>#N/A</v>
      </c>
      <c r="AA1839" s="80" t="str">
        <f t="shared" ca="1" si="297"/>
        <v>CLZ3</v>
      </c>
      <c r="AB1839" s="74" t="e">
        <f t="shared" si="299"/>
        <v>#N/A</v>
      </c>
      <c r="AC1839" s="80" t="str">
        <f t="shared" si="298"/>
        <v>LCOF4</v>
      </c>
      <c r="AD1839" s="80" t="str">
        <f t="shared" si="300"/>
        <v>CLF4</v>
      </c>
      <c r="AE1839" s="80" t="str">
        <f t="shared" si="301"/>
        <v>LCOG4</v>
      </c>
      <c r="AF1839" s="80" t="str">
        <f t="shared" si="302"/>
        <v>CLG4</v>
      </c>
      <c r="AG1839" s="80" t="str">
        <f t="shared" si="303"/>
        <v>LCOH4</v>
      </c>
      <c r="AH1839" s="80" t="str">
        <f t="shared" si="304"/>
        <v>LCOJ4</v>
      </c>
    </row>
    <row r="1840" spans="25:34" x14ac:dyDescent="0.35">
      <c r="Y1840" s="74">
        <f t="shared" si="305"/>
        <v>45243</v>
      </c>
      <c r="Z1840" s="74" t="e">
        <f t="shared" ca="1" si="296"/>
        <v>#N/A</v>
      </c>
      <c r="AA1840" s="80" t="str">
        <f t="shared" ca="1" si="297"/>
        <v>CLZ3</v>
      </c>
      <c r="AB1840" s="74" t="e">
        <f t="shared" si="299"/>
        <v>#N/A</v>
      </c>
      <c r="AC1840" s="80" t="str">
        <f t="shared" si="298"/>
        <v>LCOF4</v>
      </c>
      <c r="AD1840" s="80" t="str">
        <f t="shared" si="300"/>
        <v>CLF4</v>
      </c>
      <c r="AE1840" s="80" t="str">
        <f t="shared" si="301"/>
        <v>LCOG4</v>
      </c>
      <c r="AF1840" s="80" t="str">
        <f t="shared" si="302"/>
        <v>CLG4</v>
      </c>
      <c r="AG1840" s="80" t="str">
        <f t="shared" si="303"/>
        <v>LCOH4</v>
      </c>
      <c r="AH1840" s="80" t="str">
        <f t="shared" si="304"/>
        <v>LCOJ4</v>
      </c>
    </row>
    <row r="1841" spans="25:34" x14ac:dyDescent="0.35">
      <c r="Y1841" s="74">
        <f t="shared" si="305"/>
        <v>45244</v>
      </c>
      <c r="Z1841" s="74" t="e">
        <f t="shared" ca="1" si="296"/>
        <v>#N/A</v>
      </c>
      <c r="AA1841" s="80" t="str">
        <f t="shared" ca="1" si="297"/>
        <v>CLZ3</v>
      </c>
      <c r="AB1841" s="74" t="e">
        <f t="shared" si="299"/>
        <v>#N/A</v>
      </c>
      <c r="AC1841" s="80" t="str">
        <f t="shared" si="298"/>
        <v>LCOF4</v>
      </c>
      <c r="AD1841" s="80" t="str">
        <f t="shared" si="300"/>
        <v>CLF4</v>
      </c>
      <c r="AE1841" s="80" t="str">
        <f t="shared" si="301"/>
        <v>LCOG4</v>
      </c>
      <c r="AF1841" s="80" t="str">
        <f t="shared" si="302"/>
        <v>CLG4</v>
      </c>
      <c r="AG1841" s="80" t="str">
        <f t="shared" si="303"/>
        <v>LCOH4</v>
      </c>
      <c r="AH1841" s="80" t="str">
        <f t="shared" si="304"/>
        <v>LCOJ4</v>
      </c>
    </row>
    <row r="1842" spans="25:34" x14ac:dyDescent="0.35">
      <c r="Y1842" s="74">
        <f t="shared" si="305"/>
        <v>45245</v>
      </c>
      <c r="Z1842" s="74" t="e">
        <f t="shared" ca="1" si="296"/>
        <v>#N/A</v>
      </c>
      <c r="AA1842" s="80" t="str">
        <f t="shared" ca="1" si="297"/>
        <v>CLZ3</v>
      </c>
      <c r="AB1842" s="74" t="e">
        <f t="shared" si="299"/>
        <v>#N/A</v>
      </c>
      <c r="AC1842" s="80" t="str">
        <f t="shared" si="298"/>
        <v>LCOF4</v>
      </c>
      <c r="AD1842" s="80" t="str">
        <f t="shared" si="300"/>
        <v>CLF4</v>
      </c>
      <c r="AE1842" s="80" t="str">
        <f t="shared" si="301"/>
        <v>LCOG4</v>
      </c>
      <c r="AF1842" s="80" t="str">
        <f t="shared" si="302"/>
        <v>CLG4</v>
      </c>
      <c r="AG1842" s="80" t="str">
        <f t="shared" si="303"/>
        <v>LCOH4</v>
      </c>
      <c r="AH1842" s="80" t="str">
        <f t="shared" si="304"/>
        <v>LCOJ4</v>
      </c>
    </row>
    <row r="1843" spans="25:34" x14ac:dyDescent="0.35">
      <c r="Y1843" s="74">
        <f t="shared" si="305"/>
        <v>45246</v>
      </c>
      <c r="Z1843" s="74" t="e">
        <f t="shared" ca="1" si="296"/>
        <v>#N/A</v>
      </c>
      <c r="AA1843" s="80" t="str">
        <f t="shared" ca="1" si="297"/>
        <v>CLZ3</v>
      </c>
      <c r="AB1843" s="74" t="e">
        <f t="shared" si="299"/>
        <v>#N/A</v>
      </c>
      <c r="AC1843" s="80" t="str">
        <f t="shared" si="298"/>
        <v>LCOF4</v>
      </c>
      <c r="AD1843" s="80" t="str">
        <f t="shared" si="300"/>
        <v>CLF4</v>
      </c>
      <c r="AE1843" s="80" t="str">
        <f t="shared" si="301"/>
        <v>LCOG4</v>
      </c>
      <c r="AF1843" s="80" t="str">
        <f t="shared" si="302"/>
        <v>CLG4</v>
      </c>
      <c r="AG1843" s="80" t="str">
        <f t="shared" si="303"/>
        <v>LCOH4</v>
      </c>
      <c r="AH1843" s="80" t="str">
        <f t="shared" si="304"/>
        <v>LCOJ4</v>
      </c>
    </row>
    <row r="1844" spans="25:34" x14ac:dyDescent="0.35">
      <c r="Y1844" s="74">
        <f t="shared" si="305"/>
        <v>45247</v>
      </c>
      <c r="Z1844" s="74" t="e">
        <f t="shared" ca="1" si="296"/>
        <v>#N/A</v>
      </c>
      <c r="AA1844" s="80" t="str">
        <f t="shared" ca="1" si="297"/>
        <v>CLZ3</v>
      </c>
      <c r="AB1844" s="74" t="e">
        <f t="shared" si="299"/>
        <v>#N/A</v>
      </c>
      <c r="AC1844" s="80" t="str">
        <f t="shared" si="298"/>
        <v>LCOF4</v>
      </c>
      <c r="AD1844" s="80" t="str">
        <f t="shared" si="300"/>
        <v>CLF4</v>
      </c>
      <c r="AE1844" s="80" t="str">
        <f t="shared" si="301"/>
        <v>LCOG4</v>
      </c>
      <c r="AF1844" s="80" t="str">
        <f t="shared" si="302"/>
        <v>CLG4</v>
      </c>
      <c r="AG1844" s="80" t="str">
        <f t="shared" si="303"/>
        <v>LCOH4</v>
      </c>
      <c r="AH1844" s="80" t="str">
        <f t="shared" si="304"/>
        <v>LCOJ4</v>
      </c>
    </row>
    <row r="1845" spans="25:34" x14ac:dyDescent="0.35">
      <c r="Y1845" s="74">
        <f t="shared" si="305"/>
        <v>45248</v>
      </c>
      <c r="Z1845" s="74" t="e">
        <f t="shared" ca="1" si="296"/>
        <v>#N/A</v>
      </c>
      <c r="AA1845" s="80" t="str">
        <f t="shared" ca="1" si="297"/>
        <v>CLZ3</v>
      </c>
      <c r="AB1845" s="74" t="e">
        <f t="shared" si="299"/>
        <v>#N/A</v>
      </c>
      <c r="AC1845" s="80" t="str">
        <f t="shared" si="298"/>
        <v>LCOF4</v>
      </c>
      <c r="AD1845" s="80" t="str">
        <f t="shared" si="300"/>
        <v>CLF4</v>
      </c>
      <c r="AE1845" s="80" t="str">
        <f t="shared" si="301"/>
        <v>LCOG4</v>
      </c>
      <c r="AF1845" s="80" t="str">
        <f t="shared" si="302"/>
        <v>CLG4</v>
      </c>
      <c r="AG1845" s="80" t="str">
        <f t="shared" si="303"/>
        <v>LCOH4</v>
      </c>
      <c r="AH1845" s="80" t="str">
        <f t="shared" si="304"/>
        <v>LCOJ4</v>
      </c>
    </row>
    <row r="1846" spans="25:34" x14ac:dyDescent="0.35">
      <c r="Y1846" s="74">
        <f t="shared" si="305"/>
        <v>45249</v>
      </c>
      <c r="Z1846" s="74" t="e">
        <f t="shared" ca="1" si="296"/>
        <v>#N/A</v>
      </c>
      <c r="AA1846" s="80" t="str">
        <f t="shared" ca="1" si="297"/>
        <v>CLZ3</v>
      </c>
      <c r="AB1846" s="74" t="e">
        <f t="shared" si="299"/>
        <v>#N/A</v>
      </c>
      <c r="AC1846" s="80" t="str">
        <f t="shared" si="298"/>
        <v>LCOF4</v>
      </c>
      <c r="AD1846" s="80" t="str">
        <f t="shared" si="300"/>
        <v>CLF4</v>
      </c>
      <c r="AE1846" s="80" t="str">
        <f t="shared" si="301"/>
        <v>LCOG4</v>
      </c>
      <c r="AF1846" s="80" t="str">
        <f t="shared" si="302"/>
        <v>CLG4</v>
      </c>
      <c r="AG1846" s="80" t="str">
        <f t="shared" si="303"/>
        <v>LCOH4</v>
      </c>
      <c r="AH1846" s="80" t="str">
        <f t="shared" si="304"/>
        <v>LCOJ4</v>
      </c>
    </row>
    <row r="1847" spans="25:34" x14ac:dyDescent="0.35">
      <c r="Y1847" s="74">
        <f t="shared" si="305"/>
        <v>45250</v>
      </c>
      <c r="Z1847" s="74" t="e">
        <f t="shared" ca="1" si="296"/>
        <v>#N/A</v>
      </c>
      <c r="AA1847" s="80" t="str">
        <f t="shared" ca="1" si="297"/>
        <v>CLZ3</v>
      </c>
      <c r="AB1847" s="74" t="e">
        <f t="shared" si="299"/>
        <v>#N/A</v>
      </c>
      <c r="AC1847" s="80" t="str">
        <f t="shared" si="298"/>
        <v>LCOF4</v>
      </c>
      <c r="AD1847" s="80" t="str">
        <f t="shared" si="300"/>
        <v>CLF4</v>
      </c>
      <c r="AE1847" s="80" t="str">
        <f t="shared" si="301"/>
        <v>LCOG4</v>
      </c>
      <c r="AF1847" s="80" t="str">
        <f t="shared" si="302"/>
        <v>CLG4</v>
      </c>
      <c r="AG1847" s="80" t="str">
        <f t="shared" si="303"/>
        <v>LCOH4</v>
      </c>
      <c r="AH1847" s="80" t="str">
        <f t="shared" si="304"/>
        <v>LCOJ4</v>
      </c>
    </row>
    <row r="1848" spans="25:34" x14ac:dyDescent="0.35">
      <c r="Y1848" s="74">
        <f t="shared" si="305"/>
        <v>45251</v>
      </c>
      <c r="Z1848" s="74" t="e">
        <f t="shared" ca="1" si="296"/>
        <v>#N/A</v>
      </c>
      <c r="AA1848" s="80" t="e">
        <f t="shared" ca="1" si="297"/>
        <v>#N/A</v>
      </c>
      <c r="AB1848" s="74" t="e">
        <f t="shared" si="299"/>
        <v>#N/A</v>
      </c>
      <c r="AC1848" s="80" t="str">
        <f t="shared" si="298"/>
        <v>LCOF4</v>
      </c>
      <c r="AD1848" s="80" t="str">
        <f t="shared" si="300"/>
        <v>CLF4</v>
      </c>
      <c r="AE1848" s="80" t="str">
        <f t="shared" si="301"/>
        <v>LCOG4</v>
      </c>
      <c r="AF1848" s="80" t="str">
        <f t="shared" si="302"/>
        <v>CLG4</v>
      </c>
      <c r="AG1848" s="80" t="str">
        <f t="shared" si="303"/>
        <v>LCOH4</v>
      </c>
      <c r="AH1848" s="80" t="str">
        <f t="shared" si="304"/>
        <v>LCOJ4</v>
      </c>
    </row>
    <row r="1849" spans="25:34" x14ac:dyDescent="0.35">
      <c r="Y1849" s="74">
        <f t="shared" si="305"/>
        <v>45252</v>
      </c>
      <c r="Z1849" s="74" t="e">
        <f t="shared" ca="1" si="296"/>
        <v>#N/A</v>
      </c>
      <c r="AA1849" s="80" t="e">
        <f t="shared" ca="1" si="297"/>
        <v>#N/A</v>
      </c>
      <c r="AB1849" s="74" t="e">
        <f t="shared" si="299"/>
        <v>#N/A</v>
      </c>
      <c r="AC1849" s="80" t="str">
        <f t="shared" si="298"/>
        <v>LCOF4</v>
      </c>
      <c r="AD1849" s="80" t="str">
        <f t="shared" si="300"/>
        <v>CLF4</v>
      </c>
      <c r="AE1849" s="80" t="str">
        <f t="shared" si="301"/>
        <v>LCOG4</v>
      </c>
      <c r="AF1849" s="80" t="str">
        <f t="shared" si="302"/>
        <v>CLG4</v>
      </c>
      <c r="AG1849" s="80" t="str">
        <f t="shared" si="303"/>
        <v>LCOH4</v>
      </c>
      <c r="AH1849" s="80" t="str">
        <f t="shared" si="304"/>
        <v>LCOJ4</v>
      </c>
    </row>
    <row r="1850" spans="25:34" x14ac:dyDescent="0.35">
      <c r="Y1850" s="74">
        <f t="shared" si="305"/>
        <v>45253</v>
      </c>
      <c r="Z1850" s="74" t="e">
        <f t="shared" ca="1" si="296"/>
        <v>#N/A</v>
      </c>
      <c r="AA1850" s="80" t="e">
        <f t="shared" ca="1" si="297"/>
        <v>#N/A</v>
      </c>
      <c r="AB1850" s="74" t="e">
        <f t="shared" si="299"/>
        <v>#N/A</v>
      </c>
      <c r="AC1850" s="80" t="str">
        <f t="shared" si="298"/>
        <v>LCOF4</v>
      </c>
      <c r="AD1850" s="80" t="str">
        <f t="shared" si="300"/>
        <v>CLF4</v>
      </c>
      <c r="AE1850" s="80" t="str">
        <f t="shared" si="301"/>
        <v>LCOG4</v>
      </c>
      <c r="AF1850" s="80" t="str">
        <f t="shared" si="302"/>
        <v>CLG4</v>
      </c>
      <c r="AG1850" s="80" t="str">
        <f t="shared" si="303"/>
        <v>LCOH4</v>
      </c>
      <c r="AH1850" s="80" t="str">
        <f t="shared" si="304"/>
        <v>LCOJ4</v>
      </c>
    </row>
    <row r="1851" spans="25:34" x14ac:dyDescent="0.35">
      <c r="Y1851" s="74">
        <f t="shared" si="305"/>
        <v>45254</v>
      </c>
      <c r="Z1851" s="74" t="e">
        <f t="shared" ca="1" si="296"/>
        <v>#N/A</v>
      </c>
      <c r="AA1851" s="80" t="e">
        <f t="shared" ca="1" si="297"/>
        <v>#N/A</v>
      </c>
      <c r="AB1851" s="74" t="e">
        <f t="shared" si="299"/>
        <v>#N/A</v>
      </c>
      <c r="AC1851" s="80" t="str">
        <f t="shared" si="298"/>
        <v>LCOF4</v>
      </c>
      <c r="AD1851" s="80" t="str">
        <f t="shared" si="300"/>
        <v>CLF4</v>
      </c>
      <c r="AE1851" s="80" t="str">
        <f t="shared" si="301"/>
        <v>LCOG4</v>
      </c>
      <c r="AF1851" s="80" t="str">
        <f t="shared" si="302"/>
        <v>CLG4</v>
      </c>
      <c r="AG1851" s="80" t="str">
        <f t="shared" si="303"/>
        <v>LCOH4</v>
      </c>
      <c r="AH1851" s="80" t="str">
        <f t="shared" si="304"/>
        <v>LCOJ4</v>
      </c>
    </row>
    <row r="1852" spans="25:34" x14ac:dyDescent="0.35">
      <c r="Y1852" s="74">
        <f t="shared" si="305"/>
        <v>45255</v>
      </c>
      <c r="Z1852" s="74" t="e">
        <f t="shared" ca="1" si="296"/>
        <v>#N/A</v>
      </c>
      <c r="AA1852" s="80" t="e">
        <f t="shared" ca="1" si="297"/>
        <v>#N/A</v>
      </c>
      <c r="AB1852" s="74" t="e">
        <f t="shared" si="299"/>
        <v>#N/A</v>
      </c>
      <c r="AC1852" s="80" t="str">
        <f t="shared" si="298"/>
        <v>LCOF4</v>
      </c>
      <c r="AD1852" s="80" t="str">
        <f t="shared" si="300"/>
        <v>CLF4</v>
      </c>
      <c r="AE1852" s="80" t="str">
        <f t="shared" si="301"/>
        <v>LCOG4</v>
      </c>
      <c r="AF1852" s="80" t="str">
        <f t="shared" si="302"/>
        <v>CLG4</v>
      </c>
      <c r="AG1852" s="80" t="str">
        <f t="shared" si="303"/>
        <v>LCOH4</v>
      </c>
      <c r="AH1852" s="80" t="str">
        <f t="shared" si="304"/>
        <v>LCOJ4</v>
      </c>
    </row>
    <row r="1853" spans="25:34" x14ac:dyDescent="0.35">
      <c r="Y1853" s="74">
        <f t="shared" si="305"/>
        <v>45256</v>
      </c>
      <c r="Z1853" s="74" t="e">
        <f t="shared" ca="1" si="296"/>
        <v>#N/A</v>
      </c>
      <c r="AA1853" s="80" t="e">
        <f t="shared" ca="1" si="297"/>
        <v>#N/A</v>
      </c>
      <c r="AB1853" s="74" t="e">
        <f t="shared" si="299"/>
        <v>#N/A</v>
      </c>
      <c r="AC1853" s="80" t="str">
        <f t="shared" si="298"/>
        <v>LCOF4</v>
      </c>
      <c r="AD1853" s="80" t="str">
        <f t="shared" si="300"/>
        <v>CLF4</v>
      </c>
      <c r="AE1853" s="80" t="str">
        <f t="shared" si="301"/>
        <v>LCOG4</v>
      </c>
      <c r="AF1853" s="80" t="str">
        <f t="shared" si="302"/>
        <v>CLG4</v>
      </c>
      <c r="AG1853" s="80" t="str">
        <f t="shared" si="303"/>
        <v>LCOH4</v>
      </c>
      <c r="AH1853" s="80" t="str">
        <f t="shared" si="304"/>
        <v>LCOJ4</v>
      </c>
    </row>
    <row r="1854" spans="25:34" x14ac:dyDescent="0.35">
      <c r="Y1854" s="74">
        <f t="shared" si="305"/>
        <v>45257</v>
      </c>
      <c r="Z1854" s="74" t="e">
        <f t="shared" ca="1" si="296"/>
        <v>#N/A</v>
      </c>
      <c r="AA1854" s="80" t="e">
        <f t="shared" ca="1" si="297"/>
        <v>#N/A</v>
      </c>
      <c r="AB1854" s="74" t="e">
        <f t="shared" si="299"/>
        <v>#N/A</v>
      </c>
      <c r="AC1854" s="80" t="str">
        <f t="shared" si="298"/>
        <v>LCOF4</v>
      </c>
      <c r="AD1854" s="80" t="str">
        <f t="shared" si="300"/>
        <v>CLF4</v>
      </c>
      <c r="AE1854" s="80" t="str">
        <f t="shared" si="301"/>
        <v>LCOG4</v>
      </c>
      <c r="AF1854" s="80" t="str">
        <f t="shared" si="302"/>
        <v>CLG4</v>
      </c>
      <c r="AG1854" s="80" t="str">
        <f t="shared" si="303"/>
        <v>LCOH4</v>
      </c>
      <c r="AH1854" s="80" t="str">
        <f t="shared" si="304"/>
        <v>LCOJ4</v>
      </c>
    </row>
    <row r="1855" spans="25:34" x14ac:dyDescent="0.35">
      <c r="Y1855" s="74">
        <f t="shared" si="305"/>
        <v>45258</v>
      </c>
      <c r="Z1855" s="74" t="e">
        <f t="shared" ca="1" si="296"/>
        <v>#N/A</v>
      </c>
      <c r="AA1855" s="80" t="e">
        <f t="shared" ca="1" si="297"/>
        <v>#N/A</v>
      </c>
      <c r="AB1855" s="74" t="e">
        <f t="shared" si="299"/>
        <v>#N/A</v>
      </c>
      <c r="AC1855" s="80" t="str">
        <f t="shared" si="298"/>
        <v>LCOF4</v>
      </c>
      <c r="AD1855" s="80" t="str">
        <f t="shared" si="300"/>
        <v>CLF4</v>
      </c>
      <c r="AE1855" s="80" t="str">
        <f t="shared" si="301"/>
        <v>LCOG4</v>
      </c>
      <c r="AF1855" s="80" t="str">
        <f t="shared" si="302"/>
        <v>CLG4</v>
      </c>
      <c r="AG1855" s="80" t="str">
        <f t="shared" si="303"/>
        <v>LCOH4</v>
      </c>
      <c r="AH1855" s="80" t="str">
        <f t="shared" si="304"/>
        <v>LCOJ4</v>
      </c>
    </row>
    <row r="1856" spans="25:34" x14ac:dyDescent="0.35">
      <c r="Y1856" s="74">
        <f t="shared" si="305"/>
        <v>45259</v>
      </c>
      <c r="Z1856" s="74" t="e">
        <f t="shared" ca="1" si="296"/>
        <v>#N/A</v>
      </c>
      <c r="AA1856" s="80" t="e">
        <f t="shared" ca="1" si="297"/>
        <v>#N/A</v>
      </c>
      <c r="AB1856" s="74" t="e">
        <f t="shared" si="299"/>
        <v>#N/A</v>
      </c>
      <c r="AC1856" s="80" t="str">
        <f t="shared" si="298"/>
        <v>LCOF4</v>
      </c>
      <c r="AD1856" s="80" t="str">
        <f t="shared" si="300"/>
        <v>CLF4</v>
      </c>
      <c r="AE1856" s="80" t="str">
        <f t="shared" si="301"/>
        <v>LCOG4</v>
      </c>
      <c r="AF1856" s="80" t="str">
        <f t="shared" si="302"/>
        <v>CLG4</v>
      </c>
      <c r="AG1856" s="80" t="str">
        <f t="shared" si="303"/>
        <v>LCOH4</v>
      </c>
      <c r="AH1856" s="80" t="str">
        <f t="shared" si="304"/>
        <v>LCOJ4</v>
      </c>
    </row>
    <row r="1857" spans="25:34" x14ac:dyDescent="0.35">
      <c r="Y1857" s="74">
        <f t="shared" si="305"/>
        <v>45260</v>
      </c>
      <c r="Z1857" s="74" t="e">
        <f t="shared" ca="1" si="296"/>
        <v>#N/A</v>
      </c>
      <c r="AA1857" s="80" t="e">
        <f t="shared" ca="1" si="297"/>
        <v>#N/A</v>
      </c>
      <c r="AB1857" s="74" t="e">
        <f t="shared" si="299"/>
        <v>#N/A</v>
      </c>
      <c r="AC1857" s="80" t="str">
        <f t="shared" si="298"/>
        <v>LCOF4</v>
      </c>
      <c r="AD1857" s="80" t="str">
        <f t="shared" si="300"/>
        <v>CLF4</v>
      </c>
      <c r="AE1857" s="80" t="str">
        <f t="shared" si="301"/>
        <v>LCOG4</v>
      </c>
      <c r="AF1857" s="80" t="str">
        <f t="shared" si="302"/>
        <v>CLG4</v>
      </c>
      <c r="AG1857" s="80" t="str">
        <f t="shared" si="303"/>
        <v>LCOH4</v>
      </c>
      <c r="AH1857" s="80" t="str">
        <f t="shared" si="304"/>
        <v>LCOJ4</v>
      </c>
    </row>
    <row r="1858" spans="25:34" x14ac:dyDescent="0.35">
      <c r="Y1858" s="74">
        <f t="shared" si="305"/>
        <v>45261</v>
      </c>
      <c r="Z1858" s="74" t="e">
        <f t="shared" ref="Z1858:Z1921" ca="1" si="306">VLOOKUP(AA1858,$I$2:$K$39,3,FALSE)</f>
        <v>#N/A</v>
      </c>
      <c r="AA1858" s="80" t="e">
        <f t="shared" ref="AA1858:AA1921" ca="1" si="307">LOOKUP(2,1/($J$2:$J$700&lt;=$Y1858)/($K$2:$K$700&gt;=$Y1858),$L$2:$L$700)</f>
        <v>#N/A</v>
      </c>
      <c r="AB1858" s="74" t="e">
        <f t="shared" si="299"/>
        <v>#N/A</v>
      </c>
      <c r="AC1858" s="80" t="str">
        <f t="shared" ref="AC1858:AC1921" si="308">LOOKUP(2,1/($R$2:$R$700&lt;=$Y1858)/($S$2:$S$700&gt;=$Y1858),$T$2:$T$700)</f>
        <v>LCOG4</v>
      </c>
      <c r="AD1858" s="80" t="str">
        <f t="shared" si="300"/>
        <v>CLG4</v>
      </c>
      <c r="AE1858" s="80" t="str">
        <f t="shared" si="301"/>
        <v>LCOH4</v>
      </c>
      <c r="AF1858" s="80" t="str">
        <f t="shared" si="302"/>
        <v>CLH4</v>
      </c>
      <c r="AG1858" s="80" t="str">
        <f t="shared" si="303"/>
        <v>LCOJ4</v>
      </c>
      <c r="AH1858" s="80" t="str">
        <f t="shared" si="304"/>
        <v>LCOK4</v>
      </c>
    </row>
    <row r="1859" spans="25:34" x14ac:dyDescent="0.35">
      <c r="Y1859" s="74">
        <f t="shared" si="305"/>
        <v>45262</v>
      </c>
      <c r="Z1859" s="74" t="e">
        <f t="shared" ca="1" si="306"/>
        <v>#N/A</v>
      </c>
      <c r="AA1859" s="80" t="e">
        <f t="shared" ca="1" si="307"/>
        <v>#N/A</v>
      </c>
      <c r="AB1859" s="74" t="e">
        <f t="shared" ref="AB1859:AB1922" si="309">VLOOKUP(AC1859,$Q$2:$S$39,3,FALSE)</f>
        <v>#N/A</v>
      </c>
      <c r="AC1859" s="80" t="str">
        <f t="shared" si="308"/>
        <v>LCOG4</v>
      </c>
      <c r="AD1859" s="80" t="str">
        <f t="shared" ref="AD1859:AD1922" si="310">CONCATENATE("CL",RIGHT(AC1859,2))</f>
        <v>CLG4</v>
      </c>
      <c r="AE1859" s="80" t="str">
        <f t="shared" ref="AE1859:AE1922" si="311">LOOKUP(2,1/($R$2:$R$700&lt;=$Y1859)/($S$2:$S$700&gt;=$Y1859),$U$2:$U$700)</f>
        <v>LCOH4</v>
      </c>
      <c r="AF1859" s="80" t="str">
        <f t="shared" ref="AF1859:AF1922" si="312">CONCATENATE("CL",RIGHT(AE1859,2))</f>
        <v>CLH4</v>
      </c>
      <c r="AG1859" s="80" t="str">
        <f t="shared" ref="AG1859:AG1922" si="313">LOOKUP(2,1/($R$2:$R$700&lt;=$Y1859)/($S$2:$S$700&gt;=$Y1859),$V$2:$V$700)</f>
        <v>LCOJ4</v>
      </c>
      <c r="AH1859" s="80" t="str">
        <f t="shared" ref="AH1859:AH1922" si="314">LOOKUP(2,1/($R$2:$R$700&lt;=$Y1859)/($S$2:$S$700&gt;=$Y1859),$W$2:$W$700)</f>
        <v>LCOK4</v>
      </c>
    </row>
    <row r="1860" spans="25:34" x14ac:dyDescent="0.35">
      <c r="Y1860" s="74">
        <f t="shared" si="305"/>
        <v>45263</v>
      </c>
      <c r="Z1860" s="74" t="e">
        <f t="shared" ca="1" si="306"/>
        <v>#N/A</v>
      </c>
      <c r="AA1860" s="80" t="e">
        <f t="shared" ca="1" si="307"/>
        <v>#N/A</v>
      </c>
      <c r="AB1860" s="74" t="e">
        <f t="shared" si="309"/>
        <v>#N/A</v>
      </c>
      <c r="AC1860" s="80" t="str">
        <f t="shared" si="308"/>
        <v>LCOG4</v>
      </c>
      <c r="AD1860" s="80" t="str">
        <f t="shared" si="310"/>
        <v>CLG4</v>
      </c>
      <c r="AE1860" s="80" t="str">
        <f t="shared" si="311"/>
        <v>LCOH4</v>
      </c>
      <c r="AF1860" s="80" t="str">
        <f t="shared" si="312"/>
        <v>CLH4</v>
      </c>
      <c r="AG1860" s="80" t="str">
        <f t="shared" si="313"/>
        <v>LCOJ4</v>
      </c>
      <c r="AH1860" s="80" t="str">
        <f t="shared" si="314"/>
        <v>LCOK4</v>
      </c>
    </row>
    <row r="1861" spans="25:34" x14ac:dyDescent="0.35">
      <c r="Y1861" s="74">
        <f t="shared" si="305"/>
        <v>45264</v>
      </c>
      <c r="Z1861" s="74" t="e">
        <f t="shared" ca="1" si="306"/>
        <v>#N/A</v>
      </c>
      <c r="AA1861" s="80" t="e">
        <f t="shared" ca="1" si="307"/>
        <v>#N/A</v>
      </c>
      <c r="AB1861" s="74" t="e">
        <f t="shared" si="309"/>
        <v>#N/A</v>
      </c>
      <c r="AC1861" s="80" t="str">
        <f t="shared" si="308"/>
        <v>LCOG4</v>
      </c>
      <c r="AD1861" s="80" t="str">
        <f t="shared" si="310"/>
        <v>CLG4</v>
      </c>
      <c r="AE1861" s="80" t="str">
        <f t="shared" si="311"/>
        <v>LCOH4</v>
      </c>
      <c r="AF1861" s="80" t="str">
        <f t="shared" si="312"/>
        <v>CLH4</v>
      </c>
      <c r="AG1861" s="80" t="str">
        <f t="shared" si="313"/>
        <v>LCOJ4</v>
      </c>
      <c r="AH1861" s="80" t="str">
        <f t="shared" si="314"/>
        <v>LCOK4</v>
      </c>
    </row>
    <row r="1862" spans="25:34" x14ac:dyDescent="0.35">
      <c r="Y1862" s="74">
        <f t="shared" si="305"/>
        <v>45265</v>
      </c>
      <c r="Z1862" s="74" t="e">
        <f t="shared" ca="1" si="306"/>
        <v>#N/A</v>
      </c>
      <c r="AA1862" s="80" t="e">
        <f t="shared" ca="1" si="307"/>
        <v>#N/A</v>
      </c>
      <c r="AB1862" s="74" t="e">
        <f t="shared" si="309"/>
        <v>#N/A</v>
      </c>
      <c r="AC1862" s="80" t="str">
        <f t="shared" si="308"/>
        <v>LCOG4</v>
      </c>
      <c r="AD1862" s="80" t="str">
        <f t="shared" si="310"/>
        <v>CLG4</v>
      </c>
      <c r="AE1862" s="80" t="str">
        <f t="shared" si="311"/>
        <v>LCOH4</v>
      </c>
      <c r="AF1862" s="80" t="str">
        <f t="shared" si="312"/>
        <v>CLH4</v>
      </c>
      <c r="AG1862" s="80" t="str">
        <f t="shared" si="313"/>
        <v>LCOJ4</v>
      </c>
      <c r="AH1862" s="80" t="str">
        <f t="shared" si="314"/>
        <v>LCOK4</v>
      </c>
    </row>
    <row r="1863" spans="25:34" x14ac:dyDescent="0.35">
      <c r="Y1863" s="74">
        <f t="shared" si="305"/>
        <v>45266</v>
      </c>
      <c r="Z1863" s="74" t="e">
        <f t="shared" ca="1" si="306"/>
        <v>#N/A</v>
      </c>
      <c r="AA1863" s="80" t="e">
        <f t="shared" ca="1" si="307"/>
        <v>#N/A</v>
      </c>
      <c r="AB1863" s="74" t="e">
        <f t="shared" si="309"/>
        <v>#N/A</v>
      </c>
      <c r="AC1863" s="80" t="str">
        <f t="shared" si="308"/>
        <v>LCOG4</v>
      </c>
      <c r="AD1863" s="80" t="str">
        <f t="shared" si="310"/>
        <v>CLG4</v>
      </c>
      <c r="AE1863" s="80" t="str">
        <f t="shared" si="311"/>
        <v>LCOH4</v>
      </c>
      <c r="AF1863" s="80" t="str">
        <f t="shared" si="312"/>
        <v>CLH4</v>
      </c>
      <c r="AG1863" s="80" t="str">
        <f t="shared" si="313"/>
        <v>LCOJ4</v>
      </c>
      <c r="AH1863" s="80" t="str">
        <f t="shared" si="314"/>
        <v>LCOK4</v>
      </c>
    </row>
    <row r="1864" spans="25:34" x14ac:dyDescent="0.35">
      <c r="Y1864" s="74">
        <f t="shared" si="305"/>
        <v>45267</v>
      </c>
      <c r="Z1864" s="74" t="e">
        <f t="shared" ca="1" si="306"/>
        <v>#N/A</v>
      </c>
      <c r="AA1864" s="80" t="e">
        <f t="shared" ca="1" si="307"/>
        <v>#N/A</v>
      </c>
      <c r="AB1864" s="74" t="e">
        <f t="shared" si="309"/>
        <v>#N/A</v>
      </c>
      <c r="AC1864" s="80" t="str">
        <f t="shared" si="308"/>
        <v>LCOG4</v>
      </c>
      <c r="AD1864" s="80" t="str">
        <f t="shared" si="310"/>
        <v>CLG4</v>
      </c>
      <c r="AE1864" s="80" t="str">
        <f t="shared" si="311"/>
        <v>LCOH4</v>
      </c>
      <c r="AF1864" s="80" t="str">
        <f t="shared" si="312"/>
        <v>CLH4</v>
      </c>
      <c r="AG1864" s="80" t="str">
        <f t="shared" si="313"/>
        <v>LCOJ4</v>
      </c>
      <c r="AH1864" s="80" t="str">
        <f t="shared" si="314"/>
        <v>LCOK4</v>
      </c>
    </row>
    <row r="1865" spans="25:34" x14ac:dyDescent="0.35">
      <c r="Y1865" s="74">
        <f t="shared" si="305"/>
        <v>45268</v>
      </c>
      <c r="Z1865" s="74" t="e">
        <f t="shared" ca="1" si="306"/>
        <v>#N/A</v>
      </c>
      <c r="AA1865" s="80" t="e">
        <f t="shared" ca="1" si="307"/>
        <v>#N/A</v>
      </c>
      <c r="AB1865" s="74" t="e">
        <f t="shared" si="309"/>
        <v>#N/A</v>
      </c>
      <c r="AC1865" s="80" t="str">
        <f t="shared" si="308"/>
        <v>LCOG4</v>
      </c>
      <c r="AD1865" s="80" t="str">
        <f t="shared" si="310"/>
        <v>CLG4</v>
      </c>
      <c r="AE1865" s="80" t="str">
        <f t="shared" si="311"/>
        <v>LCOH4</v>
      </c>
      <c r="AF1865" s="80" t="str">
        <f t="shared" si="312"/>
        <v>CLH4</v>
      </c>
      <c r="AG1865" s="80" t="str">
        <f t="shared" si="313"/>
        <v>LCOJ4</v>
      </c>
      <c r="AH1865" s="80" t="str">
        <f t="shared" si="314"/>
        <v>LCOK4</v>
      </c>
    </row>
    <row r="1866" spans="25:34" x14ac:dyDescent="0.35">
      <c r="Y1866" s="74">
        <f t="shared" si="305"/>
        <v>45269</v>
      </c>
      <c r="Z1866" s="74" t="e">
        <f t="shared" ca="1" si="306"/>
        <v>#N/A</v>
      </c>
      <c r="AA1866" s="80" t="e">
        <f t="shared" ca="1" si="307"/>
        <v>#N/A</v>
      </c>
      <c r="AB1866" s="74" t="e">
        <f t="shared" si="309"/>
        <v>#N/A</v>
      </c>
      <c r="AC1866" s="80" t="str">
        <f t="shared" si="308"/>
        <v>LCOG4</v>
      </c>
      <c r="AD1866" s="80" t="str">
        <f t="shared" si="310"/>
        <v>CLG4</v>
      </c>
      <c r="AE1866" s="80" t="str">
        <f t="shared" si="311"/>
        <v>LCOH4</v>
      </c>
      <c r="AF1866" s="80" t="str">
        <f t="shared" si="312"/>
        <v>CLH4</v>
      </c>
      <c r="AG1866" s="80" t="str">
        <f t="shared" si="313"/>
        <v>LCOJ4</v>
      </c>
      <c r="AH1866" s="80" t="str">
        <f t="shared" si="314"/>
        <v>LCOK4</v>
      </c>
    </row>
    <row r="1867" spans="25:34" x14ac:dyDescent="0.35">
      <c r="Y1867" s="74">
        <f t="shared" si="305"/>
        <v>45270</v>
      </c>
      <c r="Z1867" s="74" t="e">
        <f t="shared" ca="1" si="306"/>
        <v>#N/A</v>
      </c>
      <c r="AA1867" s="80" t="e">
        <f t="shared" ca="1" si="307"/>
        <v>#N/A</v>
      </c>
      <c r="AB1867" s="74" t="e">
        <f t="shared" si="309"/>
        <v>#N/A</v>
      </c>
      <c r="AC1867" s="80" t="str">
        <f t="shared" si="308"/>
        <v>LCOG4</v>
      </c>
      <c r="AD1867" s="80" t="str">
        <f t="shared" si="310"/>
        <v>CLG4</v>
      </c>
      <c r="AE1867" s="80" t="str">
        <f t="shared" si="311"/>
        <v>LCOH4</v>
      </c>
      <c r="AF1867" s="80" t="str">
        <f t="shared" si="312"/>
        <v>CLH4</v>
      </c>
      <c r="AG1867" s="80" t="str">
        <f t="shared" si="313"/>
        <v>LCOJ4</v>
      </c>
      <c r="AH1867" s="80" t="str">
        <f t="shared" si="314"/>
        <v>LCOK4</v>
      </c>
    </row>
    <row r="1868" spans="25:34" x14ac:dyDescent="0.35">
      <c r="Y1868" s="74">
        <f t="shared" si="305"/>
        <v>45271</v>
      </c>
      <c r="Z1868" s="74" t="e">
        <f t="shared" ca="1" si="306"/>
        <v>#N/A</v>
      </c>
      <c r="AA1868" s="80" t="e">
        <f t="shared" ca="1" si="307"/>
        <v>#N/A</v>
      </c>
      <c r="AB1868" s="74" t="e">
        <f t="shared" si="309"/>
        <v>#N/A</v>
      </c>
      <c r="AC1868" s="80" t="str">
        <f t="shared" si="308"/>
        <v>LCOG4</v>
      </c>
      <c r="AD1868" s="80" t="str">
        <f t="shared" si="310"/>
        <v>CLG4</v>
      </c>
      <c r="AE1868" s="80" t="str">
        <f t="shared" si="311"/>
        <v>LCOH4</v>
      </c>
      <c r="AF1868" s="80" t="str">
        <f t="shared" si="312"/>
        <v>CLH4</v>
      </c>
      <c r="AG1868" s="80" t="str">
        <f t="shared" si="313"/>
        <v>LCOJ4</v>
      </c>
      <c r="AH1868" s="80" t="str">
        <f t="shared" si="314"/>
        <v>LCOK4</v>
      </c>
    </row>
    <row r="1869" spans="25:34" x14ac:dyDescent="0.35">
      <c r="Y1869" s="74">
        <f t="shared" si="305"/>
        <v>45272</v>
      </c>
      <c r="Z1869" s="74" t="e">
        <f t="shared" ca="1" si="306"/>
        <v>#N/A</v>
      </c>
      <c r="AA1869" s="80" t="e">
        <f t="shared" ca="1" si="307"/>
        <v>#N/A</v>
      </c>
      <c r="AB1869" s="74" t="e">
        <f t="shared" si="309"/>
        <v>#N/A</v>
      </c>
      <c r="AC1869" s="80" t="str">
        <f t="shared" si="308"/>
        <v>LCOG4</v>
      </c>
      <c r="AD1869" s="80" t="str">
        <f t="shared" si="310"/>
        <v>CLG4</v>
      </c>
      <c r="AE1869" s="80" t="str">
        <f t="shared" si="311"/>
        <v>LCOH4</v>
      </c>
      <c r="AF1869" s="80" t="str">
        <f t="shared" si="312"/>
        <v>CLH4</v>
      </c>
      <c r="AG1869" s="80" t="str">
        <f t="shared" si="313"/>
        <v>LCOJ4</v>
      </c>
      <c r="AH1869" s="80" t="str">
        <f t="shared" si="314"/>
        <v>LCOK4</v>
      </c>
    </row>
    <row r="1870" spans="25:34" x14ac:dyDescent="0.35">
      <c r="Y1870" s="74">
        <f t="shared" si="305"/>
        <v>45273</v>
      </c>
      <c r="Z1870" s="74" t="e">
        <f t="shared" ca="1" si="306"/>
        <v>#N/A</v>
      </c>
      <c r="AA1870" s="80" t="e">
        <f t="shared" ca="1" si="307"/>
        <v>#N/A</v>
      </c>
      <c r="AB1870" s="74" t="e">
        <f t="shared" si="309"/>
        <v>#N/A</v>
      </c>
      <c r="AC1870" s="80" t="str">
        <f t="shared" si="308"/>
        <v>LCOG4</v>
      </c>
      <c r="AD1870" s="80" t="str">
        <f t="shared" si="310"/>
        <v>CLG4</v>
      </c>
      <c r="AE1870" s="80" t="str">
        <f t="shared" si="311"/>
        <v>LCOH4</v>
      </c>
      <c r="AF1870" s="80" t="str">
        <f t="shared" si="312"/>
        <v>CLH4</v>
      </c>
      <c r="AG1870" s="80" t="str">
        <f t="shared" si="313"/>
        <v>LCOJ4</v>
      </c>
      <c r="AH1870" s="80" t="str">
        <f t="shared" si="314"/>
        <v>LCOK4</v>
      </c>
    </row>
    <row r="1871" spans="25:34" x14ac:dyDescent="0.35">
      <c r="Y1871" s="74">
        <f t="shared" si="305"/>
        <v>45274</v>
      </c>
      <c r="Z1871" s="74" t="e">
        <f t="shared" ca="1" si="306"/>
        <v>#N/A</v>
      </c>
      <c r="AA1871" s="80" t="e">
        <f t="shared" ca="1" si="307"/>
        <v>#N/A</v>
      </c>
      <c r="AB1871" s="74" t="e">
        <f t="shared" si="309"/>
        <v>#N/A</v>
      </c>
      <c r="AC1871" s="80" t="str">
        <f t="shared" si="308"/>
        <v>LCOG4</v>
      </c>
      <c r="AD1871" s="80" t="str">
        <f t="shared" si="310"/>
        <v>CLG4</v>
      </c>
      <c r="AE1871" s="80" t="str">
        <f t="shared" si="311"/>
        <v>LCOH4</v>
      </c>
      <c r="AF1871" s="80" t="str">
        <f t="shared" si="312"/>
        <v>CLH4</v>
      </c>
      <c r="AG1871" s="80" t="str">
        <f t="shared" si="313"/>
        <v>LCOJ4</v>
      </c>
      <c r="AH1871" s="80" t="str">
        <f t="shared" si="314"/>
        <v>LCOK4</v>
      </c>
    </row>
    <row r="1872" spans="25:34" x14ac:dyDescent="0.35">
      <c r="Y1872" s="74">
        <f t="shared" si="305"/>
        <v>45275</v>
      </c>
      <c r="Z1872" s="74" t="e">
        <f t="shared" ca="1" si="306"/>
        <v>#N/A</v>
      </c>
      <c r="AA1872" s="80" t="e">
        <f t="shared" ca="1" si="307"/>
        <v>#N/A</v>
      </c>
      <c r="AB1872" s="74" t="e">
        <f t="shared" si="309"/>
        <v>#N/A</v>
      </c>
      <c r="AC1872" s="80" t="str">
        <f t="shared" si="308"/>
        <v>LCOG4</v>
      </c>
      <c r="AD1872" s="80" t="str">
        <f t="shared" si="310"/>
        <v>CLG4</v>
      </c>
      <c r="AE1872" s="80" t="str">
        <f t="shared" si="311"/>
        <v>LCOH4</v>
      </c>
      <c r="AF1872" s="80" t="str">
        <f t="shared" si="312"/>
        <v>CLH4</v>
      </c>
      <c r="AG1872" s="80" t="str">
        <f t="shared" si="313"/>
        <v>LCOJ4</v>
      </c>
      <c r="AH1872" s="80" t="str">
        <f t="shared" si="314"/>
        <v>LCOK4</v>
      </c>
    </row>
    <row r="1873" spans="25:34" x14ac:dyDescent="0.35">
      <c r="Y1873" s="74">
        <f t="shared" si="305"/>
        <v>45276</v>
      </c>
      <c r="Z1873" s="74" t="e">
        <f t="shared" ca="1" si="306"/>
        <v>#N/A</v>
      </c>
      <c r="AA1873" s="80" t="e">
        <f t="shared" ca="1" si="307"/>
        <v>#N/A</v>
      </c>
      <c r="AB1873" s="74" t="e">
        <f t="shared" si="309"/>
        <v>#N/A</v>
      </c>
      <c r="AC1873" s="80" t="str">
        <f t="shared" si="308"/>
        <v>LCOG4</v>
      </c>
      <c r="AD1873" s="80" t="str">
        <f t="shared" si="310"/>
        <v>CLG4</v>
      </c>
      <c r="AE1873" s="80" t="str">
        <f t="shared" si="311"/>
        <v>LCOH4</v>
      </c>
      <c r="AF1873" s="80" t="str">
        <f t="shared" si="312"/>
        <v>CLH4</v>
      </c>
      <c r="AG1873" s="80" t="str">
        <f t="shared" si="313"/>
        <v>LCOJ4</v>
      </c>
      <c r="AH1873" s="80" t="str">
        <f t="shared" si="314"/>
        <v>LCOK4</v>
      </c>
    </row>
    <row r="1874" spans="25:34" x14ac:dyDescent="0.35">
      <c r="Y1874" s="74">
        <f t="shared" si="305"/>
        <v>45277</v>
      </c>
      <c r="Z1874" s="74" t="e">
        <f t="shared" ca="1" si="306"/>
        <v>#N/A</v>
      </c>
      <c r="AA1874" s="80" t="e">
        <f t="shared" ca="1" si="307"/>
        <v>#N/A</v>
      </c>
      <c r="AB1874" s="74" t="e">
        <f t="shared" si="309"/>
        <v>#N/A</v>
      </c>
      <c r="AC1874" s="80" t="str">
        <f t="shared" si="308"/>
        <v>LCOG4</v>
      </c>
      <c r="AD1874" s="80" t="str">
        <f t="shared" si="310"/>
        <v>CLG4</v>
      </c>
      <c r="AE1874" s="80" t="str">
        <f t="shared" si="311"/>
        <v>LCOH4</v>
      </c>
      <c r="AF1874" s="80" t="str">
        <f t="shared" si="312"/>
        <v>CLH4</v>
      </c>
      <c r="AG1874" s="80" t="str">
        <f t="shared" si="313"/>
        <v>LCOJ4</v>
      </c>
      <c r="AH1874" s="80" t="str">
        <f t="shared" si="314"/>
        <v>LCOK4</v>
      </c>
    </row>
    <row r="1875" spans="25:34" x14ac:dyDescent="0.35">
      <c r="Y1875" s="74">
        <f t="shared" si="305"/>
        <v>45278</v>
      </c>
      <c r="Z1875" s="74" t="e">
        <f t="shared" ca="1" si="306"/>
        <v>#N/A</v>
      </c>
      <c r="AA1875" s="80" t="e">
        <f t="shared" ca="1" si="307"/>
        <v>#N/A</v>
      </c>
      <c r="AB1875" s="74" t="e">
        <f t="shared" si="309"/>
        <v>#N/A</v>
      </c>
      <c r="AC1875" s="80" t="str">
        <f t="shared" si="308"/>
        <v>LCOG4</v>
      </c>
      <c r="AD1875" s="80" t="str">
        <f t="shared" si="310"/>
        <v>CLG4</v>
      </c>
      <c r="AE1875" s="80" t="str">
        <f t="shared" si="311"/>
        <v>LCOH4</v>
      </c>
      <c r="AF1875" s="80" t="str">
        <f t="shared" si="312"/>
        <v>CLH4</v>
      </c>
      <c r="AG1875" s="80" t="str">
        <f t="shared" si="313"/>
        <v>LCOJ4</v>
      </c>
      <c r="AH1875" s="80" t="str">
        <f t="shared" si="314"/>
        <v>LCOK4</v>
      </c>
    </row>
    <row r="1876" spans="25:34" x14ac:dyDescent="0.35">
      <c r="Y1876" s="74">
        <f t="shared" si="305"/>
        <v>45279</v>
      </c>
      <c r="Z1876" s="74" t="e">
        <f t="shared" ca="1" si="306"/>
        <v>#N/A</v>
      </c>
      <c r="AA1876" s="80" t="e">
        <f t="shared" ca="1" si="307"/>
        <v>#N/A</v>
      </c>
      <c r="AB1876" s="74" t="e">
        <f t="shared" si="309"/>
        <v>#N/A</v>
      </c>
      <c r="AC1876" s="80" t="str">
        <f t="shared" si="308"/>
        <v>LCOG4</v>
      </c>
      <c r="AD1876" s="80" t="str">
        <f t="shared" si="310"/>
        <v>CLG4</v>
      </c>
      <c r="AE1876" s="80" t="str">
        <f t="shared" si="311"/>
        <v>LCOH4</v>
      </c>
      <c r="AF1876" s="80" t="str">
        <f t="shared" si="312"/>
        <v>CLH4</v>
      </c>
      <c r="AG1876" s="80" t="str">
        <f t="shared" si="313"/>
        <v>LCOJ4</v>
      </c>
      <c r="AH1876" s="80" t="str">
        <f t="shared" si="314"/>
        <v>LCOK4</v>
      </c>
    </row>
    <row r="1877" spans="25:34" x14ac:dyDescent="0.35">
      <c r="Y1877" s="74">
        <f t="shared" si="305"/>
        <v>45280</v>
      </c>
      <c r="Z1877" s="74" t="e">
        <f t="shared" ca="1" si="306"/>
        <v>#N/A</v>
      </c>
      <c r="AA1877" s="80" t="e">
        <f t="shared" ca="1" si="307"/>
        <v>#N/A</v>
      </c>
      <c r="AB1877" s="74" t="e">
        <f t="shared" si="309"/>
        <v>#N/A</v>
      </c>
      <c r="AC1877" s="80" t="str">
        <f t="shared" si="308"/>
        <v>LCOG4</v>
      </c>
      <c r="AD1877" s="80" t="str">
        <f t="shared" si="310"/>
        <v>CLG4</v>
      </c>
      <c r="AE1877" s="80" t="str">
        <f t="shared" si="311"/>
        <v>LCOH4</v>
      </c>
      <c r="AF1877" s="80" t="str">
        <f t="shared" si="312"/>
        <v>CLH4</v>
      </c>
      <c r="AG1877" s="80" t="str">
        <f t="shared" si="313"/>
        <v>LCOJ4</v>
      </c>
      <c r="AH1877" s="80" t="str">
        <f t="shared" si="314"/>
        <v>LCOK4</v>
      </c>
    </row>
    <row r="1878" spans="25:34" x14ac:dyDescent="0.35">
      <c r="Y1878" s="74">
        <f t="shared" si="305"/>
        <v>45281</v>
      </c>
      <c r="Z1878" s="74" t="e">
        <f t="shared" ca="1" si="306"/>
        <v>#N/A</v>
      </c>
      <c r="AA1878" s="80" t="e">
        <f t="shared" ca="1" si="307"/>
        <v>#N/A</v>
      </c>
      <c r="AB1878" s="74" t="e">
        <f t="shared" si="309"/>
        <v>#N/A</v>
      </c>
      <c r="AC1878" s="80" t="str">
        <f t="shared" si="308"/>
        <v>LCOG4</v>
      </c>
      <c r="AD1878" s="80" t="str">
        <f t="shared" si="310"/>
        <v>CLG4</v>
      </c>
      <c r="AE1878" s="80" t="str">
        <f t="shared" si="311"/>
        <v>LCOH4</v>
      </c>
      <c r="AF1878" s="80" t="str">
        <f t="shared" si="312"/>
        <v>CLH4</v>
      </c>
      <c r="AG1878" s="80" t="str">
        <f t="shared" si="313"/>
        <v>LCOJ4</v>
      </c>
      <c r="AH1878" s="80" t="str">
        <f t="shared" si="314"/>
        <v>LCOK4</v>
      </c>
    </row>
    <row r="1879" spans="25:34" x14ac:dyDescent="0.35">
      <c r="Y1879" s="74">
        <f t="shared" si="305"/>
        <v>45282</v>
      </c>
      <c r="Z1879" s="74" t="e">
        <f t="shared" ca="1" si="306"/>
        <v>#N/A</v>
      </c>
      <c r="AA1879" s="80" t="e">
        <f t="shared" ca="1" si="307"/>
        <v>#N/A</v>
      </c>
      <c r="AB1879" s="74" t="e">
        <f t="shared" si="309"/>
        <v>#N/A</v>
      </c>
      <c r="AC1879" s="80" t="str">
        <f t="shared" si="308"/>
        <v>LCOG4</v>
      </c>
      <c r="AD1879" s="80" t="str">
        <f t="shared" si="310"/>
        <v>CLG4</v>
      </c>
      <c r="AE1879" s="80" t="str">
        <f t="shared" si="311"/>
        <v>LCOH4</v>
      </c>
      <c r="AF1879" s="80" t="str">
        <f t="shared" si="312"/>
        <v>CLH4</v>
      </c>
      <c r="AG1879" s="80" t="str">
        <f t="shared" si="313"/>
        <v>LCOJ4</v>
      </c>
      <c r="AH1879" s="80" t="str">
        <f t="shared" si="314"/>
        <v>LCOK4</v>
      </c>
    </row>
    <row r="1880" spans="25:34" x14ac:dyDescent="0.35">
      <c r="Y1880" s="74">
        <f t="shared" si="305"/>
        <v>45283</v>
      </c>
      <c r="Z1880" s="74" t="e">
        <f t="shared" ca="1" si="306"/>
        <v>#N/A</v>
      </c>
      <c r="AA1880" s="80" t="e">
        <f t="shared" ca="1" si="307"/>
        <v>#N/A</v>
      </c>
      <c r="AB1880" s="74" t="e">
        <f t="shared" si="309"/>
        <v>#N/A</v>
      </c>
      <c r="AC1880" s="80" t="str">
        <f t="shared" si="308"/>
        <v>LCOG4</v>
      </c>
      <c r="AD1880" s="80" t="str">
        <f t="shared" si="310"/>
        <v>CLG4</v>
      </c>
      <c r="AE1880" s="80" t="str">
        <f t="shared" si="311"/>
        <v>LCOH4</v>
      </c>
      <c r="AF1880" s="80" t="str">
        <f t="shared" si="312"/>
        <v>CLH4</v>
      </c>
      <c r="AG1880" s="80" t="str">
        <f t="shared" si="313"/>
        <v>LCOJ4</v>
      </c>
      <c r="AH1880" s="80" t="str">
        <f t="shared" si="314"/>
        <v>LCOK4</v>
      </c>
    </row>
    <row r="1881" spans="25:34" x14ac:dyDescent="0.35">
      <c r="Y1881" s="74">
        <f t="shared" si="305"/>
        <v>45284</v>
      </c>
      <c r="Z1881" s="74" t="e">
        <f t="shared" ca="1" si="306"/>
        <v>#N/A</v>
      </c>
      <c r="AA1881" s="80" t="e">
        <f t="shared" ca="1" si="307"/>
        <v>#N/A</v>
      </c>
      <c r="AB1881" s="74" t="e">
        <f t="shared" si="309"/>
        <v>#N/A</v>
      </c>
      <c r="AC1881" s="80" t="str">
        <f t="shared" si="308"/>
        <v>LCOG4</v>
      </c>
      <c r="AD1881" s="80" t="str">
        <f t="shared" si="310"/>
        <v>CLG4</v>
      </c>
      <c r="AE1881" s="80" t="str">
        <f t="shared" si="311"/>
        <v>LCOH4</v>
      </c>
      <c r="AF1881" s="80" t="str">
        <f t="shared" si="312"/>
        <v>CLH4</v>
      </c>
      <c r="AG1881" s="80" t="str">
        <f t="shared" si="313"/>
        <v>LCOJ4</v>
      </c>
      <c r="AH1881" s="80" t="str">
        <f t="shared" si="314"/>
        <v>LCOK4</v>
      </c>
    </row>
    <row r="1882" spans="25:34" x14ac:dyDescent="0.35">
      <c r="Y1882" s="74">
        <f t="shared" si="305"/>
        <v>45285</v>
      </c>
      <c r="Z1882" s="74" t="e">
        <f t="shared" ca="1" si="306"/>
        <v>#N/A</v>
      </c>
      <c r="AA1882" s="80" t="e">
        <f t="shared" ca="1" si="307"/>
        <v>#N/A</v>
      </c>
      <c r="AB1882" s="74" t="e">
        <f t="shared" si="309"/>
        <v>#N/A</v>
      </c>
      <c r="AC1882" s="80" t="str">
        <f t="shared" si="308"/>
        <v>LCOG4</v>
      </c>
      <c r="AD1882" s="80" t="str">
        <f t="shared" si="310"/>
        <v>CLG4</v>
      </c>
      <c r="AE1882" s="80" t="str">
        <f t="shared" si="311"/>
        <v>LCOH4</v>
      </c>
      <c r="AF1882" s="80" t="str">
        <f t="shared" si="312"/>
        <v>CLH4</v>
      </c>
      <c r="AG1882" s="80" t="str">
        <f t="shared" si="313"/>
        <v>LCOJ4</v>
      </c>
      <c r="AH1882" s="80" t="str">
        <f t="shared" si="314"/>
        <v>LCOK4</v>
      </c>
    </row>
    <row r="1883" spans="25:34" x14ac:dyDescent="0.35">
      <c r="Y1883" s="74">
        <f t="shared" si="305"/>
        <v>45286</v>
      </c>
      <c r="Z1883" s="74" t="e">
        <f t="shared" ca="1" si="306"/>
        <v>#N/A</v>
      </c>
      <c r="AA1883" s="80" t="e">
        <f t="shared" ca="1" si="307"/>
        <v>#N/A</v>
      </c>
      <c r="AB1883" s="74" t="e">
        <f t="shared" si="309"/>
        <v>#N/A</v>
      </c>
      <c r="AC1883" s="80" t="str">
        <f t="shared" si="308"/>
        <v>LCOG4</v>
      </c>
      <c r="AD1883" s="80" t="str">
        <f t="shared" si="310"/>
        <v>CLG4</v>
      </c>
      <c r="AE1883" s="80" t="str">
        <f t="shared" si="311"/>
        <v>LCOH4</v>
      </c>
      <c r="AF1883" s="80" t="str">
        <f t="shared" si="312"/>
        <v>CLH4</v>
      </c>
      <c r="AG1883" s="80" t="str">
        <f t="shared" si="313"/>
        <v>LCOJ4</v>
      </c>
      <c r="AH1883" s="80" t="str">
        <f t="shared" si="314"/>
        <v>LCOK4</v>
      </c>
    </row>
    <row r="1884" spans="25:34" x14ac:dyDescent="0.35">
      <c r="Y1884" s="74">
        <f t="shared" si="305"/>
        <v>45287</v>
      </c>
      <c r="Z1884" s="74" t="e">
        <f t="shared" ca="1" si="306"/>
        <v>#N/A</v>
      </c>
      <c r="AA1884" s="80" t="e">
        <f t="shared" ca="1" si="307"/>
        <v>#N/A</v>
      </c>
      <c r="AB1884" s="74" t="e">
        <f t="shared" si="309"/>
        <v>#N/A</v>
      </c>
      <c r="AC1884" s="80" t="str">
        <f t="shared" si="308"/>
        <v>LCOG4</v>
      </c>
      <c r="AD1884" s="80" t="str">
        <f t="shared" si="310"/>
        <v>CLG4</v>
      </c>
      <c r="AE1884" s="80" t="str">
        <f t="shared" si="311"/>
        <v>LCOH4</v>
      </c>
      <c r="AF1884" s="80" t="str">
        <f t="shared" si="312"/>
        <v>CLH4</v>
      </c>
      <c r="AG1884" s="80" t="str">
        <f t="shared" si="313"/>
        <v>LCOJ4</v>
      </c>
      <c r="AH1884" s="80" t="str">
        <f t="shared" si="314"/>
        <v>LCOK4</v>
      </c>
    </row>
    <row r="1885" spans="25:34" x14ac:dyDescent="0.35">
      <c r="Y1885" s="74">
        <f t="shared" si="305"/>
        <v>45288</v>
      </c>
      <c r="Z1885" s="74" t="e">
        <f t="shared" ca="1" si="306"/>
        <v>#N/A</v>
      </c>
      <c r="AA1885" s="80" t="e">
        <f t="shared" ca="1" si="307"/>
        <v>#N/A</v>
      </c>
      <c r="AB1885" s="74" t="e">
        <f t="shared" si="309"/>
        <v>#N/A</v>
      </c>
      <c r="AC1885" s="80" t="str">
        <f t="shared" si="308"/>
        <v>LCOG4</v>
      </c>
      <c r="AD1885" s="80" t="str">
        <f t="shared" si="310"/>
        <v>CLG4</v>
      </c>
      <c r="AE1885" s="80" t="str">
        <f t="shared" si="311"/>
        <v>LCOH4</v>
      </c>
      <c r="AF1885" s="80" t="str">
        <f t="shared" si="312"/>
        <v>CLH4</v>
      </c>
      <c r="AG1885" s="80" t="str">
        <f t="shared" si="313"/>
        <v>LCOJ4</v>
      </c>
      <c r="AH1885" s="80" t="str">
        <f t="shared" si="314"/>
        <v>LCOK4</v>
      </c>
    </row>
    <row r="1886" spans="25:34" x14ac:dyDescent="0.35">
      <c r="Y1886" s="74">
        <f t="shared" si="305"/>
        <v>45289</v>
      </c>
      <c r="Z1886" s="74" t="e">
        <f t="shared" ca="1" si="306"/>
        <v>#N/A</v>
      </c>
      <c r="AA1886" s="80" t="e">
        <f t="shared" ca="1" si="307"/>
        <v>#N/A</v>
      </c>
      <c r="AB1886" s="74" t="e">
        <f t="shared" si="309"/>
        <v>#N/A</v>
      </c>
      <c r="AC1886" s="80" t="str">
        <f t="shared" si="308"/>
        <v>LCOH4</v>
      </c>
      <c r="AD1886" s="80" t="str">
        <f t="shared" si="310"/>
        <v>CLH4</v>
      </c>
      <c r="AE1886" s="80" t="str">
        <f t="shared" si="311"/>
        <v>LCOJ4</v>
      </c>
      <c r="AF1886" s="80" t="str">
        <f t="shared" si="312"/>
        <v>CLJ4</v>
      </c>
      <c r="AG1886" s="80" t="str">
        <f t="shared" si="313"/>
        <v>LCOK4</v>
      </c>
      <c r="AH1886" s="80" t="str">
        <f t="shared" si="314"/>
        <v>LCOM4</v>
      </c>
    </row>
    <row r="1887" spans="25:34" x14ac:dyDescent="0.35">
      <c r="Y1887" s="74">
        <f t="shared" si="305"/>
        <v>45290</v>
      </c>
      <c r="Z1887" s="74" t="e">
        <f t="shared" ca="1" si="306"/>
        <v>#N/A</v>
      </c>
      <c r="AA1887" s="80" t="e">
        <f t="shared" ca="1" si="307"/>
        <v>#N/A</v>
      </c>
      <c r="AB1887" s="74" t="e">
        <f t="shared" si="309"/>
        <v>#N/A</v>
      </c>
      <c r="AC1887" s="80" t="str">
        <f t="shared" si="308"/>
        <v>LCOH4</v>
      </c>
      <c r="AD1887" s="80" t="str">
        <f t="shared" si="310"/>
        <v>CLH4</v>
      </c>
      <c r="AE1887" s="80" t="str">
        <f t="shared" si="311"/>
        <v>LCOJ4</v>
      </c>
      <c r="AF1887" s="80" t="str">
        <f t="shared" si="312"/>
        <v>CLJ4</v>
      </c>
      <c r="AG1887" s="80" t="str">
        <f t="shared" si="313"/>
        <v>LCOK4</v>
      </c>
      <c r="AH1887" s="80" t="str">
        <f t="shared" si="314"/>
        <v>LCOM4</v>
      </c>
    </row>
    <row r="1888" spans="25:34" x14ac:dyDescent="0.35">
      <c r="Y1888" s="74">
        <f t="shared" si="305"/>
        <v>45291</v>
      </c>
      <c r="Z1888" s="74" t="e">
        <f t="shared" ca="1" si="306"/>
        <v>#N/A</v>
      </c>
      <c r="AA1888" s="80" t="e">
        <f t="shared" ca="1" si="307"/>
        <v>#N/A</v>
      </c>
      <c r="AB1888" s="74" t="e">
        <f t="shared" si="309"/>
        <v>#N/A</v>
      </c>
      <c r="AC1888" s="80" t="str">
        <f t="shared" si="308"/>
        <v>LCOH4</v>
      </c>
      <c r="AD1888" s="80" t="str">
        <f t="shared" si="310"/>
        <v>CLH4</v>
      </c>
      <c r="AE1888" s="80" t="str">
        <f t="shared" si="311"/>
        <v>LCOJ4</v>
      </c>
      <c r="AF1888" s="80" t="str">
        <f t="shared" si="312"/>
        <v>CLJ4</v>
      </c>
      <c r="AG1888" s="80" t="str">
        <f t="shared" si="313"/>
        <v>LCOK4</v>
      </c>
      <c r="AH1888" s="80" t="str">
        <f t="shared" si="314"/>
        <v>LCOM4</v>
      </c>
    </row>
    <row r="1889" spans="25:34" x14ac:dyDescent="0.35">
      <c r="Y1889" s="74">
        <f t="shared" ref="Y1889:Y1952" si="315">Y1888+1</f>
        <v>45292</v>
      </c>
      <c r="Z1889" s="74" t="e">
        <f t="shared" ca="1" si="306"/>
        <v>#N/A</v>
      </c>
      <c r="AA1889" s="80" t="e">
        <f t="shared" ca="1" si="307"/>
        <v>#N/A</v>
      </c>
      <c r="AB1889" s="74" t="e">
        <f t="shared" si="309"/>
        <v>#N/A</v>
      </c>
      <c r="AC1889" s="80" t="str">
        <f t="shared" si="308"/>
        <v>LCOH4</v>
      </c>
      <c r="AD1889" s="80" t="str">
        <f t="shared" si="310"/>
        <v>CLH4</v>
      </c>
      <c r="AE1889" s="80" t="str">
        <f t="shared" si="311"/>
        <v>LCOJ4</v>
      </c>
      <c r="AF1889" s="80" t="str">
        <f t="shared" si="312"/>
        <v>CLJ4</v>
      </c>
      <c r="AG1889" s="80" t="str">
        <f t="shared" si="313"/>
        <v>LCOK4</v>
      </c>
      <c r="AH1889" s="80" t="str">
        <f t="shared" si="314"/>
        <v>LCOM4</v>
      </c>
    </row>
    <row r="1890" spans="25:34" x14ac:dyDescent="0.35">
      <c r="Y1890" s="74">
        <f t="shared" si="315"/>
        <v>45293</v>
      </c>
      <c r="Z1890" s="74" t="e">
        <f t="shared" ca="1" si="306"/>
        <v>#N/A</v>
      </c>
      <c r="AA1890" s="80" t="e">
        <f t="shared" ca="1" si="307"/>
        <v>#N/A</v>
      </c>
      <c r="AB1890" s="74" t="e">
        <f t="shared" si="309"/>
        <v>#N/A</v>
      </c>
      <c r="AC1890" s="80" t="str">
        <f t="shared" si="308"/>
        <v>LCOH4</v>
      </c>
      <c r="AD1890" s="80" t="str">
        <f t="shared" si="310"/>
        <v>CLH4</v>
      </c>
      <c r="AE1890" s="80" t="str">
        <f t="shared" si="311"/>
        <v>LCOJ4</v>
      </c>
      <c r="AF1890" s="80" t="str">
        <f t="shared" si="312"/>
        <v>CLJ4</v>
      </c>
      <c r="AG1890" s="80" t="str">
        <f t="shared" si="313"/>
        <v>LCOK4</v>
      </c>
      <c r="AH1890" s="80" t="str">
        <f t="shared" si="314"/>
        <v>LCOM4</v>
      </c>
    </row>
    <row r="1891" spans="25:34" x14ac:dyDescent="0.35">
      <c r="Y1891" s="74">
        <f t="shared" si="315"/>
        <v>45294</v>
      </c>
      <c r="Z1891" s="74" t="e">
        <f t="shared" ca="1" si="306"/>
        <v>#N/A</v>
      </c>
      <c r="AA1891" s="80" t="e">
        <f t="shared" ca="1" si="307"/>
        <v>#N/A</v>
      </c>
      <c r="AB1891" s="74" t="e">
        <f t="shared" si="309"/>
        <v>#N/A</v>
      </c>
      <c r="AC1891" s="80" t="str">
        <f t="shared" si="308"/>
        <v>LCOH4</v>
      </c>
      <c r="AD1891" s="80" t="str">
        <f t="shared" si="310"/>
        <v>CLH4</v>
      </c>
      <c r="AE1891" s="80" t="str">
        <f t="shared" si="311"/>
        <v>LCOJ4</v>
      </c>
      <c r="AF1891" s="80" t="str">
        <f t="shared" si="312"/>
        <v>CLJ4</v>
      </c>
      <c r="AG1891" s="80" t="str">
        <f t="shared" si="313"/>
        <v>LCOK4</v>
      </c>
      <c r="AH1891" s="80" t="str">
        <f t="shared" si="314"/>
        <v>LCOM4</v>
      </c>
    </row>
    <row r="1892" spans="25:34" x14ac:dyDescent="0.35">
      <c r="Y1892" s="74">
        <f t="shared" si="315"/>
        <v>45295</v>
      </c>
      <c r="Z1892" s="74" t="e">
        <f t="shared" ca="1" si="306"/>
        <v>#N/A</v>
      </c>
      <c r="AA1892" s="80" t="e">
        <f t="shared" ca="1" si="307"/>
        <v>#N/A</v>
      </c>
      <c r="AB1892" s="74" t="e">
        <f t="shared" si="309"/>
        <v>#N/A</v>
      </c>
      <c r="AC1892" s="80" t="str">
        <f t="shared" si="308"/>
        <v>LCOH4</v>
      </c>
      <c r="AD1892" s="80" t="str">
        <f t="shared" si="310"/>
        <v>CLH4</v>
      </c>
      <c r="AE1892" s="80" t="str">
        <f t="shared" si="311"/>
        <v>LCOJ4</v>
      </c>
      <c r="AF1892" s="80" t="str">
        <f t="shared" si="312"/>
        <v>CLJ4</v>
      </c>
      <c r="AG1892" s="80" t="str">
        <f t="shared" si="313"/>
        <v>LCOK4</v>
      </c>
      <c r="AH1892" s="80" t="str">
        <f t="shared" si="314"/>
        <v>LCOM4</v>
      </c>
    </row>
    <row r="1893" spans="25:34" x14ac:dyDescent="0.35">
      <c r="Y1893" s="74">
        <f t="shared" si="315"/>
        <v>45296</v>
      </c>
      <c r="Z1893" s="74" t="e">
        <f t="shared" ca="1" si="306"/>
        <v>#N/A</v>
      </c>
      <c r="AA1893" s="80" t="e">
        <f t="shared" ca="1" si="307"/>
        <v>#N/A</v>
      </c>
      <c r="AB1893" s="74" t="e">
        <f t="shared" si="309"/>
        <v>#N/A</v>
      </c>
      <c r="AC1893" s="80" t="str">
        <f t="shared" si="308"/>
        <v>LCOH4</v>
      </c>
      <c r="AD1893" s="80" t="str">
        <f t="shared" si="310"/>
        <v>CLH4</v>
      </c>
      <c r="AE1893" s="80" t="str">
        <f t="shared" si="311"/>
        <v>LCOJ4</v>
      </c>
      <c r="AF1893" s="80" t="str">
        <f t="shared" si="312"/>
        <v>CLJ4</v>
      </c>
      <c r="AG1893" s="80" t="str">
        <f t="shared" si="313"/>
        <v>LCOK4</v>
      </c>
      <c r="AH1893" s="80" t="str">
        <f t="shared" si="314"/>
        <v>LCOM4</v>
      </c>
    </row>
    <row r="1894" spans="25:34" x14ac:dyDescent="0.35">
      <c r="Y1894" s="74">
        <f t="shared" si="315"/>
        <v>45297</v>
      </c>
      <c r="Z1894" s="74" t="e">
        <f t="shared" ca="1" si="306"/>
        <v>#N/A</v>
      </c>
      <c r="AA1894" s="80" t="e">
        <f t="shared" ca="1" si="307"/>
        <v>#N/A</v>
      </c>
      <c r="AB1894" s="74" t="e">
        <f t="shared" si="309"/>
        <v>#N/A</v>
      </c>
      <c r="AC1894" s="80" t="str">
        <f t="shared" si="308"/>
        <v>LCOH4</v>
      </c>
      <c r="AD1894" s="80" t="str">
        <f t="shared" si="310"/>
        <v>CLH4</v>
      </c>
      <c r="AE1894" s="80" t="str">
        <f t="shared" si="311"/>
        <v>LCOJ4</v>
      </c>
      <c r="AF1894" s="80" t="str">
        <f t="shared" si="312"/>
        <v>CLJ4</v>
      </c>
      <c r="AG1894" s="80" t="str">
        <f t="shared" si="313"/>
        <v>LCOK4</v>
      </c>
      <c r="AH1894" s="80" t="str">
        <f t="shared" si="314"/>
        <v>LCOM4</v>
      </c>
    </row>
    <row r="1895" spans="25:34" x14ac:dyDescent="0.35">
      <c r="Y1895" s="74">
        <f t="shared" si="315"/>
        <v>45298</v>
      </c>
      <c r="Z1895" s="74" t="e">
        <f t="shared" ca="1" si="306"/>
        <v>#N/A</v>
      </c>
      <c r="AA1895" s="80" t="e">
        <f t="shared" ca="1" si="307"/>
        <v>#N/A</v>
      </c>
      <c r="AB1895" s="74" t="e">
        <f t="shared" si="309"/>
        <v>#N/A</v>
      </c>
      <c r="AC1895" s="80" t="str">
        <f t="shared" si="308"/>
        <v>LCOH4</v>
      </c>
      <c r="AD1895" s="80" t="str">
        <f t="shared" si="310"/>
        <v>CLH4</v>
      </c>
      <c r="AE1895" s="80" t="str">
        <f t="shared" si="311"/>
        <v>LCOJ4</v>
      </c>
      <c r="AF1895" s="80" t="str">
        <f t="shared" si="312"/>
        <v>CLJ4</v>
      </c>
      <c r="AG1895" s="80" t="str">
        <f t="shared" si="313"/>
        <v>LCOK4</v>
      </c>
      <c r="AH1895" s="80" t="str">
        <f t="shared" si="314"/>
        <v>LCOM4</v>
      </c>
    </row>
    <row r="1896" spans="25:34" x14ac:dyDescent="0.35">
      <c r="Y1896" s="74">
        <f t="shared" si="315"/>
        <v>45299</v>
      </c>
      <c r="Z1896" s="74" t="e">
        <f t="shared" ca="1" si="306"/>
        <v>#N/A</v>
      </c>
      <c r="AA1896" s="80" t="e">
        <f t="shared" ca="1" si="307"/>
        <v>#N/A</v>
      </c>
      <c r="AB1896" s="74" t="e">
        <f t="shared" si="309"/>
        <v>#N/A</v>
      </c>
      <c r="AC1896" s="80" t="str">
        <f t="shared" si="308"/>
        <v>LCOH4</v>
      </c>
      <c r="AD1896" s="80" t="str">
        <f t="shared" si="310"/>
        <v>CLH4</v>
      </c>
      <c r="AE1896" s="80" t="str">
        <f t="shared" si="311"/>
        <v>LCOJ4</v>
      </c>
      <c r="AF1896" s="80" t="str">
        <f t="shared" si="312"/>
        <v>CLJ4</v>
      </c>
      <c r="AG1896" s="80" t="str">
        <f t="shared" si="313"/>
        <v>LCOK4</v>
      </c>
      <c r="AH1896" s="80" t="str">
        <f t="shared" si="314"/>
        <v>LCOM4</v>
      </c>
    </row>
    <row r="1897" spans="25:34" x14ac:dyDescent="0.35">
      <c r="Y1897" s="74">
        <f t="shared" si="315"/>
        <v>45300</v>
      </c>
      <c r="Z1897" s="74" t="e">
        <f t="shared" ca="1" si="306"/>
        <v>#N/A</v>
      </c>
      <c r="AA1897" s="80" t="e">
        <f t="shared" ca="1" si="307"/>
        <v>#N/A</v>
      </c>
      <c r="AB1897" s="74" t="e">
        <f t="shared" si="309"/>
        <v>#N/A</v>
      </c>
      <c r="AC1897" s="80" t="str">
        <f t="shared" si="308"/>
        <v>LCOH4</v>
      </c>
      <c r="AD1897" s="80" t="str">
        <f t="shared" si="310"/>
        <v>CLH4</v>
      </c>
      <c r="AE1897" s="80" t="str">
        <f t="shared" si="311"/>
        <v>LCOJ4</v>
      </c>
      <c r="AF1897" s="80" t="str">
        <f t="shared" si="312"/>
        <v>CLJ4</v>
      </c>
      <c r="AG1897" s="80" t="str">
        <f t="shared" si="313"/>
        <v>LCOK4</v>
      </c>
      <c r="AH1897" s="80" t="str">
        <f t="shared" si="314"/>
        <v>LCOM4</v>
      </c>
    </row>
    <row r="1898" spans="25:34" x14ac:dyDescent="0.35">
      <c r="Y1898" s="74">
        <f t="shared" si="315"/>
        <v>45301</v>
      </c>
      <c r="Z1898" s="74" t="e">
        <f t="shared" ca="1" si="306"/>
        <v>#N/A</v>
      </c>
      <c r="AA1898" s="80" t="e">
        <f t="shared" ca="1" si="307"/>
        <v>#N/A</v>
      </c>
      <c r="AB1898" s="74" t="e">
        <f t="shared" si="309"/>
        <v>#N/A</v>
      </c>
      <c r="AC1898" s="80" t="str">
        <f t="shared" si="308"/>
        <v>LCOH4</v>
      </c>
      <c r="AD1898" s="80" t="str">
        <f t="shared" si="310"/>
        <v>CLH4</v>
      </c>
      <c r="AE1898" s="80" t="str">
        <f t="shared" si="311"/>
        <v>LCOJ4</v>
      </c>
      <c r="AF1898" s="80" t="str">
        <f t="shared" si="312"/>
        <v>CLJ4</v>
      </c>
      <c r="AG1898" s="80" t="str">
        <f t="shared" si="313"/>
        <v>LCOK4</v>
      </c>
      <c r="AH1898" s="80" t="str">
        <f t="shared" si="314"/>
        <v>LCOM4</v>
      </c>
    </row>
    <row r="1899" spans="25:34" x14ac:dyDescent="0.35">
      <c r="Y1899" s="74">
        <f t="shared" si="315"/>
        <v>45302</v>
      </c>
      <c r="Z1899" s="74" t="e">
        <f t="shared" ca="1" si="306"/>
        <v>#N/A</v>
      </c>
      <c r="AA1899" s="80" t="e">
        <f t="shared" ca="1" si="307"/>
        <v>#N/A</v>
      </c>
      <c r="AB1899" s="74" t="e">
        <f t="shared" si="309"/>
        <v>#N/A</v>
      </c>
      <c r="AC1899" s="80" t="str">
        <f t="shared" si="308"/>
        <v>LCOH4</v>
      </c>
      <c r="AD1899" s="80" t="str">
        <f t="shared" si="310"/>
        <v>CLH4</v>
      </c>
      <c r="AE1899" s="80" t="str">
        <f t="shared" si="311"/>
        <v>LCOJ4</v>
      </c>
      <c r="AF1899" s="80" t="str">
        <f t="shared" si="312"/>
        <v>CLJ4</v>
      </c>
      <c r="AG1899" s="80" t="str">
        <f t="shared" si="313"/>
        <v>LCOK4</v>
      </c>
      <c r="AH1899" s="80" t="str">
        <f t="shared" si="314"/>
        <v>LCOM4</v>
      </c>
    </row>
    <row r="1900" spans="25:34" x14ac:dyDescent="0.35">
      <c r="Y1900" s="74">
        <f t="shared" si="315"/>
        <v>45303</v>
      </c>
      <c r="Z1900" s="74" t="e">
        <f t="shared" ca="1" si="306"/>
        <v>#N/A</v>
      </c>
      <c r="AA1900" s="80" t="e">
        <f t="shared" ca="1" si="307"/>
        <v>#N/A</v>
      </c>
      <c r="AB1900" s="74" t="e">
        <f t="shared" si="309"/>
        <v>#N/A</v>
      </c>
      <c r="AC1900" s="80" t="str">
        <f t="shared" si="308"/>
        <v>LCOH4</v>
      </c>
      <c r="AD1900" s="80" t="str">
        <f t="shared" si="310"/>
        <v>CLH4</v>
      </c>
      <c r="AE1900" s="80" t="str">
        <f t="shared" si="311"/>
        <v>LCOJ4</v>
      </c>
      <c r="AF1900" s="80" t="str">
        <f t="shared" si="312"/>
        <v>CLJ4</v>
      </c>
      <c r="AG1900" s="80" t="str">
        <f t="shared" si="313"/>
        <v>LCOK4</v>
      </c>
      <c r="AH1900" s="80" t="str">
        <f t="shared" si="314"/>
        <v>LCOM4</v>
      </c>
    </row>
    <row r="1901" spans="25:34" x14ac:dyDescent="0.35">
      <c r="Y1901" s="74">
        <f t="shared" si="315"/>
        <v>45304</v>
      </c>
      <c r="Z1901" s="74" t="e">
        <f t="shared" ca="1" si="306"/>
        <v>#N/A</v>
      </c>
      <c r="AA1901" s="80" t="e">
        <f t="shared" ca="1" si="307"/>
        <v>#N/A</v>
      </c>
      <c r="AB1901" s="74" t="e">
        <f t="shared" si="309"/>
        <v>#N/A</v>
      </c>
      <c r="AC1901" s="80" t="str">
        <f t="shared" si="308"/>
        <v>LCOH4</v>
      </c>
      <c r="AD1901" s="80" t="str">
        <f t="shared" si="310"/>
        <v>CLH4</v>
      </c>
      <c r="AE1901" s="80" t="str">
        <f t="shared" si="311"/>
        <v>LCOJ4</v>
      </c>
      <c r="AF1901" s="80" t="str">
        <f t="shared" si="312"/>
        <v>CLJ4</v>
      </c>
      <c r="AG1901" s="80" t="str">
        <f t="shared" si="313"/>
        <v>LCOK4</v>
      </c>
      <c r="AH1901" s="80" t="str">
        <f t="shared" si="314"/>
        <v>LCOM4</v>
      </c>
    </row>
    <row r="1902" spans="25:34" x14ac:dyDescent="0.35">
      <c r="Y1902" s="74">
        <f t="shared" si="315"/>
        <v>45305</v>
      </c>
      <c r="Z1902" s="74" t="e">
        <f t="shared" ca="1" si="306"/>
        <v>#N/A</v>
      </c>
      <c r="AA1902" s="80" t="e">
        <f t="shared" ca="1" si="307"/>
        <v>#N/A</v>
      </c>
      <c r="AB1902" s="74" t="e">
        <f t="shared" si="309"/>
        <v>#N/A</v>
      </c>
      <c r="AC1902" s="80" t="str">
        <f t="shared" si="308"/>
        <v>LCOH4</v>
      </c>
      <c r="AD1902" s="80" t="str">
        <f t="shared" si="310"/>
        <v>CLH4</v>
      </c>
      <c r="AE1902" s="80" t="str">
        <f t="shared" si="311"/>
        <v>LCOJ4</v>
      </c>
      <c r="AF1902" s="80" t="str">
        <f t="shared" si="312"/>
        <v>CLJ4</v>
      </c>
      <c r="AG1902" s="80" t="str">
        <f t="shared" si="313"/>
        <v>LCOK4</v>
      </c>
      <c r="AH1902" s="80" t="str">
        <f t="shared" si="314"/>
        <v>LCOM4</v>
      </c>
    </row>
    <row r="1903" spans="25:34" x14ac:dyDescent="0.35">
      <c r="Y1903" s="74">
        <f t="shared" si="315"/>
        <v>45306</v>
      </c>
      <c r="Z1903" s="74" t="e">
        <f t="shared" ca="1" si="306"/>
        <v>#N/A</v>
      </c>
      <c r="AA1903" s="80" t="e">
        <f t="shared" ca="1" si="307"/>
        <v>#N/A</v>
      </c>
      <c r="AB1903" s="74" t="e">
        <f t="shared" si="309"/>
        <v>#N/A</v>
      </c>
      <c r="AC1903" s="80" t="str">
        <f t="shared" si="308"/>
        <v>LCOH4</v>
      </c>
      <c r="AD1903" s="80" t="str">
        <f t="shared" si="310"/>
        <v>CLH4</v>
      </c>
      <c r="AE1903" s="80" t="str">
        <f t="shared" si="311"/>
        <v>LCOJ4</v>
      </c>
      <c r="AF1903" s="80" t="str">
        <f t="shared" si="312"/>
        <v>CLJ4</v>
      </c>
      <c r="AG1903" s="80" t="str">
        <f t="shared" si="313"/>
        <v>LCOK4</v>
      </c>
      <c r="AH1903" s="80" t="str">
        <f t="shared" si="314"/>
        <v>LCOM4</v>
      </c>
    </row>
    <row r="1904" spans="25:34" x14ac:dyDescent="0.35">
      <c r="Y1904" s="74">
        <f t="shared" si="315"/>
        <v>45307</v>
      </c>
      <c r="Z1904" s="74" t="e">
        <f t="shared" ca="1" si="306"/>
        <v>#N/A</v>
      </c>
      <c r="AA1904" s="80" t="e">
        <f t="shared" ca="1" si="307"/>
        <v>#N/A</v>
      </c>
      <c r="AB1904" s="74" t="e">
        <f t="shared" si="309"/>
        <v>#N/A</v>
      </c>
      <c r="AC1904" s="80" t="str">
        <f t="shared" si="308"/>
        <v>LCOH4</v>
      </c>
      <c r="AD1904" s="80" t="str">
        <f t="shared" si="310"/>
        <v>CLH4</v>
      </c>
      <c r="AE1904" s="80" t="str">
        <f t="shared" si="311"/>
        <v>LCOJ4</v>
      </c>
      <c r="AF1904" s="80" t="str">
        <f t="shared" si="312"/>
        <v>CLJ4</v>
      </c>
      <c r="AG1904" s="80" t="str">
        <f t="shared" si="313"/>
        <v>LCOK4</v>
      </c>
      <c r="AH1904" s="80" t="str">
        <f t="shared" si="314"/>
        <v>LCOM4</v>
      </c>
    </row>
    <row r="1905" spans="25:34" x14ac:dyDescent="0.35">
      <c r="Y1905" s="74">
        <f t="shared" si="315"/>
        <v>45308</v>
      </c>
      <c r="Z1905" s="74" t="e">
        <f t="shared" ca="1" si="306"/>
        <v>#N/A</v>
      </c>
      <c r="AA1905" s="80" t="e">
        <f t="shared" ca="1" si="307"/>
        <v>#N/A</v>
      </c>
      <c r="AB1905" s="74" t="e">
        <f t="shared" si="309"/>
        <v>#N/A</v>
      </c>
      <c r="AC1905" s="80" t="str">
        <f t="shared" si="308"/>
        <v>LCOH4</v>
      </c>
      <c r="AD1905" s="80" t="str">
        <f t="shared" si="310"/>
        <v>CLH4</v>
      </c>
      <c r="AE1905" s="80" t="str">
        <f t="shared" si="311"/>
        <v>LCOJ4</v>
      </c>
      <c r="AF1905" s="80" t="str">
        <f t="shared" si="312"/>
        <v>CLJ4</v>
      </c>
      <c r="AG1905" s="80" t="str">
        <f t="shared" si="313"/>
        <v>LCOK4</v>
      </c>
      <c r="AH1905" s="80" t="str">
        <f t="shared" si="314"/>
        <v>LCOM4</v>
      </c>
    </row>
    <row r="1906" spans="25:34" x14ac:dyDescent="0.35">
      <c r="Y1906" s="74">
        <f t="shared" si="315"/>
        <v>45309</v>
      </c>
      <c r="Z1906" s="74" t="e">
        <f t="shared" ca="1" si="306"/>
        <v>#N/A</v>
      </c>
      <c r="AA1906" s="80" t="e">
        <f t="shared" ca="1" si="307"/>
        <v>#N/A</v>
      </c>
      <c r="AB1906" s="74" t="e">
        <f t="shared" si="309"/>
        <v>#N/A</v>
      </c>
      <c r="AC1906" s="80" t="str">
        <f t="shared" si="308"/>
        <v>LCOH4</v>
      </c>
      <c r="AD1906" s="80" t="str">
        <f t="shared" si="310"/>
        <v>CLH4</v>
      </c>
      <c r="AE1906" s="80" t="str">
        <f t="shared" si="311"/>
        <v>LCOJ4</v>
      </c>
      <c r="AF1906" s="80" t="str">
        <f t="shared" si="312"/>
        <v>CLJ4</v>
      </c>
      <c r="AG1906" s="80" t="str">
        <f t="shared" si="313"/>
        <v>LCOK4</v>
      </c>
      <c r="AH1906" s="80" t="str">
        <f t="shared" si="314"/>
        <v>LCOM4</v>
      </c>
    </row>
    <row r="1907" spans="25:34" x14ac:dyDescent="0.35">
      <c r="Y1907" s="74">
        <f t="shared" si="315"/>
        <v>45310</v>
      </c>
      <c r="Z1907" s="74" t="e">
        <f t="shared" ca="1" si="306"/>
        <v>#N/A</v>
      </c>
      <c r="AA1907" s="80" t="e">
        <f t="shared" ca="1" si="307"/>
        <v>#N/A</v>
      </c>
      <c r="AB1907" s="74" t="e">
        <f t="shared" si="309"/>
        <v>#N/A</v>
      </c>
      <c r="AC1907" s="80" t="str">
        <f t="shared" si="308"/>
        <v>LCOH4</v>
      </c>
      <c r="AD1907" s="80" t="str">
        <f t="shared" si="310"/>
        <v>CLH4</v>
      </c>
      <c r="AE1907" s="80" t="str">
        <f t="shared" si="311"/>
        <v>LCOJ4</v>
      </c>
      <c r="AF1907" s="80" t="str">
        <f t="shared" si="312"/>
        <v>CLJ4</v>
      </c>
      <c r="AG1907" s="80" t="str">
        <f t="shared" si="313"/>
        <v>LCOK4</v>
      </c>
      <c r="AH1907" s="80" t="str">
        <f t="shared" si="314"/>
        <v>LCOM4</v>
      </c>
    </row>
    <row r="1908" spans="25:34" x14ac:dyDescent="0.35">
      <c r="Y1908" s="74">
        <f t="shared" si="315"/>
        <v>45311</v>
      </c>
      <c r="Z1908" s="74" t="e">
        <f t="shared" ca="1" si="306"/>
        <v>#N/A</v>
      </c>
      <c r="AA1908" s="80" t="e">
        <f t="shared" ca="1" si="307"/>
        <v>#N/A</v>
      </c>
      <c r="AB1908" s="74" t="e">
        <f t="shared" si="309"/>
        <v>#N/A</v>
      </c>
      <c r="AC1908" s="80" t="str">
        <f t="shared" si="308"/>
        <v>LCOH4</v>
      </c>
      <c r="AD1908" s="80" t="str">
        <f t="shared" si="310"/>
        <v>CLH4</v>
      </c>
      <c r="AE1908" s="80" t="str">
        <f t="shared" si="311"/>
        <v>LCOJ4</v>
      </c>
      <c r="AF1908" s="80" t="str">
        <f t="shared" si="312"/>
        <v>CLJ4</v>
      </c>
      <c r="AG1908" s="80" t="str">
        <f t="shared" si="313"/>
        <v>LCOK4</v>
      </c>
      <c r="AH1908" s="80" t="str">
        <f t="shared" si="314"/>
        <v>LCOM4</v>
      </c>
    </row>
    <row r="1909" spans="25:34" x14ac:dyDescent="0.35">
      <c r="Y1909" s="74">
        <f t="shared" si="315"/>
        <v>45312</v>
      </c>
      <c r="Z1909" s="74" t="e">
        <f t="shared" ca="1" si="306"/>
        <v>#N/A</v>
      </c>
      <c r="AA1909" s="80" t="e">
        <f t="shared" ca="1" si="307"/>
        <v>#N/A</v>
      </c>
      <c r="AB1909" s="74" t="e">
        <f t="shared" si="309"/>
        <v>#N/A</v>
      </c>
      <c r="AC1909" s="80" t="str">
        <f t="shared" si="308"/>
        <v>LCOH4</v>
      </c>
      <c r="AD1909" s="80" t="str">
        <f t="shared" si="310"/>
        <v>CLH4</v>
      </c>
      <c r="AE1909" s="80" t="str">
        <f t="shared" si="311"/>
        <v>LCOJ4</v>
      </c>
      <c r="AF1909" s="80" t="str">
        <f t="shared" si="312"/>
        <v>CLJ4</v>
      </c>
      <c r="AG1909" s="80" t="str">
        <f t="shared" si="313"/>
        <v>LCOK4</v>
      </c>
      <c r="AH1909" s="80" t="str">
        <f t="shared" si="314"/>
        <v>LCOM4</v>
      </c>
    </row>
    <row r="1910" spans="25:34" x14ac:dyDescent="0.35">
      <c r="Y1910" s="74">
        <f t="shared" si="315"/>
        <v>45313</v>
      </c>
      <c r="Z1910" s="74" t="e">
        <f t="shared" ca="1" si="306"/>
        <v>#N/A</v>
      </c>
      <c r="AA1910" s="80" t="e">
        <f t="shared" ca="1" si="307"/>
        <v>#N/A</v>
      </c>
      <c r="AB1910" s="74" t="e">
        <f t="shared" si="309"/>
        <v>#N/A</v>
      </c>
      <c r="AC1910" s="80" t="str">
        <f t="shared" si="308"/>
        <v>LCOH4</v>
      </c>
      <c r="AD1910" s="80" t="str">
        <f t="shared" si="310"/>
        <v>CLH4</v>
      </c>
      <c r="AE1910" s="80" t="str">
        <f t="shared" si="311"/>
        <v>LCOJ4</v>
      </c>
      <c r="AF1910" s="80" t="str">
        <f t="shared" si="312"/>
        <v>CLJ4</v>
      </c>
      <c r="AG1910" s="80" t="str">
        <f t="shared" si="313"/>
        <v>LCOK4</v>
      </c>
      <c r="AH1910" s="80" t="str">
        <f t="shared" si="314"/>
        <v>LCOM4</v>
      </c>
    </row>
    <row r="1911" spans="25:34" x14ac:dyDescent="0.35">
      <c r="Y1911" s="74">
        <f t="shared" si="315"/>
        <v>45314</v>
      </c>
      <c r="Z1911" s="74" t="e">
        <f t="shared" ca="1" si="306"/>
        <v>#N/A</v>
      </c>
      <c r="AA1911" s="80" t="e">
        <f t="shared" ca="1" si="307"/>
        <v>#N/A</v>
      </c>
      <c r="AB1911" s="74" t="e">
        <f t="shared" si="309"/>
        <v>#N/A</v>
      </c>
      <c r="AC1911" s="80" t="str">
        <f t="shared" si="308"/>
        <v>LCOH4</v>
      </c>
      <c r="AD1911" s="80" t="str">
        <f t="shared" si="310"/>
        <v>CLH4</v>
      </c>
      <c r="AE1911" s="80" t="str">
        <f t="shared" si="311"/>
        <v>LCOJ4</v>
      </c>
      <c r="AF1911" s="80" t="str">
        <f t="shared" si="312"/>
        <v>CLJ4</v>
      </c>
      <c r="AG1911" s="80" t="str">
        <f t="shared" si="313"/>
        <v>LCOK4</v>
      </c>
      <c r="AH1911" s="80" t="str">
        <f t="shared" si="314"/>
        <v>LCOM4</v>
      </c>
    </row>
    <row r="1912" spans="25:34" x14ac:dyDescent="0.35">
      <c r="Y1912" s="74">
        <f t="shared" si="315"/>
        <v>45315</v>
      </c>
      <c r="Z1912" s="74" t="e">
        <f t="shared" ca="1" si="306"/>
        <v>#N/A</v>
      </c>
      <c r="AA1912" s="80" t="e">
        <f t="shared" ca="1" si="307"/>
        <v>#N/A</v>
      </c>
      <c r="AB1912" s="74" t="e">
        <f t="shared" si="309"/>
        <v>#N/A</v>
      </c>
      <c r="AC1912" s="80" t="str">
        <f t="shared" si="308"/>
        <v>LCOH4</v>
      </c>
      <c r="AD1912" s="80" t="str">
        <f t="shared" si="310"/>
        <v>CLH4</v>
      </c>
      <c r="AE1912" s="80" t="str">
        <f t="shared" si="311"/>
        <v>LCOJ4</v>
      </c>
      <c r="AF1912" s="80" t="str">
        <f t="shared" si="312"/>
        <v>CLJ4</v>
      </c>
      <c r="AG1912" s="80" t="str">
        <f t="shared" si="313"/>
        <v>LCOK4</v>
      </c>
      <c r="AH1912" s="80" t="str">
        <f t="shared" si="314"/>
        <v>LCOM4</v>
      </c>
    </row>
    <row r="1913" spans="25:34" x14ac:dyDescent="0.35">
      <c r="Y1913" s="74">
        <f t="shared" si="315"/>
        <v>45316</v>
      </c>
      <c r="Z1913" s="74" t="e">
        <f t="shared" ca="1" si="306"/>
        <v>#N/A</v>
      </c>
      <c r="AA1913" s="80" t="e">
        <f t="shared" ca="1" si="307"/>
        <v>#N/A</v>
      </c>
      <c r="AB1913" s="74" t="e">
        <f t="shared" si="309"/>
        <v>#N/A</v>
      </c>
      <c r="AC1913" s="80" t="str">
        <f t="shared" si="308"/>
        <v>LCOH4</v>
      </c>
      <c r="AD1913" s="80" t="str">
        <f t="shared" si="310"/>
        <v>CLH4</v>
      </c>
      <c r="AE1913" s="80" t="str">
        <f t="shared" si="311"/>
        <v>LCOJ4</v>
      </c>
      <c r="AF1913" s="80" t="str">
        <f t="shared" si="312"/>
        <v>CLJ4</v>
      </c>
      <c r="AG1913" s="80" t="str">
        <f t="shared" si="313"/>
        <v>LCOK4</v>
      </c>
      <c r="AH1913" s="80" t="str">
        <f t="shared" si="314"/>
        <v>LCOM4</v>
      </c>
    </row>
    <row r="1914" spans="25:34" x14ac:dyDescent="0.35">
      <c r="Y1914" s="74">
        <f t="shared" si="315"/>
        <v>45317</v>
      </c>
      <c r="Z1914" s="74" t="e">
        <f t="shared" ca="1" si="306"/>
        <v>#N/A</v>
      </c>
      <c r="AA1914" s="80" t="e">
        <f t="shared" ca="1" si="307"/>
        <v>#N/A</v>
      </c>
      <c r="AB1914" s="74" t="e">
        <f t="shared" si="309"/>
        <v>#N/A</v>
      </c>
      <c r="AC1914" s="80" t="str">
        <f t="shared" si="308"/>
        <v>LCOH4</v>
      </c>
      <c r="AD1914" s="80" t="str">
        <f t="shared" si="310"/>
        <v>CLH4</v>
      </c>
      <c r="AE1914" s="80" t="str">
        <f t="shared" si="311"/>
        <v>LCOJ4</v>
      </c>
      <c r="AF1914" s="80" t="str">
        <f t="shared" si="312"/>
        <v>CLJ4</v>
      </c>
      <c r="AG1914" s="80" t="str">
        <f t="shared" si="313"/>
        <v>LCOK4</v>
      </c>
      <c r="AH1914" s="80" t="str">
        <f t="shared" si="314"/>
        <v>LCOM4</v>
      </c>
    </row>
    <row r="1915" spans="25:34" x14ac:dyDescent="0.35">
      <c r="Y1915" s="74">
        <f t="shared" si="315"/>
        <v>45318</v>
      </c>
      <c r="Z1915" s="74" t="e">
        <f t="shared" ca="1" si="306"/>
        <v>#N/A</v>
      </c>
      <c r="AA1915" s="80" t="e">
        <f t="shared" ca="1" si="307"/>
        <v>#N/A</v>
      </c>
      <c r="AB1915" s="74" t="e">
        <f t="shared" si="309"/>
        <v>#N/A</v>
      </c>
      <c r="AC1915" s="80" t="str">
        <f t="shared" si="308"/>
        <v>LCOH4</v>
      </c>
      <c r="AD1915" s="80" t="str">
        <f t="shared" si="310"/>
        <v>CLH4</v>
      </c>
      <c r="AE1915" s="80" t="str">
        <f t="shared" si="311"/>
        <v>LCOJ4</v>
      </c>
      <c r="AF1915" s="80" t="str">
        <f t="shared" si="312"/>
        <v>CLJ4</v>
      </c>
      <c r="AG1915" s="80" t="str">
        <f t="shared" si="313"/>
        <v>LCOK4</v>
      </c>
      <c r="AH1915" s="80" t="str">
        <f t="shared" si="314"/>
        <v>LCOM4</v>
      </c>
    </row>
    <row r="1916" spans="25:34" x14ac:dyDescent="0.35">
      <c r="Y1916" s="74">
        <f t="shared" si="315"/>
        <v>45319</v>
      </c>
      <c r="Z1916" s="74" t="e">
        <f t="shared" ca="1" si="306"/>
        <v>#N/A</v>
      </c>
      <c r="AA1916" s="80" t="e">
        <f t="shared" ca="1" si="307"/>
        <v>#N/A</v>
      </c>
      <c r="AB1916" s="74" t="e">
        <f t="shared" si="309"/>
        <v>#N/A</v>
      </c>
      <c r="AC1916" s="80" t="str">
        <f t="shared" si="308"/>
        <v>LCOH4</v>
      </c>
      <c r="AD1916" s="80" t="str">
        <f t="shared" si="310"/>
        <v>CLH4</v>
      </c>
      <c r="AE1916" s="80" t="str">
        <f t="shared" si="311"/>
        <v>LCOJ4</v>
      </c>
      <c r="AF1916" s="80" t="str">
        <f t="shared" si="312"/>
        <v>CLJ4</v>
      </c>
      <c r="AG1916" s="80" t="str">
        <f t="shared" si="313"/>
        <v>LCOK4</v>
      </c>
      <c r="AH1916" s="80" t="str">
        <f t="shared" si="314"/>
        <v>LCOM4</v>
      </c>
    </row>
    <row r="1917" spans="25:34" x14ac:dyDescent="0.35">
      <c r="Y1917" s="74">
        <f t="shared" si="315"/>
        <v>45320</v>
      </c>
      <c r="Z1917" s="74" t="e">
        <f t="shared" ca="1" si="306"/>
        <v>#N/A</v>
      </c>
      <c r="AA1917" s="80" t="e">
        <f t="shared" ca="1" si="307"/>
        <v>#N/A</v>
      </c>
      <c r="AB1917" s="74" t="e">
        <f t="shared" si="309"/>
        <v>#N/A</v>
      </c>
      <c r="AC1917" s="80" t="str">
        <f t="shared" si="308"/>
        <v>LCOH4</v>
      </c>
      <c r="AD1917" s="80" t="str">
        <f t="shared" si="310"/>
        <v>CLH4</v>
      </c>
      <c r="AE1917" s="80" t="str">
        <f t="shared" si="311"/>
        <v>LCOJ4</v>
      </c>
      <c r="AF1917" s="80" t="str">
        <f t="shared" si="312"/>
        <v>CLJ4</v>
      </c>
      <c r="AG1917" s="80" t="str">
        <f t="shared" si="313"/>
        <v>LCOK4</v>
      </c>
      <c r="AH1917" s="80" t="str">
        <f t="shared" si="314"/>
        <v>LCOM4</v>
      </c>
    </row>
    <row r="1918" spans="25:34" x14ac:dyDescent="0.35">
      <c r="Y1918" s="74">
        <f t="shared" si="315"/>
        <v>45321</v>
      </c>
      <c r="Z1918" s="74" t="e">
        <f t="shared" ca="1" si="306"/>
        <v>#N/A</v>
      </c>
      <c r="AA1918" s="80" t="e">
        <f t="shared" ca="1" si="307"/>
        <v>#N/A</v>
      </c>
      <c r="AB1918" s="74" t="e">
        <f t="shared" si="309"/>
        <v>#N/A</v>
      </c>
      <c r="AC1918" s="80" t="str">
        <f t="shared" si="308"/>
        <v>LCOH4</v>
      </c>
      <c r="AD1918" s="80" t="str">
        <f t="shared" si="310"/>
        <v>CLH4</v>
      </c>
      <c r="AE1918" s="80" t="str">
        <f t="shared" si="311"/>
        <v>LCOJ4</v>
      </c>
      <c r="AF1918" s="80" t="str">
        <f t="shared" si="312"/>
        <v>CLJ4</v>
      </c>
      <c r="AG1918" s="80" t="str">
        <f t="shared" si="313"/>
        <v>LCOK4</v>
      </c>
      <c r="AH1918" s="80" t="str">
        <f t="shared" si="314"/>
        <v>LCOM4</v>
      </c>
    </row>
    <row r="1919" spans="25:34" x14ac:dyDescent="0.35">
      <c r="Y1919" s="74">
        <f t="shared" si="315"/>
        <v>45322</v>
      </c>
      <c r="Z1919" s="74" t="e">
        <f t="shared" ca="1" si="306"/>
        <v>#N/A</v>
      </c>
      <c r="AA1919" s="80" t="e">
        <f t="shared" ca="1" si="307"/>
        <v>#N/A</v>
      </c>
      <c r="AB1919" s="74" t="e">
        <f t="shared" si="309"/>
        <v>#N/A</v>
      </c>
      <c r="AC1919" s="80" t="str">
        <f t="shared" si="308"/>
        <v>LCOH4</v>
      </c>
      <c r="AD1919" s="80" t="str">
        <f t="shared" si="310"/>
        <v>CLH4</v>
      </c>
      <c r="AE1919" s="80" t="str">
        <f t="shared" si="311"/>
        <v>LCOJ4</v>
      </c>
      <c r="AF1919" s="80" t="str">
        <f t="shared" si="312"/>
        <v>CLJ4</v>
      </c>
      <c r="AG1919" s="80" t="str">
        <f t="shared" si="313"/>
        <v>LCOK4</v>
      </c>
      <c r="AH1919" s="80" t="str">
        <f t="shared" si="314"/>
        <v>LCOM4</v>
      </c>
    </row>
    <row r="1920" spans="25:34" x14ac:dyDescent="0.35">
      <c r="Y1920" s="74">
        <f t="shared" si="315"/>
        <v>45323</v>
      </c>
      <c r="Z1920" s="74" t="e">
        <f t="shared" ca="1" si="306"/>
        <v>#N/A</v>
      </c>
      <c r="AA1920" s="80" t="e">
        <f t="shared" ca="1" si="307"/>
        <v>#N/A</v>
      </c>
      <c r="AB1920" s="74" t="e">
        <f t="shared" si="309"/>
        <v>#N/A</v>
      </c>
      <c r="AC1920" s="80" t="str">
        <f t="shared" si="308"/>
        <v>LCOJ4</v>
      </c>
      <c r="AD1920" s="80" t="str">
        <f t="shared" si="310"/>
        <v>CLJ4</v>
      </c>
      <c r="AE1920" s="80" t="str">
        <f t="shared" si="311"/>
        <v>LCOK4</v>
      </c>
      <c r="AF1920" s="80" t="str">
        <f t="shared" si="312"/>
        <v>CLK4</v>
      </c>
      <c r="AG1920" s="80" t="str">
        <f t="shared" si="313"/>
        <v>LCOM4</v>
      </c>
      <c r="AH1920" s="80" t="str">
        <f t="shared" si="314"/>
        <v>LCON4</v>
      </c>
    </row>
    <row r="1921" spans="25:34" x14ac:dyDescent="0.35">
      <c r="Y1921" s="74">
        <f t="shared" si="315"/>
        <v>45324</v>
      </c>
      <c r="Z1921" s="74" t="e">
        <f t="shared" ca="1" si="306"/>
        <v>#N/A</v>
      </c>
      <c r="AA1921" s="80" t="e">
        <f t="shared" ca="1" si="307"/>
        <v>#N/A</v>
      </c>
      <c r="AB1921" s="74" t="e">
        <f t="shared" si="309"/>
        <v>#N/A</v>
      </c>
      <c r="AC1921" s="80" t="str">
        <f t="shared" si="308"/>
        <v>LCOJ4</v>
      </c>
      <c r="AD1921" s="80" t="str">
        <f t="shared" si="310"/>
        <v>CLJ4</v>
      </c>
      <c r="AE1921" s="80" t="str">
        <f t="shared" si="311"/>
        <v>LCOK4</v>
      </c>
      <c r="AF1921" s="80" t="str">
        <f t="shared" si="312"/>
        <v>CLK4</v>
      </c>
      <c r="AG1921" s="80" t="str">
        <f t="shared" si="313"/>
        <v>LCOM4</v>
      </c>
      <c r="AH1921" s="80" t="str">
        <f t="shared" si="314"/>
        <v>LCON4</v>
      </c>
    </row>
    <row r="1922" spans="25:34" x14ac:dyDescent="0.35">
      <c r="Y1922" s="74">
        <f t="shared" si="315"/>
        <v>45325</v>
      </c>
      <c r="Z1922" s="74" t="e">
        <f t="shared" ref="Z1922:Z1985" ca="1" si="316">VLOOKUP(AA1922,$I$2:$K$39,3,FALSE)</f>
        <v>#N/A</v>
      </c>
      <c r="AA1922" s="80" t="e">
        <f t="shared" ref="AA1922:AA1985" ca="1" si="317">LOOKUP(2,1/($J$2:$J$700&lt;=$Y1922)/($K$2:$K$700&gt;=$Y1922),$L$2:$L$700)</f>
        <v>#N/A</v>
      </c>
      <c r="AB1922" s="74" t="e">
        <f t="shared" si="309"/>
        <v>#N/A</v>
      </c>
      <c r="AC1922" s="80" t="str">
        <f t="shared" ref="AC1922:AC1985" si="318">LOOKUP(2,1/($R$2:$R$700&lt;=$Y1922)/($S$2:$S$700&gt;=$Y1922),$T$2:$T$700)</f>
        <v>LCOJ4</v>
      </c>
      <c r="AD1922" s="80" t="str">
        <f t="shared" si="310"/>
        <v>CLJ4</v>
      </c>
      <c r="AE1922" s="80" t="str">
        <f t="shared" si="311"/>
        <v>LCOK4</v>
      </c>
      <c r="AF1922" s="80" t="str">
        <f t="shared" si="312"/>
        <v>CLK4</v>
      </c>
      <c r="AG1922" s="80" t="str">
        <f t="shared" si="313"/>
        <v>LCOM4</v>
      </c>
      <c r="AH1922" s="80" t="str">
        <f t="shared" si="314"/>
        <v>LCON4</v>
      </c>
    </row>
    <row r="1923" spans="25:34" x14ac:dyDescent="0.35">
      <c r="Y1923" s="74">
        <f t="shared" si="315"/>
        <v>45326</v>
      </c>
      <c r="Z1923" s="74" t="e">
        <f t="shared" ca="1" si="316"/>
        <v>#N/A</v>
      </c>
      <c r="AA1923" s="80" t="e">
        <f t="shared" ca="1" si="317"/>
        <v>#N/A</v>
      </c>
      <c r="AB1923" s="74" t="e">
        <f t="shared" ref="AB1923:AB1986" si="319">VLOOKUP(AC1923,$Q$2:$S$39,3,FALSE)</f>
        <v>#N/A</v>
      </c>
      <c r="AC1923" s="80" t="str">
        <f t="shared" si="318"/>
        <v>LCOJ4</v>
      </c>
      <c r="AD1923" s="80" t="str">
        <f t="shared" ref="AD1923:AD1986" si="320">CONCATENATE("CL",RIGHT(AC1923,2))</f>
        <v>CLJ4</v>
      </c>
      <c r="AE1923" s="80" t="str">
        <f t="shared" ref="AE1923:AE1986" si="321">LOOKUP(2,1/($R$2:$R$700&lt;=$Y1923)/($S$2:$S$700&gt;=$Y1923),$U$2:$U$700)</f>
        <v>LCOK4</v>
      </c>
      <c r="AF1923" s="80" t="str">
        <f t="shared" ref="AF1923:AF1986" si="322">CONCATENATE("CL",RIGHT(AE1923,2))</f>
        <v>CLK4</v>
      </c>
      <c r="AG1923" s="80" t="str">
        <f t="shared" ref="AG1923:AG1986" si="323">LOOKUP(2,1/($R$2:$R$700&lt;=$Y1923)/($S$2:$S$700&gt;=$Y1923),$V$2:$V$700)</f>
        <v>LCOM4</v>
      </c>
      <c r="AH1923" s="80" t="str">
        <f t="shared" ref="AH1923:AH1986" si="324">LOOKUP(2,1/($R$2:$R$700&lt;=$Y1923)/($S$2:$S$700&gt;=$Y1923),$W$2:$W$700)</f>
        <v>LCON4</v>
      </c>
    </row>
    <row r="1924" spans="25:34" x14ac:dyDescent="0.35">
      <c r="Y1924" s="74">
        <f t="shared" si="315"/>
        <v>45327</v>
      </c>
      <c r="Z1924" s="74" t="e">
        <f t="shared" ca="1" si="316"/>
        <v>#N/A</v>
      </c>
      <c r="AA1924" s="80" t="e">
        <f t="shared" ca="1" si="317"/>
        <v>#N/A</v>
      </c>
      <c r="AB1924" s="74" t="e">
        <f t="shared" si="319"/>
        <v>#N/A</v>
      </c>
      <c r="AC1924" s="80" t="str">
        <f t="shared" si="318"/>
        <v>LCOJ4</v>
      </c>
      <c r="AD1924" s="80" t="str">
        <f t="shared" si="320"/>
        <v>CLJ4</v>
      </c>
      <c r="AE1924" s="80" t="str">
        <f t="shared" si="321"/>
        <v>LCOK4</v>
      </c>
      <c r="AF1924" s="80" t="str">
        <f t="shared" si="322"/>
        <v>CLK4</v>
      </c>
      <c r="AG1924" s="80" t="str">
        <f t="shared" si="323"/>
        <v>LCOM4</v>
      </c>
      <c r="AH1924" s="80" t="str">
        <f t="shared" si="324"/>
        <v>LCON4</v>
      </c>
    </row>
    <row r="1925" spans="25:34" x14ac:dyDescent="0.35">
      <c r="Y1925" s="74">
        <f t="shared" si="315"/>
        <v>45328</v>
      </c>
      <c r="Z1925" s="74" t="e">
        <f t="shared" ca="1" si="316"/>
        <v>#N/A</v>
      </c>
      <c r="AA1925" s="80" t="e">
        <f t="shared" ca="1" si="317"/>
        <v>#N/A</v>
      </c>
      <c r="AB1925" s="74" t="e">
        <f t="shared" si="319"/>
        <v>#N/A</v>
      </c>
      <c r="AC1925" s="80" t="str">
        <f t="shared" si="318"/>
        <v>LCOJ4</v>
      </c>
      <c r="AD1925" s="80" t="str">
        <f t="shared" si="320"/>
        <v>CLJ4</v>
      </c>
      <c r="AE1925" s="80" t="str">
        <f t="shared" si="321"/>
        <v>LCOK4</v>
      </c>
      <c r="AF1925" s="80" t="str">
        <f t="shared" si="322"/>
        <v>CLK4</v>
      </c>
      <c r="AG1925" s="80" t="str">
        <f t="shared" si="323"/>
        <v>LCOM4</v>
      </c>
      <c r="AH1925" s="80" t="str">
        <f t="shared" si="324"/>
        <v>LCON4</v>
      </c>
    </row>
    <row r="1926" spans="25:34" x14ac:dyDescent="0.35">
      <c r="Y1926" s="74">
        <f t="shared" si="315"/>
        <v>45329</v>
      </c>
      <c r="Z1926" s="74" t="e">
        <f t="shared" ca="1" si="316"/>
        <v>#N/A</v>
      </c>
      <c r="AA1926" s="80" t="e">
        <f t="shared" ca="1" si="317"/>
        <v>#N/A</v>
      </c>
      <c r="AB1926" s="74" t="e">
        <f t="shared" si="319"/>
        <v>#N/A</v>
      </c>
      <c r="AC1926" s="80" t="str">
        <f t="shared" si="318"/>
        <v>LCOJ4</v>
      </c>
      <c r="AD1926" s="80" t="str">
        <f t="shared" si="320"/>
        <v>CLJ4</v>
      </c>
      <c r="AE1926" s="80" t="str">
        <f t="shared" si="321"/>
        <v>LCOK4</v>
      </c>
      <c r="AF1926" s="80" t="str">
        <f t="shared" si="322"/>
        <v>CLK4</v>
      </c>
      <c r="AG1926" s="80" t="str">
        <f t="shared" si="323"/>
        <v>LCOM4</v>
      </c>
      <c r="AH1926" s="80" t="str">
        <f t="shared" si="324"/>
        <v>LCON4</v>
      </c>
    </row>
    <row r="1927" spans="25:34" x14ac:dyDescent="0.35">
      <c r="Y1927" s="74">
        <f t="shared" si="315"/>
        <v>45330</v>
      </c>
      <c r="Z1927" s="74" t="e">
        <f t="shared" ca="1" si="316"/>
        <v>#N/A</v>
      </c>
      <c r="AA1927" s="80" t="e">
        <f t="shared" ca="1" si="317"/>
        <v>#N/A</v>
      </c>
      <c r="AB1927" s="74" t="e">
        <f t="shared" si="319"/>
        <v>#N/A</v>
      </c>
      <c r="AC1927" s="80" t="str">
        <f t="shared" si="318"/>
        <v>LCOJ4</v>
      </c>
      <c r="AD1927" s="80" t="str">
        <f t="shared" si="320"/>
        <v>CLJ4</v>
      </c>
      <c r="AE1927" s="80" t="str">
        <f t="shared" si="321"/>
        <v>LCOK4</v>
      </c>
      <c r="AF1927" s="80" t="str">
        <f t="shared" si="322"/>
        <v>CLK4</v>
      </c>
      <c r="AG1927" s="80" t="str">
        <f t="shared" si="323"/>
        <v>LCOM4</v>
      </c>
      <c r="AH1927" s="80" t="str">
        <f t="shared" si="324"/>
        <v>LCON4</v>
      </c>
    </row>
    <row r="1928" spans="25:34" x14ac:dyDescent="0.35">
      <c r="Y1928" s="74">
        <f t="shared" si="315"/>
        <v>45331</v>
      </c>
      <c r="Z1928" s="74" t="e">
        <f t="shared" ca="1" si="316"/>
        <v>#N/A</v>
      </c>
      <c r="AA1928" s="80" t="e">
        <f t="shared" ca="1" si="317"/>
        <v>#N/A</v>
      </c>
      <c r="AB1928" s="74" t="e">
        <f t="shared" si="319"/>
        <v>#N/A</v>
      </c>
      <c r="AC1928" s="80" t="str">
        <f t="shared" si="318"/>
        <v>LCOJ4</v>
      </c>
      <c r="AD1928" s="80" t="str">
        <f t="shared" si="320"/>
        <v>CLJ4</v>
      </c>
      <c r="AE1928" s="80" t="str">
        <f t="shared" si="321"/>
        <v>LCOK4</v>
      </c>
      <c r="AF1928" s="80" t="str">
        <f t="shared" si="322"/>
        <v>CLK4</v>
      </c>
      <c r="AG1928" s="80" t="str">
        <f t="shared" si="323"/>
        <v>LCOM4</v>
      </c>
      <c r="AH1928" s="80" t="str">
        <f t="shared" si="324"/>
        <v>LCON4</v>
      </c>
    </row>
    <row r="1929" spans="25:34" x14ac:dyDescent="0.35">
      <c r="Y1929" s="74">
        <f t="shared" si="315"/>
        <v>45332</v>
      </c>
      <c r="Z1929" s="74" t="e">
        <f t="shared" ca="1" si="316"/>
        <v>#N/A</v>
      </c>
      <c r="AA1929" s="80" t="e">
        <f t="shared" ca="1" si="317"/>
        <v>#N/A</v>
      </c>
      <c r="AB1929" s="74" t="e">
        <f t="shared" si="319"/>
        <v>#N/A</v>
      </c>
      <c r="AC1929" s="80" t="str">
        <f t="shared" si="318"/>
        <v>LCOJ4</v>
      </c>
      <c r="AD1929" s="80" t="str">
        <f t="shared" si="320"/>
        <v>CLJ4</v>
      </c>
      <c r="AE1929" s="80" t="str">
        <f t="shared" si="321"/>
        <v>LCOK4</v>
      </c>
      <c r="AF1929" s="80" t="str">
        <f t="shared" si="322"/>
        <v>CLK4</v>
      </c>
      <c r="AG1929" s="80" t="str">
        <f t="shared" si="323"/>
        <v>LCOM4</v>
      </c>
      <c r="AH1929" s="80" t="str">
        <f t="shared" si="324"/>
        <v>LCON4</v>
      </c>
    </row>
    <row r="1930" spans="25:34" x14ac:dyDescent="0.35">
      <c r="Y1930" s="74">
        <f t="shared" si="315"/>
        <v>45333</v>
      </c>
      <c r="Z1930" s="74" t="e">
        <f t="shared" ca="1" si="316"/>
        <v>#N/A</v>
      </c>
      <c r="AA1930" s="80" t="e">
        <f t="shared" ca="1" si="317"/>
        <v>#N/A</v>
      </c>
      <c r="AB1930" s="74" t="e">
        <f t="shared" si="319"/>
        <v>#N/A</v>
      </c>
      <c r="AC1930" s="80" t="str">
        <f t="shared" si="318"/>
        <v>LCOJ4</v>
      </c>
      <c r="AD1930" s="80" t="str">
        <f t="shared" si="320"/>
        <v>CLJ4</v>
      </c>
      <c r="AE1930" s="80" t="str">
        <f t="shared" si="321"/>
        <v>LCOK4</v>
      </c>
      <c r="AF1930" s="80" t="str">
        <f t="shared" si="322"/>
        <v>CLK4</v>
      </c>
      <c r="AG1930" s="80" t="str">
        <f t="shared" si="323"/>
        <v>LCOM4</v>
      </c>
      <c r="AH1930" s="80" t="str">
        <f t="shared" si="324"/>
        <v>LCON4</v>
      </c>
    </row>
    <row r="1931" spans="25:34" x14ac:dyDescent="0.35">
      <c r="Y1931" s="74">
        <f t="shared" si="315"/>
        <v>45334</v>
      </c>
      <c r="Z1931" s="74" t="e">
        <f t="shared" ca="1" si="316"/>
        <v>#N/A</v>
      </c>
      <c r="AA1931" s="80" t="e">
        <f t="shared" ca="1" si="317"/>
        <v>#N/A</v>
      </c>
      <c r="AB1931" s="74" t="e">
        <f t="shared" si="319"/>
        <v>#N/A</v>
      </c>
      <c r="AC1931" s="80" t="str">
        <f t="shared" si="318"/>
        <v>LCOJ4</v>
      </c>
      <c r="AD1931" s="80" t="str">
        <f t="shared" si="320"/>
        <v>CLJ4</v>
      </c>
      <c r="AE1931" s="80" t="str">
        <f t="shared" si="321"/>
        <v>LCOK4</v>
      </c>
      <c r="AF1931" s="80" t="str">
        <f t="shared" si="322"/>
        <v>CLK4</v>
      </c>
      <c r="AG1931" s="80" t="str">
        <f t="shared" si="323"/>
        <v>LCOM4</v>
      </c>
      <c r="AH1931" s="80" t="str">
        <f t="shared" si="324"/>
        <v>LCON4</v>
      </c>
    </row>
    <row r="1932" spans="25:34" x14ac:dyDescent="0.35">
      <c r="Y1932" s="74">
        <f t="shared" si="315"/>
        <v>45335</v>
      </c>
      <c r="Z1932" s="74" t="e">
        <f t="shared" ca="1" si="316"/>
        <v>#N/A</v>
      </c>
      <c r="AA1932" s="80" t="e">
        <f t="shared" ca="1" si="317"/>
        <v>#N/A</v>
      </c>
      <c r="AB1932" s="74" t="e">
        <f t="shared" si="319"/>
        <v>#N/A</v>
      </c>
      <c r="AC1932" s="80" t="str">
        <f t="shared" si="318"/>
        <v>LCOJ4</v>
      </c>
      <c r="AD1932" s="80" t="str">
        <f t="shared" si="320"/>
        <v>CLJ4</v>
      </c>
      <c r="AE1932" s="80" t="str">
        <f t="shared" si="321"/>
        <v>LCOK4</v>
      </c>
      <c r="AF1932" s="80" t="str">
        <f t="shared" si="322"/>
        <v>CLK4</v>
      </c>
      <c r="AG1932" s="80" t="str">
        <f t="shared" si="323"/>
        <v>LCOM4</v>
      </c>
      <c r="AH1932" s="80" t="str">
        <f t="shared" si="324"/>
        <v>LCON4</v>
      </c>
    </row>
    <row r="1933" spans="25:34" x14ac:dyDescent="0.35">
      <c r="Y1933" s="74">
        <f t="shared" si="315"/>
        <v>45336</v>
      </c>
      <c r="Z1933" s="74" t="e">
        <f t="shared" ca="1" si="316"/>
        <v>#N/A</v>
      </c>
      <c r="AA1933" s="80" t="e">
        <f t="shared" ca="1" si="317"/>
        <v>#N/A</v>
      </c>
      <c r="AB1933" s="74" t="e">
        <f t="shared" si="319"/>
        <v>#N/A</v>
      </c>
      <c r="AC1933" s="80" t="str">
        <f t="shared" si="318"/>
        <v>LCOJ4</v>
      </c>
      <c r="AD1933" s="80" t="str">
        <f t="shared" si="320"/>
        <v>CLJ4</v>
      </c>
      <c r="AE1933" s="80" t="str">
        <f t="shared" si="321"/>
        <v>LCOK4</v>
      </c>
      <c r="AF1933" s="80" t="str">
        <f t="shared" si="322"/>
        <v>CLK4</v>
      </c>
      <c r="AG1933" s="80" t="str">
        <f t="shared" si="323"/>
        <v>LCOM4</v>
      </c>
      <c r="AH1933" s="80" t="str">
        <f t="shared" si="324"/>
        <v>LCON4</v>
      </c>
    </row>
    <row r="1934" spans="25:34" x14ac:dyDescent="0.35">
      <c r="Y1934" s="74">
        <f t="shared" si="315"/>
        <v>45337</v>
      </c>
      <c r="Z1934" s="74" t="e">
        <f t="shared" ca="1" si="316"/>
        <v>#N/A</v>
      </c>
      <c r="AA1934" s="80" t="e">
        <f t="shared" ca="1" si="317"/>
        <v>#N/A</v>
      </c>
      <c r="AB1934" s="74" t="e">
        <f t="shared" si="319"/>
        <v>#N/A</v>
      </c>
      <c r="AC1934" s="80" t="str">
        <f t="shared" si="318"/>
        <v>LCOJ4</v>
      </c>
      <c r="AD1934" s="80" t="str">
        <f t="shared" si="320"/>
        <v>CLJ4</v>
      </c>
      <c r="AE1934" s="80" t="str">
        <f t="shared" si="321"/>
        <v>LCOK4</v>
      </c>
      <c r="AF1934" s="80" t="str">
        <f t="shared" si="322"/>
        <v>CLK4</v>
      </c>
      <c r="AG1934" s="80" t="str">
        <f t="shared" si="323"/>
        <v>LCOM4</v>
      </c>
      <c r="AH1934" s="80" t="str">
        <f t="shared" si="324"/>
        <v>LCON4</v>
      </c>
    </row>
    <row r="1935" spans="25:34" x14ac:dyDescent="0.35">
      <c r="Y1935" s="74">
        <f t="shared" si="315"/>
        <v>45338</v>
      </c>
      <c r="Z1935" s="74" t="e">
        <f t="shared" ca="1" si="316"/>
        <v>#N/A</v>
      </c>
      <c r="AA1935" s="80" t="e">
        <f t="shared" ca="1" si="317"/>
        <v>#N/A</v>
      </c>
      <c r="AB1935" s="74" t="e">
        <f t="shared" si="319"/>
        <v>#N/A</v>
      </c>
      <c r="AC1935" s="80" t="str">
        <f t="shared" si="318"/>
        <v>LCOJ4</v>
      </c>
      <c r="AD1935" s="80" t="str">
        <f t="shared" si="320"/>
        <v>CLJ4</v>
      </c>
      <c r="AE1935" s="80" t="str">
        <f t="shared" si="321"/>
        <v>LCOK4</v>
      </c>
      <c r="AF1935" s="80" t="str">
        <f t="shared" si="322"/>
        <v>CLK4</v>
      </c>
      <c r="AG1935" s="80" t="str">
        <f t="shared" si="323"/>
        <v>LCOM4</v>
      </c>
      <c r="AH1935" s="80" t="str">
        <f t="shared" si="324"/>
        <v>LCON4</v>
      </c>
    </row>
    <row r="1936" spans="25:34" x14ac:dyDescent="0.35">
      <c r="Y1936" s="74">
        <f t="shared" si="315"/>
        <v>45339</v>
      </c>
      <c r="Z1936" s="74" t="e">
        <f t="shared" ca="1" si="316"/>
        <v>#N/A</v>
      </c>
      <c r="AA1936" s="80" t="e">
        <f t="shared" ca="1" si="317"/>
        <v>#N/A</v>
      </c>
      <c r="AB1936" s="74" t="e">
        <f t="shared" si="319"/>
        <v>#N/A</v>
      </c>
      <c r="AC1936" s="80" t="str">
        <f t="shared" si="318"/>
        <v>LCOJ4</v>
      </c>
      <c r="AD1936" s="80" t="str">
        <f t="shared" si="320"/>
        <v>CLJ4</v>
      </c>
      <c r="AE1936" s="80" t="str">
        <f t="shared" si="321"/>
        <v>LCOK4</v>
      </c>
      <c r="AF1936" s="80" t="str">
        <f t="shared" si="322"/>
        <v>CLK4</v>
      </c>
      <c r="AG1936" s="80" t="str">
        <f t="shared" si="323"/>
        <v>LCOM4</v>
      </c>
      <c r="AH1936" s="80" t="str">
        <f t="shared" si="324"/>
        <v>LCON4</v>
      </c>
    </row>
    <row r="1937" spans="25:34" x14ac:dyDescent="0.35">
      <c r="Y1937" s="74">
        <f t="shared" si="315"/>
        <v>45340</v>
      </c>
      <c r="Z1937" s="74" t="e">
        <f t="shared" ca="1" si="316"/>
        <v>#N/A</v>
      </c>
      <c r="AA1937" s="80" t="e">
        <f t="shared" ca="1" si="317"/>
        <v>#N/A</v>
      </c>
      <c r="AB1937" s="74" t="e">
        <f t="shared" si="319"/>
        <v>#N/A</v>
      </c>
      <c r="AC1937" s="80" t="str">
        <f t="shared" si="318"/>
        <v>LCOJ4</v>
      </c>
      <c r="AD1937" s="80" t="str">
        <f t="shared" si="320"/>
        <v>CLJ4</v>
      </c>
      <c r="AE1937" s="80" t="str">
        <f t="shared" si="321"/>
        <v>LCOK4</v>
      </c>
      <c r="AF1937" s="80" t="str">
        <f t="shared" si="322"/>
        <v>CLK4</v>
      </c>
      <c r="AG1937" s="80" t="str">
        <f t="shared" si="323"/>
        <v>LCOM4</v>
      </c>
      <c r="AH1937" s="80" t="str">
        <f t="shared" si="324"/>
        <v>LCON4</v>
      </c>
    </row>
    <row r="1938" spans="25:34" x14ac:dyDescent="0.35">
      <c r="Y1938" s="74">
        <f t="shared" si="315"/>
        <v>45341</v>
      </c>
      <c r="Z1938" s="74" t="e">
        <f t="shared" ca="1" si="316"/>
        <v>#N/A</v>
      </c>
      <c r="AA1938" s="80" t="e">
        <f t="shared" ca="1" si="317"/>
        <v>#N/A</v>
      </c>
      <c r="AB1938" s="74" t="e">
        <f t="shared" si="319"/>
        <v>#N/A</v>
      </c>
      <c r="AC1938" s="80" t="str">
        <f t="shared" si="318"/>
        <v>LCOJ4</v>
      </c>
      <c r="AD1938" s="80" t="str">
        <f t="shared" si="320"/>
        <v>CLJ4</v>
      </c>
      <c r="AE1938" s="80" t="str">
        <f t="shared" si="321"/>
        <v>LCOK4</v>
      </c>
      <c r="AF1938" s="80" t="str">
        <f t="shared" si="322"/>
        <v>CLK4</v>
      </c>
      <c r="AG1938" s="80" t="str">
        <f t="shared" si="323"/>
        <v>LCOM4</v>
      </c>
      <c r="AH1938" s="80" t="str">
        <f t="shared" si="324"/>
        <v>LCON4</v>
      </c>
    </row>
    <row r="1939" spans="25:34" x14ac:dyDescent="0.35">
      <c r="Y1939" s="74">
        <f t="shared" si="315"/>
        <v>45342</v>
      </c>
      <c r="Z1939" s="74" t="e">
        <f t="shared" ca="1" si="316"/>
        <v>#N/A</v>
      </c>
      <c r="AA1939" s="80" t="e">
        <f t="shared" ca="1" si="317"/>
        <v>#N/A</v>
      </c>
      <c r="AB1939" s="74" t="e">
        <f t="shared" si="319"/>
        <v>#N/A</v>
      </c>
      <c r="AC1939" s="80" t="str">
        <f t="shared" si="318"/>
        <v>LCOJ4</v>
      </c>
      <c r="AD1939" s="80" t="str">
        <f t="shared" si="320"/>
        <v>CLJ4</v>
      </c>
      <c r="AE1939" s="80" t="str">
        <f t="shared" si="321"/>
        <v>LCOK4</v>
      </c>
      <c r="AF1939" s="80" t="str">
        <f t="shared" si="322"/>
        <v>CLK4</v>
      </c>
      <c r="AG1939" s="80" t="str">
        <f t="shared" si="323"/>
        <v>LCOM4</v>
      </c>
      <c r="AH1939" s="80" t="str">
        <f t="shared" si="324"/>
        <v>LCON4</v>
      </c>
    </row>
    <row r="1940" spans="25:34" x14ac:dyDescent="0.35">
      <c r="Y1940" s="74">
        <f t="shared" si="315"/>
        <v>45343</v>
      </c>
      <c r="Z1940" s="74" t="e">
        <f t="shared" ca="1" si="316"/>
        <v>#N/A</v>
      </c>
      <c r="AA1940" s="80" t="e">
        <f t="shared" ca="1" si="317"/>
        <v>#N/A</v>
      </c>
      <c r="AB1940" s="74" t="e">
        <f t="shared" si="319"/>
        <v>#N/A</v>
      </c>
      <c r="AC1940" s="80" t="str">
        <f t="shared" si="318"/>
        <v>LCOJ4</v>
      </c>
      <c r="AD1940" s="80" t="str">
        <f t="shared" si="320"/>
        <v>CLJ4</v>
      </c>
      <c r="AE1940" s="80" t="str">
        <f t="shared" si="321"/>
        <v>LCOK4</v>
      </c>
      <c r="AF1940" s="80" t="str">
        <f t="shared" si="322"/>
        <v>CLK4</v>
      </c>
      <c r="AG1940" s="80" t="str">
        <f t="shared" si="323"/>
        <v>LCOM4</v>
      </c>
      <c r="AH1940" s="80" t="str">
        <f t="shared" si="324"/>
        <v>LCON4</v>
      </c>
    </row>
    <row r="1941" spans="25:34" x14ac:dyDescent="0.35">
      <c r="Y1941" s="74">
        <f t="shared" si="315"/>
        <v>45344</v>
      </c>
      <c r="Z1941" s="74" t="e">
        <f t="shared" ca="1" si="316"/>
        <v>#N/A</v>
      </c>
      <c r="AA1941" s="80" t="e">
        <f t="shared" ca="1" si="317"/>
        <v>#N/A</v>
      </c>
      <c r="AB1941" s="74" t="e">
        <f t="shared" si="319"/>
        <v>#N/A</v>
      </c>
      <c r="AC1941" s="80" t="str">
        <f t="shared" si="318"/>
        <v>LCOJ4</v>
      </c>
      <c r="AD1941" s="80" t="str">
        <f t="shared" si="320"/>
        <v>CLJ4</v>
      </c>
      <c r="AE1941" s="80" t="str">
        <f t="shared" si="321"/>
        <v>LCOK4</v>
      </c>
      <c r="AF1941" s="80" t="str">
        <f t="shared" si="322"/>
        <v>CLK4</v>
      </c>
      <c r="AG1941" s="80" t="str">
        <f t="shared" si="323"/>
        <v>LCOM4</v>
      </c>
      <c r="AH1941" s="80" t="str">
        <f t="shared" si="324"/>
        <v>LCON4</v>
      </c>
    </row>
    <row r="1942" spans="25:34" x14ac:dyDescent="0.35">
      <c r="Y1942" s="74">
        <f t="shared" si="315"/>
        <v>45345</v>
      </c>
      <c r="Z1942" s="74" t="e">
        <f t="shared" ca="1" si="316"/>
        <v>#N/A</v>
      </c>
      <c r="AA1942" s="80" t="e">
        <f t="shared" ca="1" si="317"/>
        <v>#N/A</v>
      </c>
      <c r="AB1942" s="74" t="e">
        <f t="shared" si="319"/>
        <v>#N/A</v>
      </c>
      <c r="AC1942" s="80" t="str">
        <f t="shared" si="318"/>
        <v>LCOJ4</v>
      </c>
      <c r="AD1942" s="80" t="str">
        <f t="shared" si="320"/>
        <v>CLJ4</v>
      </c>
      <c r="AE1942" s="80" t="str">
        <f t="shared" si="321"/>
        <v>LCOK4</v>
      </c>
      <c r="AF1942" s="80" t="str">
        <f t="shared" si="322"/>
        <v>CLK4</v>
      </c>
      <c r="AG1942" s="80" t="str">
        <f t="shared" si="323"/>
        <v>LCOM4</v>
      </c>
      <c r="AH1942" s="80" t="str">
        <f t="shared" si="324"/>
        <v>LCON4</v>
      </c>
    </row>
    <row r="1943" spans="25:34" x14ac:dyDescent="0.35">
      <c r="Y1943" s="74">
        <f t="shared" si="315"/>
        <v>45346</v>
      </c>
      <c r="Z1943" s="74" t="e">
        <f t="shared" ca="1" si="316"/>
        <v>#N/A</v>
      </c>
      <c r="AA1943" s="80" t="e">
        <f t="shared" ca="1" si="317"/>
        <v>#N/A</v>
      </c>
      <c r="AB1943" s="74" t="e">
        <f t="shared" si="319"/>
        <v>#N/A</v>
      </c>
      <c r="AC1943" s="80" t="str">
        <f t="shared" si="318"/>
        <v>LCOJ4</v>
      </c>
      <c r="AD1943" s="80" t="str">
        <f t="shared" si="320"/>
        <v>CLJ4</v>
      </c>
      <c r="AE1943" s="80" t="str">
        <f t="shared" si="321"/>
        <v>LCOK4</v>
      </c>
      <c r="AF1943" s="80" t="str">
        <f t="shared" si="322"/>
        <v>CLK4</v>
      </c>
      <c r="AG1943" s="80" t="str">
        <f t="shared" si="323"/>
        <v>LCOM4</v>
      </c>
      <c r="AH1943" s="80" t="str">
        <f t="shared" si="324"/>
        <v>LCON4</v>
      </c>
    </row>
    <row r="1944" spans="25:34" x14ac:dyDescent="0.35">
      <c r="Y1944" s="74">
        <f t="shared" si="315"/>
        <v>45347</v>
      </c>
      <c r="Z1944" s="74" t="e">
        <f t="shared" ca="1" si="316"/>
        <v>#N/A</v>
      </c>
      <c r="AA1944" s="80" t="e">
        <f t="shared" ca="1" si="317"/>
        <v>#N/A</v>
      </c>
      <c r="AB1944" s="74" t="e">
        <f t="shared" si="319"/>
        <v>#N/A</v>
      </c>
      <c r="AC1944" s="80" t="str">
        <f t="shared" si="318"/>
        <v>LCOJ4</v>
      </c>
      <c r="AD1944" s="80" t="str">
        <f t="shared" si="320"/>
        <v>CLJ4</v>
      </c>
      <c r="AE1944" s="80" t="str">
        <f t="shared" si="321"/>
        <v>LCOK4</v>
      </c>
      <c r="AF1944" s="80" t="str">
        <f t="shared" si="322"/>
        <v>CLK4</v>
      </c>
      <c r="AG1944" s="80" t="str">
        <f t="shared" si="323"/>
        <v>LCOM4</v>
      </c>
      <c r="AH1944" s="80" t="str">
        <f t="shared" si="324"/>
        <v>LCON4</v>
      </c>
    </row>
    <row r="1945" spans="25:34" x14ac:dyDescent="0.35">
      <c r="Y1945" s="74">
        <f t="shared" si="315"/>
        <v>45348</v>
      </c>
      <c r="Z1945" s="74" t="e">
        <f t="shared" ca="1" si="316"/>
        <v>#N/A</v>
      </c>
      <c r="AA1945" s="80" t="e">
        <f t="shared" ca="1" si="317"/>
        <v>#N/A</v>
      </c>
      <c r="AB1945" s="74" t="e">
        <f t="shared" si="319"/>
        <v>#N/A</v>
      </c>
      <c r="AC1945" s="80" t="str">
        <f t="shared" si="318"/>
        <v>LCOJ4</v>
      </c>
      <c r="AD1945" s="80" t="str">
        <f t="shared" si="320"/>
        <v>CLJ4</v>
      </c>
      <c r="AE1945" s="80" t="str">
        <f t="shared" si="321"/>
        <v>LCOK4</v>
      </c>
      <c r="AF1945" s="80" t="str">
        <f t="shared" si="322"/>
        <v>CLK4</v>
      </c>
      <c r="AG1945" s="80" t="str">
        <f t="shared" si="323"/>
        <v>LCOM4</v>
      </c>
      <c r="AH1945" s="80" t="str">
        <f t="shared" si="324"/>
        <v>LCON4</v>
      </c>
    </row>
    <row r="1946" spans="25:34" x14ac:dyDescent="0.35">
      <c r="Y1946" s="74">
        <f t="shared" si="315"/>
        <v>45349</v>
      </c>
      <c r="Z1946" s="74" t="e">
        <f t="shared" ca="1" si="316"/>
        <v>#N/A</v>
      </c>
      <c r="AA1946" s="80" t="e">
        <f t="shared" ca="1" si="317"/>
        <v>#N/A</v>
      </c>
      <c r="AB1946" s="74" t="e">
        <f t="shared" si="319"/>
        <v>#N/A</v>
      </c>
      <c r="AC1946" s="80" t="str">
        <f t="shared" si="318"/>
        <v>LCOJ4</v>
      </c>
      <c r="AD1946" s="80" t="str">
        <f t="shared" si="320"/>
        <v>CLJ4</v>
      </c>
      <c r="AE1946" s="80" t="str">
        <f t="shared" si="321"/>
        <v>LCOK4</v>
      </c>
      <c r="AF1946" s="80" t="str">
        <f t="shared" si="322"/>
        <v>CLK4</v>
      </c>
      <c r="AG1946" s="80" t="str">
        <f t="shared" si="323"/>
        <v>LCOM4</v>
      </c>
      <c r="AH1946" s="80" t="str">
        <f t="shared" si="324"/>
        <v>LCON4</v>
      </c>
    </row>
    <row r="1947" spans="25:34" x14ac:dyDescent="0.35">
      <c r="Y1947" s="74">
        <f t="shared" si="315"/>
        <v>45350</v>
      </c>
      <c r="Z1947" s="74" t="e">
        <f t="shared" ca="1" si="316"/>
        <v>#N/A</v>
      </c>
      <c r="AA1947" s="80" t="e">
        <f t="shared" ca="1" si="317"/>
        <v>#N/A</v>
      </c>
      <c r="AB1947" s="74" t="e">
        <f t="shared" si="319"/>
        <v>#N/A</v>
      </c>
      <c r="AC1947" s="80" t="str">
        <f t="shared" si="318"/>
        <v>LCOJ4</v>
      </c>
      <c r="AD1947" s="80" t="str">
        <f t="shared" si="320"/>
        <v>CLJ4</v>
      </c>
      <c r="AE1947" s="80" t="str">
        <f t="shared" si="321"/>
        <v>LCOK4</v>
      </c>
      <c r="AF1947" s="80" t="str">
        <f t="shared" si="322"/>
        <v>CLK4</v>
      </c>
      <c r="AG1947" s="80" t="str">
        <f t="shared" si="323"/>
        <v>LCOM4</v>
      </c>
      <c r="AH1947" s="80" t="str">
        <f t="shared" si="324"/>
        <v>LCON4</v>
      </c>
    </row>
    <row r="1948" spans="25:34" x14ac:dyDescent="0.35">
      <c r="Y1948" s="74">
        <f t="shared" si="315"/>
        <v>45351</v>
      </c>
      <c r="Z1948" s="74" t="e">
        <f t="shared" ca="1" si="316"/>
        <v>#N/A</v>
      </c>
      <c r="AA1948" s="80" t="e">
        <f t="shared" ca="1" si="317"/>
        <v>#N/A</v>
      </c>
      <c r="AB1948" s="74" t="e">
        <f t="shared" si="319"/>
        <v>#N/A</v>
      </c>
      <c r="AC1948" s="80" t="str">
        <f t="shared" si="318"/>
        <v>LCOJ4</v>
      </c>
      <c r="AD1948" s="80" t="str">
        <f t="shared" si="320"/>
        <v>CLJ4</v>
      </c>
      <c r="AE1948" s="80" t="str">
        <f t="shared" si="321"/>
        <v>LCOK4</v>
      </c>
      <c r="AF1948" s="80" t="str">
        <f t="shared" si="322"/>
        <v>CLK4</v>
      </c>
      <c r="AG1948" s="80" t="str">
        <f t="shared" si="323"/>
        <v>LCOM4</v>
      </c>
      <c r="AH1948" s="80" t="str">
        <f t="shared" si="324"/>
        <v>LCON4</v>
      </c>
    </row>
    <row r="1949" spans="25:34" x14ac:dyDescent="0.35">
      <c r="Y1949" s="74">
        <f t="shared" si="315"/>
        <v>45352</v>
      </c>
      <c r="Z1949" s="74" t="e">
        <f t="shared" ca="1" si="316"/>
        <v>#N/A</v>
      </c>
      <c r="AA1949" s="80" t="e">
        <f t="shared" ca="1" si="317"/>
        <v>#N/A</v>
      </c>
      <c r="AB1949" s="74" t="e">
        <f t="shared" si="319"/>
        <v>#N/A</v>
      </c>
      <c r="AC1949" s="80" t="str">
        <f t="shared" si="318"/>
        <v>LCOK4</v>
      </c>
      <c r="AD1949" s="80" t="str">
        <f t="shared" si="320"/>
        <v>CLK4</v>
      </c>
      <c r="AE1949" s="80" t="str">
        <f t="shared" si="321"/>
        <v>LCOM4</v>
      </c>
      <c r="AF1949" s="80" t="str">
        <f t="shared" si="322"/>
        <v>CLM4</v>
      </c>
      <c r="AG1949" s="80" t="str">
        <f t="shared" si="323"/>
        <v>LCON4</v>
      </c>
      <c r="AH1949" s="80" t="str">
        <f t="shared" si="324"/>
        <v>LCOQ4</v>
      </c>
    </row>
    <row r="1950" spans="25:34" x14ac:dyDescent="0.35">
      <c r="Y1950" s="74">
        <f t="shared" si="315"/>
        <v>45353</v>
      </c>
      <c r="Z1950" s="74" t="e">
        <f t="shared" ca="1" si="316"/>
        <v>#N/A</v>
      </c>
      <c r="AA1950" s="80" t="e">
        <f t="shared" ca="1" si="317"/>
        <v>#N/A</v>
      </c>
      <c r="AB1950" s="74" t="e">
        <f t="shared" si="319"/>
        <v>#N/A</v>
      </c>
      <c r="AC1950" s="80" t="str">
        <f t="shared" si="318"/>
        <v>LCOK4</v>
      </c>
      <c r="AD1950" s="80" t="str">
        <f t="shared" si="320"/>
        <v>CLK4</v>
      </c>
      <c r="AE1950" s="80" t="str">
        <f t="shared" si="321"/>
        <v>LCOM4</v>
      </c>
      <c r="AF1950" s="80" t="str">
        <f t="shared" si="322"/>
        <v>CLM4</v>
      </c>
      <c r="AG1950" s="80" t="str">
        <f t="shared" si="323"/>
        <v>LCON4</v>
      </c>
      <c r="AH1950" s="80" t="str">
        <f t="shared" si="324"/>
        <v>LCOQ4</v>
      </c>
    </row>
    <row r="1951" spans="25:34" x14ac:dyDescent="0.35">
      <c r="Y1951" s="74">
        <f t="shared" si="315"/>
        <v>45354</v>
      </c>
      <c r="Z1951" s="74" t="e">
        <f t="shared" ca="1" si="316"/>
        <v>#N/A</v>
      </c>
      <c r="AA1951" s="80" t="e">
        <f t="shared" ca="1" si="317"/>
        <v>#N/A</v>
      </c>
      <c r="AB1951" s="74" t="e">
        <f t="shared" si="319"/>
        <v>#N/A</v>
      </c>
      <c r="AC1951" s="80" t="str">
        <f t="shared" si="318"/>
        <v>LCOK4</v>
      </c>
      <c r="AD1951" s="80" t="str">
        <f t="shared" si="320"/>
        <v>CLK4</v>
      </c>
      <c r="AE1951" s="80" t="str">
        <f t="shared" si="321"/>
        <v>LCOM4</v>
      </c>
      <c r="AF1951" s="80" t="str">
        <f t="shared" si="322"/>
        <v>CLM4</v>
      </c>
      <c r="AG1951" s="80" t="str">
        <f t="shared" si="323"/>
        <v>LCON4</v>
      </c>
      <c r="AH1951" s="80" t="str">
        <f t="shared" si="324"/>
        <v>LCOQ4</v>
      </c>
    </row>
    <row r="1952" spans="25:34" x14ac:dyDescent="0.35">
      <c r="Y1952" s="74">
        <f t="shared" si="315"/>
        <v>45355</v>
      </c>
      <c r="Z1952" s="74" t="e">
        <f t="shared" ca="1" si="316"/>
        <v>#N/A</v>
      </c>
      <c r="AA1952" s="80" t="e">
        <f t="shared" ca="1" si="317"/>
        <v>#N/A</v>
      </c>
      <c r="AB1952" s="74" t="e">
        <f t="shared" si="319"/>
        <v>#N/A</v>
      </c>
      <c r="AC1952" s="80" t="str">
        <f t="shared" si="318"/>
        <v>LCOK4</v>
      </c>
      <c r="AD1952" s="80" t="str">
        <f t="shared" si="320"/>
        <v>CLK4</v>
      </c>
      <c r="AE1952" s="80" t="str">
        <f t="shared" si="321"/>
        <v>LCOM4</v>
      </c>
      <c r="AF1952" s="80" t="str">
        <f t="shared" si="322"/>
        <v>CLM4</v>
      </c>
      <c r="AG1952" s="80" t="str">
        <f t="shared" si="323"/>
        <v>LCON4</v>
      </c>
      <c r="AH1952" s="80" t="str">
        <f t="shared" si="324"/>
        <v>LCOQ4</v>
      </c>
    </row>
    <row r="1953" spans="25:34" x14ac:dyDescent="0.35">
      <c r="Y1953" s="74">
        <f t="shared" ref="Y1953:Y2016" si="325">Y1952+1</f>
        <v>45356</v>
      </c>
      <c r="Z1953" s="74" t="e">
        <f t="shared" ca="1" si="316"/>
        <v>#N/A</v>
      </c>
      <c r="AA1953" s="80" t="e">
        <f t="shared" ca="1" si="317"/>
        <v>#N/A</v>
      </c>
      <c r="AB1953" s="74" t="e">
        <f t="shared" si="319"/>
        <v>#N/A</v>
      </c>
      <c r="AC1953" s="80" t="str">
        <f t="shared" si="318"/>
        <v>LCOK4</v>
      </c>
      <c r="AD1953" s="80" t="str">
        <f t="shared" si="320"/>
        <v>CLK4</v>
      </c>
      <c r="AE1953" s="80" t="str">
        <f t="shared" si="321"/>
        <v>LCOM4</v>
      </c>
      <c r="AF1953" s="80" t="str">
        <f t="shared" si="322"/>
        <v>CLM4</v>
      </c>
      <c r="AG1953" s="80" t="str">
        <f t="shared" si="323"/>
        <v>LCON4</v>
      </c>
      <c r="AH1953" s="80" t="str">
        <f t="shared" si="324"/>
        <v>LCOQ4</v>
      </c>
    </row>
    <row r="1954" spans="25:34" x14ac:dyDescent="0.35">
      <c r="Y1954" s="74">
        <f t="shared" si="325"/>
        <v>45357</v>
      </c>
      <c r="Z1954" s="74" t="e">
        <f t="shared" ca="1" si="316"/>
        <v>#N/A</v>
      </c>
      <c r="AA1954" s="80" t="e">
        <f t="shared" ca="1" si="317"/>
        <v>#N/A</v>
      </c>
      <c r="AB1954" s="74" t="e">
        <f t="shared" si="319"/>
        <v>#N/A</v>
      </c>
      <c r="AC1954" s="80" t="str">
        <f t="shared" si="318"/>
        <v>LCOK4</v>
      </c>
      <c r="AD1954" s="80" t="str">
        <f t="shared" si="320"/>
        <v>CLK4</v>
      </c>
      <c r="AE1954" s="80" t="str">
        <f t="shared" si="321"/>
        <v>LCOM4</v>
      </c>
      <c r="AF1954" s="80" t="str">
        <f t="shared" si="322"/>
        <v>CLM4</v>
      </c>
      <c r="AG1954" s="80" t="str">
        <f t="shared" si="323"/>
        <v>LCON4</v>
      </c>
      <c r="AH1954" s="80" t="str">
        <f t="shared" si="324"/>
        <v>LCOQ4</v>
      </c>
    </row>
    <row r="1955" spans="25:34" x14ac:dyDescent="0.35">
      <c r="Y1955" s="74">
        <f t="shared" si="325"/>
        <v>45358</v>
      </c>
      <c r="Z1955" s="74" t="e">
        <f t="shared" ca="1" si="316"/>
        <v>#N/A</v>
      </c>
      <c r="AA1955" s="80" t="e">
        <f t="shared" ca="1" si="317"/>
        <v>#N/A</v>
      </c>
      <c r="AB1955" s="74" t="e">
        <f t="shared" si="319"/>
        <v>#N/A</v>
      </c>
      <c r="AC1955" s="80" t="str">
        <f t="shared" si="318"/>
        <v>LCOK4</v>
      </c>
      <c r="AD1955" s="80" t="str">
        <f t="shared" si="320"/>
        <v>CLK4</v>
      </c>
      <c r="AE1955" s="80" t="str">
        <f t="shared" si="321"/>
        <v>LCOM4</v>
      </c>
      <c r="AF1955" s="80" t="str">
        <f t="shared" si="322"/>
        <v>CLM4</v>
      </c>
      <c r="AG1955" s="80" t="str">
        <f t="shared" si="323"/>
        <v>LCON4</v>
      </c>
      <c r="AH1955" s="80" t="str">
        <f t="shared" si="324"/>
        <v>LCOQ4</v>
      </c>
    </row>
    <row r="1956" spans="25:34" x14ac:dyDescent="0.35">
      <c r="Y1956" s="74">
        <f t="shared" si="325"/>
        <v>45359</v>
      </c>
      <c r="Z1956" s="74" t="e">
        <f t="shared" ca="1" si="316"/>
        <v>#N/A</v>
      </c>
      <c r="AA1956" s="80" t="e">
        <f t="shared" ca="1" si="317"/>
        <v>#N/A</v>
      </c>
      <c r="AB1956" s="74" t="e">
        <f t="shared" si="319"/>
        <v>#N/A</v>
      </c>
      <c r="AC1956" s="80" t="str">
        <f t="shared" si="318"/>
        <v>LCOK4</v>
      </c>
      <c r="AD1956" s="80" t="str">
        <f t="shared" si="320"/>
        <v>CLK4</v>
      </c>
      <c r="AE1956" s="80" t="str">
        <f t="shared" si="321"/>
        <v>LCOM4</v>
      </c>
      <c r="AF1956" s="80" t="str">
        <f t="shared" si="322"/>
        <v>CLM4</v>
      </c>
      <c r="AG1956" s="80" t="str">
        <f t="shared" si="323"/>
        <v>LCON4</v>
      </c>
      <c r="AH1956" s="80" t="str">
        <f t="shared" si="324"/>
        <v>LCOQ4</v>
      </c>
    </row>
    <row r="1957" spans="25:34" x14ac:dyDescent="0.35">
      <c r="Y1957" s="74">
        <f t="shared" si="325"/>
        <v>45360</v>
      </c>
      <c r="Z1957" s="74" t="e">
        <f t="shared" ca="1" si="316"/>
        <v>#N/A</v>
      </c>
      <c r="AA1957" s="80" t="e">
        <f t="shared" ca="1" si="317"/>
        <v>#N/A</v>
      </c>
      <c r="AB1957" s="74" t="e">
        <f t="shared" si="319"/>
        <v>#N/A</v>
      </c>
      <c r="AC1957" s="80" t="str">
        <f t="shared" si="318"/>
        <v>LCOK4</v>
      </c>
      <c r="AD1957" s="80" t="str">
        <f t="shared" si="320"/>
        <v>CLK4</v>
      </c>
      <c r="AE1957" s="80" t="str">
        <f t="shared" si="321"/>
        <v>LCOM4</v>
      </c>
      <c r="AF1957" s="80" t="str">
        <f t="shared" si="322"/>
        <v>CLM4</v>
      </c>
      <c r="AG1957" s="80" t="str">
        <f t="shared" si="323"/>
        <v>LCON4</v>
      </c>
      <c r="AH1957" s="80" t="str">
        <f t="shared" si="324"/>
        <v>LCOQ4</v>
      </c>
    </row>
    <row r="1958" spans="25:34" x14ac:dyDescent="0.35">
      <c r="Y1958" s="74">
        <f t="shared" si="325"/>
        <v>45361</v>
      </c>
      <c r="Z1958" s="74" t="e">
        <f t="shared" ca="1" si="316"/>
        <v>#N/A</v>
      </c>
      <c r="AA1958" s="80" t="e">
        <f t="shared" ca="1" si="317"/>
        <v>#N/A</v>
      </c>
      <c r="AB1958" s="74" t="e">
        <f t="shared" si="319"/>
        <v>#N/A</v>
      </c>
      <c r="AC1958" s="80" t="str">
        <f t="shared" si="318"/>
        <v>LCOK4</v>
      </c>
      <c r="AD1958" s="80" t="str">
        <f t="shared" si="320"/>
        <v>CLK4</v>
      </c>
      <c r="AE1958" s="80" t="str">
        <f t="shared" si="321"/>
        <v>LCOM4</v>
      </c>
      <c r="AF1958" s="80" t="str">
        <f t="shared" si="322"/>
        <v>CLM4</v>
      </c>
      <c r="AG1958" s="80" t="str">
        <f t="shared" si="323"/>
        <v>LCON4</v>
      </c>
      <c r="AH1958" s="80" t="str">
        <f t="shared" si="324"/>
        <v>LCOQ4</v>
      </c>
    </row>
    <row r="1959" spans="25:34" x14ac:dyDescent="0.35">
      <c r="Y1959" s="74">
        <f t="shared" si="325"/>
        <v>45362</v>
      </c>
      <c r="Z1959" s="74" t="e">
        <f t="shared" ca="1" si="316"/>
        <v>#N/A</v>
      </c>
      <c r="AA1959" s="80" t="e">
        <f t="shared" ca="1" si="317"/>
        <v>#N/A</v>
      </c>
      <c r="AB1959" s="74" t="e">
        <f t="shared" si="319"/>
        <v>#N/A</v>
      </c>
      <c r="AC1959" s="80" t="str">
        <f t="shared" si="318"/>
        <v>LCOK4</v>
      </c>
      <c r="AD1959" s="80" t="str">
        <f t="shared" si="320"/>
        <v>CLK4</v>
      </c>
      <c r="AE1959" s="80" t="str">
        <f t="shared" si="321"/>
        <v>LCOM4</v>
      </c>
      <c r="AF1959" s="80" t="str">
        <f t="shared" si="322"/>
        <v>CLM4</v>
      </c>
      <c r="AG1959" s="80" t="str">
        <f t="shared" si="323"/>
        <v>LCON4</v>
      </c>
      <c r="AH1959" s="80" t="str">
        <f t="shared" si="324"/>
        <v>LCOQ4</v>
      </c>
    </row>
    <row r="1960" spans="25:34" x14ac:dyDescent="0.35">
      <c r="Y1960" s="74">
        <f t="shared" si="325"/>
        <v>45363</v>
      </c>
      <c r="Z1960" s="74" t="e">
        <f t="shared" ca="1" si="316"/>
        <v>#N/A</v>
      </c>
      <c r="AA1960" s="80" t="e">
        <f t="shared" ca="1" si="317"/>
        <v>#N/A</v>
      </c>
      <c r="AB1960" s="74" t="e">
        <f t="shared" si="319"/>
        <v>#N/A</v>
      </c>
      <c r="AC1960" s="80" t="str">
        <f t="shared" si="318"/>
        <v>LCOK4</v>
      </c>
      <c r="AD1960" s="80" t="str">
        <f t="shared" si="320"/>
        <v>CLK4</v>
      </c>
      <c r="AE1960" s="80" t="str">
        <f t="shared" si="321"/>
        <v>LCOM4</v>
      </c>
      <c r="AF1960" s="80" t="str">
        <f t="shared" si="322"/>
        <v>CLM4</v>
      </c>
      <c r="AG1960" s="80" t="str">
        <f t="shared" si="323"/>
        <v>LCON4</v>
      </c>
      <c r="AH1960" s="80" t="str">
        <f t="shared" si="324"/>
        <v>LCOQ4</v>
      </c>
    </row>
    <row r="1961" spans="25:34" x14ac:dyDescent="0.35">
      <c r="Y1961" s="74">
        <f t="shared" si="325"/>
        <v>45364</v>
      </c>
      <c r="Z1961" s="74" t="e">
        <f t="shared" ca="1" si="316"/>
        <v>#N/A</v>
      </c>
      <c r="AA1961" s="80" t="e">
        <f t="shared" ca="1" si="317"/>
        <v>#N/A</v>
      </c>
      <c r="AB1961" s="74" t="e">
        <f t="shared" si="319"/>
        <v>#N/A</v>
      </c>
      <c r="AC1961" s="80" t="str">
        <f t="shared" si="318"/>
        <v>LCOK4</v>
      </c>
      <c r="AD1961" s="80" t="str">
        <f t="shared" si="320"/>
        <v>CLK4</v>
      </c>
      <c r="AE1961" s="80" t="str">
        <f t="shared" si="321"/>
        <v>LCOM4</v>
      </c>
      <c r="AF1961" s="80" t="str">
        <f t="shared" si="322"/>
        <v>CLM4</v>
      </c>
      <c r="AG1961" s="80" t="str">
        <f t="shared" si="323"/>
        <v>LCON4</v>
      </c>
      <c r="AH1961" s="80" t="str">
        <f t="shared" si="324"/>
        <v>LCOQ4</v>
      </c>
    </row>
    <row r="1962" spans="25:34" x14ac:dyDescent="0.35">
      <c r="Y1962" s="74">
        <f t="shared" si="325"/>
        <v>45365</v>
      </c>
      <c r="Z1962" s="74" t="e">
        <f t="shared" ca="1" si="316"/>
        <v>#N/A</v>
      </c>
      <c r="AA1962" s="80" t="e">
        <f t="shared" ca="1" si="317"/>
        <v>#N/A</v>
      </c>
      <c r="AB1962" s="74" t="e">
        <f t="shared" si="319"/>
        <v>#N/A</v>
      </c>
      <c r="AC1962" s="80" t="str">
        <f t="shared" si="318"/>
        <v>LCOK4</v>
      </c>
      <c r="AD1962" s="80" t="str">
        <f t="shared" si="320"/>
        <v>CLK4</v>
      </c>
      <c r="AE1962" s="80" t="str">
        <f t="shared" si="321"/>
        <v>LCOM4</v>
      </c>
      <c r="AF1962" s="80" t="str">
        <f t="shared" si="322"/>
        <v>CLM4</v>
      </c>
      <c r="AG1962" s="80" t="str">
        <f t="shared" si="323"/>
        <v>LCON4</v>
      </c>
      <c r="AH1962" s="80" t="str">
        <f t="shared" si="324"/>
        <v>LCOQ4</v>
      </c>
    </row>
    <row r="1963" spans="25:34" x14ac:dyDescent="0.35">
      <c r="Y1963" s="74">
        <f t="shared" si="325"/>
        <v>45366</v>
      </c>
      <c r="Z1963" s="74" t="e">
        <f t="shared" ca="1" si="316"/>
        <v>#N/A</v>
      </c>
      <c r="AA1963" s="80" t="e">
        <f t="shared" ca="1" si="317"/>
        <v>#N/A</v>
      </c>
      <c r="AB1963" s="74" t="e">
        <f t="shared" si="319"/>
        <v>#N/A</v>
      </c>
      <c r="AC1963" s="80" t="str">
        <f t="shared" si="318"/>
        <v>LCOK4</v>
      </c>
      <c r="AD1963" s="80" t="str">
        <f t="shared" si="320"/>
        <v>CLK4</v>
      </c>
      <c r="AE1963" s="80" t="str">
        <f t="shared" si="321"/>
        <v>LCOM4</v>
      </c>
      <c r="AF1963" s="80" t="str">
        <f t="shared" si="322"/>
        <v>CLM4</v>
      </c>
      <c r="AG1963" s="80" t="str">
        <f t="shared" si="323"/>
        <v>LCON4</v>
      </c>
      <c r="AH1963" s="80" t="str">
        <f t="shared" si="324"/>
        <v>LCOQ4</v>
      </c>
    </row>
    <row r="1964" spans="25:34" x14ac:dyDescent="0.35">
      <c r="Y1964" s="74">
        <f t="shared" si="325"/>
        <v>45367</v>
      </c>
      <c r="Z1964" s="74" t="e">
        <f t="shared" ca="1" si="316"/>
        <v>#N/A</v>
      </c>
      <c r="AA1964" s="80" t="e">
        <f t="shared" ca="1" si="317"/>
        <v>#N/A</v>
      </c>
      <c r="AB1964" s="74" t="e">
        <f t="shared" si="319"/>
        <v>#N/A</v>
      </c>
      <c r="AC1964" s="80" t="str">
        <f t="shared" si="318"/>
        <v>LCOK4</v>
      </c>
      <c r="AD1964" s="80" t="str">
        <f t="shared" si="320"/>
        <v>CLK4</v>
      </c>
      <c r="AE1964" s="80" t="str">
        <f t="shared" si="321"/>
        <v>LCOM4</v>
      </c>
      <c r="AF1964" s="80" t="str">
        <f t="shared" si="322"/>
        <v>CLM4</v>
      </c>
      <c r="AG1964" s="80" t="str">
        <f t="shared" si="323"/>
        <v>LCON4</v>
      </c>
      <c r="AH1964" s="80" t="str">
        <f t="shared" si="324"/>
        <v>LCOQ4</v>
      </c>
    </row>
    <row r="1965" spans="25:34" x14ac:dyDescent="0.35">
      <c r="Y1965" s="74">
        <f t="shared" si="325"/>
        <v>45368</v>
      </c>
      <c r="Z1965" s="74" t="e">
        <f t="shared" ca="1" si="316"/>
        <v>#N/A</v>
      </c>
      <c r="AA1965" s="80" t="e">
        <f t="shared" ca="1" si="317"/>
        <v>#N/A</v>
      </c>
      <c r="AB1965" s="74" t="e">
        <f t="shared" si="319"/>
        <v>#N/A</v>
      </c>
      <c r="AC1965" s="80" t="str">
        <f t="shared" si="318"/>
        <v>LCOK4</v>
      </c>
      <c r="AD1965" s="80" t="str">
        <f t="shared" si="320"/>
        <v>CLK4</v>
      </c>
      <c r="AE1965" s="80" t="str">
        <f t="shared" si="321"/>
        <v>LCOM4</v>
      </c>
      <c r="AF1965" s="80" t="str">
        <f t="shared" si="322"/>
        <v>CLM4</v>
      </c>
      <c r="AG1965" s="80" t="str">
        <f t="shared" si="323"/>
        <v>LCON4</v>
      </c>
      <c r="AH1965" s="80" t="str">
        <f t="shared" si="324"/>
        <v>LCOQ4</v>
      </c>
    </row>
    <row r="1966" spans="25:34" x14ac:dyDescent="0.35">
      <c r="Y1966" s="74">
        <f t="shared" si="325"/>
        <v>45369</v>
      </c>
      <c r="Z1966" s="74" t="e">
        <f t="shared" ca="1" si="316"/>
        <v>#N/A</v>
      </c>
      <c r="AA1966" s="80" t="e">
        <f t="shared" ca="1" si="317"/>
        <v>#N/A</v>
      </c>
      <c r="AB1966" s="74" t="e">
        <f t="shared" si="319"/>
        <v>#N/A</v>
      </c>
      <c r="AC1966" s="80" t="str">
        <f t="shared" si="318"/>
        <v>LCOK4</v>
      </c>
      <c r="AD1966" s="80" t="str">
        <f t="shared" si="320"/>
        <v>CLK4</v>
      </c>
      <c r="AE1966" s="80" t="str">
        <f t="shared" si="321"/>
        <v>LCOM4</v>
      </c>
      <c r="AF1966" s="80" t="str">
        <f t="shared" si="322"/>
        <v>CLM4</v>
      </c>
      <c r="AG1966" s="80" t="str">
        <f t="shared" si="323"/>
        <v>LCON4</v>
      </c>
      <c r="AH1966" s="80" t="str">
        <f t="shared" si="324"/>
        <v>LCOQ4</v>
      </c>
    </row>
    <row r="1967" spans="25:34" x14ac:dyDescent="0.35">
      <c r="Y1967" s="74">
        <f t="shared" si="325"/>
        <v>45370</v>
      </c>
      <c r="Z1967" s="74" t="e">
        <f t="shared" ca="1" si="316"/>
        <v>#N/A</v>
      </c>
      <c r="AA1967" s="80" t="e">
        <f t="shared" ca="1" si="317"/>
        <v>#N/A</v>
      </c>
      <c r="AB1967" s="74" t="e">
        <f t="shared" si="319"/>
        <v>#N/A</v>
      </c>
      <c r="AC1967" s="80" t="str">
        <f t="shared" si="318"/>
        <v>LCOK4</v>
      </c>
      <c r="AD1967" s="80" t="str">
        <f t="shared" si="320"/>
        <v>CLK4</v>
      </c>
      <c r="AE1967" s="80" t="str">
        <f t="shared" si="321"/>
        <v>LCOM4</v>
      </c>
      <c r="AF1967" s="80" t="str">
        <f t="shared" si="322"/>
        <v>CLM4</v>
      </c>
      <c r="AG1967" s="80" t="str">
        <f t="shared" si="323"/>
        <v>LCON4</v>
      </c>
      <c r="AH1967" s="80" t="str">
        <f t="shared" si="324"/>
        <v>LCOQ4</v>
      </c>
    </row>
    <row r="1968" spans="25:34" x14ac:dyDescent="0.35">
      <c r="Y1968" s="74">
        <f t="shared" si="325"/>
        <v>45371</v>
      </c>
      <c r="Z1968" s="74" t="e">
        <f t="shared" ca="1" si="316"/>
        <v>#N/A</v>
      </c>
      <c r="AA1968" s="80" t="e">
        <f t="shared" ca="1" si="317"/>
        <v>#N/A</v>
      </c>
      <c r="AB1968" s="74" t="e">
        <f t="shared" si="319"/>
        <v>#N/A</v>
      </c>
      <c r="AC1968" s="80" t="str">
        <f t="shared" si="318"/>
        <v>LCOK4</v>
      </c>
      <c r="AD1968" s="80" t="str">
        <f t="shared" si="320"/>
        <v>CLK4</v>
      </c>
      <c r="AE1968" s="80" t="str">
        <f t="shared" si="321"/>
        <v>LCOM4</v>
      </c>
      <c r="AF1968" s="80" t="str">
        <f t="shared" si="322"/>
        <v>CLM4</v>
      </c>
      <c r="AG1968" s="80" t="str">
        <f t="shared" si="323"/>
        <v>LCON4</v>
      </c>
      <c r="AH1968" s="80" t="str">
        <f t="shared" si="324"/>
        <v>LCOQ4</v>
      </c>
    </row>
    <row r="1969" spans="25:34" x14ac:dyDescent="0.35">
      <c r="Y1969" s="74">
        <f t="shared" si="325"/>
        <v>45372</v>
      </c>
      <c r="Z1969" s="74" t="e">
        <f t="shared" ca="1" si="316"/>
        <v>#N/A</v>
      </c>
      <c r="AA1969" s="80" t="e">
        <f t="shared" ca="1" si="317"/>
        <v>#N/A</v>
      </c>
      <c r="AB1969" s="74" t="e">
        <f t="shared" si="319"/>
        <v>#N/A</v>
      </c>
      <c r="AC1969" s="80" t="str">
        <f t="shared" si="318"/>
        <v>LCOK4</v>
      </c>
      <c r="AD1969" s="80" t="str">
        <f t="shared" si="320"/>
        <v>CLK4</v>
      </c>
      <c r="AE1969" s="80" t="str">
        <f t="shared" si="321"/>
        <v>LCOM4</v>
      </c>
      <c r="AF1969" s="80" t="str">
        <f t="shared" si="322"/>
        <v>CLM4</v>
      </c>
      <c r="AG1969" s="80" t="str">
        <f t="shared" si="323"/>
        <v>LCON4</v>
      </c>
      <c r="AH1969" s="80" t="str">
        <f t="shared" si="324"/>
        <v>LCOQ4</v>
      </c>
    </row>
    <row r="1970" spans="25:34" x14ac:dyDescent="0.35">
      <c r="Y1970" s="74">
        <f t="shared" si="325"/>
        <v>45373</v>
      </c>
      <c r="Z1970" s="74" t="e">
        <f t="shared" ca="1" si="316"/>
        <v>#N/A</v>
      </c>
      <c r="AA1970" s="80" t="e">
        <f t="shared" ca="1" si="317"/>
        <v>#N/A</v>
      </c>
      <c r="AB1970" s="74" t="e">
        <f t="shared" si="319"/>
        <v>#N/A</v>
      </c>
      <c r="AC1970" s="80" t="str">
        <f t="shared" si="318"/>
        <v>LCOK4</v>
      </c>
      <c r="AD1970" s="80" t="str">
        <f t="shared" si="320"/>
        <v>CLK4</v>
      </c>
      <c r="AE1970" s="80" t="str">
        <f t="shared" si="321"/>
        <v>LCOM4</v>
      </c>
      <c r="AF1970" s="80" t="str">
        <f t="shared" si="322"/>
        <v>CLM4</v>
      </c>
      <c r="AG1970" s="80" t="str">
        <f t="shared" si="323"/>
        <v>LCON4</v>
      </c>
      <c r="AH1970" s="80" t="str">
        <f t="shared" si="324"/>
        <v>LCOQ4</v>
      </c>
    </row>
    <row r="1971" spans="25:34" x14ac:dyDescent="0.35">
      <c r="Y1971" s="74">
        <f t="shared" si="325"/>
        <v>45374</v>
      </c>
      <c r="Z1971" s="74" t="e">
        <f t="shared" ca="1" si="316"/>
        <v>#N/A</v>
      </c>
      <c r="AA1971" s="80" t="e">
        <f t="shared" ca="1" si="317"/>
        <v>#N/A</v>
      </c>
      <c r="AB1971" s="74" t="e">
        <f t="shared" si="319"/>
        <v>#N/A</v>
      </c>
      <c r="AC1971" s="80" t="str">
        <f t="shared" si="318"/>
        <v>LCOK4</v>
      </c>
      <c r="AD1971" s="80" t="str">
        <f t="shared" si="320"/>
        <v>CLK4</v>
      </c>
      <c r="AE1971" s="80" t="str">
        <f t="shared" si="321"/>
        <v>LCOM4</v>
      </c>
      <c r="AF1971" s="80" t="str">
        <f t="shared" si="322"/>
        <v>CLM4</v>
      </c>
      <c r="AG1971" s="80" t="str">
        <f t="shared" si="323"/>
        <v>LCON4</v>
      </c>
      <c r="AH1971" s="80" t="str">
        <f t="shared" si="324"/>
        <v>LCOQ4</v>
      </c>
    </row>
    <row r="1972" spans="25:34" x14ac:dyDescent="0.35">
      <c r="Y1972" s="74">
        <f t="shared" si="325"/>
        <v>45375</v>
      </c>
      <c r="Z1972" s="74" t="e">
        <f t="shared" ca="1" si="316"/>
        <v>#N/A</v>
      </c>
      <c r="AA1972" s="80" t="e">
        <f t="shared" ca="1" si="317"/>
        <v>#N/A</v>
      </c>
      <c r="AB1972" s="74" t="e">
        <f t="shared" si="319"/>
        <v>#N/A</v>
      </c>
      <c r="AC1972" s="80" t="str">
        <f t="shared" si="318"/>
        <v>LCOK4</v>
      </c>
      <c r="AD1972" s="80" t="str">
        <f t="shared" si="320"/>
        <v>CLK4</v>
      </c>
      <c r="AE1972" s="80" t="str">
        <f t="shared" si="321"/>
        <v>LCOM4</v>
      </c>
      <c r="AF1972" s="80" t="str">
        <f t="shared" si="322"/>
        <v>CLM4</v>
      </c>
      <c r="AG1972" s="80" t="str">
        <f t="shared" si="323"/>
        <v>LCON4</v>
      </c>
      <c r="AH1972" s="80" t="str">
        <f t="shared" si="324"/>
        <v>LCOQ4</v>
      </c>
    </row>
    <row r="1973" spans="25:34" x14ac:dyDescent="0.35">
      <c r="Y1973" s="74">
        <f t="shared" si="325"/>
        <v>45376</v>
      </c>
      <c r="Z1973" s="74" t="e">
        <f t="shared" ca="1" si="316"/>
        <v>#N/A</v>
      </c>
      <c r="AA1973" s="80" t="e">
        <f t="shared" ca="1" si="317"/>
        <v>#N/A</v>
      </c>
      <c r="AB1973" s="74" t="e">
        <f t="shared" si="319"/>
        <v>#N/A</v>
      </c>
      <c r="AC1973" s="80" t="str">
        <f t="shared" si="318"/>
        <v>LCOK4</v>
      </c>
      <c r="AD1973" s="80" t="str">
        <f t="shared" si="320"/>
        <v>CLK4</v>
      </c>
      <c r="AE1973" s="80" t="str">
        <f t="shared" si="321"/>
        <v>LCOM4</v>
      </c>
      <c r="AF1973" s="80" t="str">
        <f t="shared" si="322"/>
        <v>CLM4</v>
      </c>
      <c r="AG1973" s="80" t="str">
        <f t="shared" si="323"/>
        <v>LCON4</v>
      </c>
      <c r="AH1973" s="80" t="str">
        <f t="shared" si="324"/>
        <v>LCOQ4</v>
      </c>
    </row>
    <row r="1974" spans="25:34" x14ac:dyDescent="0.35">
      <c r="Y1974" s="74">
        <f t="shared" si="325"/>
        <v>45377</v>
      </c>
      <c r="Z1974" s="74" t="e">
        <f t="shared" ca="1" si="316"/>
        <v>#N/A</v>
      </c>
      <c r="AA1974" s="80" t="e">
        <f t="shared" ca="1" si="317"/>
        <v>#N/A</v>
      </c>
      <c r="AB1974" s="74" t="e">
        <f t="shared" si="319"/>
        <v>#N/A</v>
      </c>
      <c r="AC1974" s="80" t="str">
        <f t="shared" si="318"/>
        <v>LCOK4</v>
      </c>
      <c r="AD1974" s="80" t="str">
        <f t="shared" si="320"/>
        <v>CLK4</v>
      </c>
      <c r="AE1974" s="80" t="str">
        <f t="shared" si="321"/>
        <v>LCOM4</v>
      </c>
      <c r="AF1974" s="80" t="str">
        <f t="shared" si="322"/>
        <v>CLM4</v>
      </c>
      <c r="AG1974" s="80" t="str">
        <f t="shared" si="323"/>
        <v>LCON4</v>
      </c>
      <c r="AH1974" s="80" t="str">
        <f t="shared" si="324"/>
        <v>LCOQ4</v>
      </c>
    </row>
    <row r="1975" spans="25:34" x14ac:dyDescent="0.35">
      <c r="Y1975" s="74">
        <f t="shared" si="325"/>
        <v>45378</v>
      </c>
      <c r="Z1975" s="74" t="e">
        <f t="shared" ca="1" si="316"/>
        <v>#N/A</v>
      </c>
      <c r="AA1975" s="80" t="e">
        <f t="shared" ca="1" si="317"/>
        <v>#N/A</v>
      </c>
      <c r="AB1975" s="74" t="e">
        <f t="shared" si="319"/>
        <v>#N/A</v>
      </c>
      <c r="AC1975" s="80" t="str">
        <f t="shared" si="318"/>
        <v>LCOK4</v>
      </c>
      <c r="AD1975" s="80" t="str">
        <f t="shared" si="320"/>
        <v>CLK4</v>
      </c>
      <c r="AE1975" s="80" t="str">
        <f t="shared" si="321"/>
        <v>LCOM4</v>
      </c>
      <c r="AF1975" s="80" t="str">
        <f t="shared" si="322"/>
        <v>CLM4</v>
      </c>
      <c r="AG1975" s="80" t="str">
        <f t="shared" si="323"/>
        <v>LCON4</v>
      </c>
      <c r="AH1975" s="80" t="str">
        <f t="shared" si="324"/>
        <v>LCOQ4</v>
      </c>
    </row>
    <row r="1976" spans="25:34" x14ac:dyDescent="0.35">
      <c r="Y1976" s="74">
        <f t="shared" si="325"/>
        <v>45379</v>
      </c>
      <c r="Z1976" s="74" t="e">
        <f t="shared" ca="1" si="316"/>
        <v>#N/A</v>
      </c>
      <c r="AA1976" s="80" t="e">
        <f t="shared" ca="1" si="317"/>
        <v>#N/A</v>
      </c>
      <c r="AB1976" s="74" t="e">
        <f t="shared" si="319"/>
        <v>#N/A</v>
      </c>
      <c r="AC1976" s="80" t="str">
        <f t="shared" si="318"/>
        <v>LCOK4</v>
      </c>
      <c r="AD1976" s="80" t="str">
        <f t="shared" si="320"/>
        <v>CLK4</v>
      </c>
      <c r="AE1976" s="80" t="str">
        <f t="shared" si="321"/>
        <v>LCOM4</v>
      </c>
      <c r="AF1976" s="80" t="str">
        <f t="shared" si="322"/>
        <v>CLM4</v>
      </c>
      <c r="AG1976" s="80" t="str">
        <f t="shared" si="323"/>
        <v>LCON4</v>
      </c>
      <c r="AH1976" s="80" t="str">
        <f t="shared" si="324"/>
        <v>LCOQ4</v>
      </c>
    </row>
    <row r="1977" spans="25:34" x14ac:dyDescent="0.35">
      <c r="Y1977" s="74">
        <f t="shared" si="325"/>
        <v>45380</v>
      </c>
      <c r="Z1977" s="74" t="e">
        <f t="shared" ca="1" si="316"/>
        <v>#N/A</v>
      </c>
      <c r="AA1977" s="80" t="e">
        <f t="shared" ca="1" si="317"/>
        <v>#N/A</v>
      </c>
      <c r="AB1977" s="74" t="e">
        <f t="shared" si="319"/>
        <v>#N/A</v>
      </c>
      <c r="AC1977" s="80" t="str">
        <f t="shared" si="318"/>
        <v>LCOM4</v>
      </c>
      <c r="AD1977" s="80" t="str">
        <f t="shared" si="320"/>
        <v>CLM4</v>
      </c>
      <c r="AE1977" s="80" t="str">
        <f t="shared" si="321"/>
        <v>LCON4</v>
      </c>
      <c r="AF1977" s="80" t="str">
        <f t="shared" si="322"/>
        <v>CLN4</v>
      </c>
      <c r="AG1977" s="80" t="str">
        <f t="shared" si="323"/>
        <v>LCOQ4</v>
      </c>
      <c r="AH1977" s="80" t="str">
        <f t="shared" si="324"/>
        <v>LCOU4</v>
      </c>
    </row>
    <row r="1978" spans="25:34" x14ac:dyDescent="0.35">
      <c r="Y1978" s="74">
        <f t="shared" si="325"/>
        <v>45381</v>
      </c>
      <c r="Z1978" s="74" t="e">
        <f t="shared" ca="1" si="316"/>
        <v>#N/A</v>
      </c>
      <c r="AA1978" s="80" t="e">
        <f t="shared" ca="1" si="317"/>
        <v>#N/A</v>
      </c>
      <c r="AB1978" s="74" t="e">
        <f t="shared" si="319"/>
        <v>#N/A</v>
      </c>
      <c r="AC1978" s="80" t="str">
        <f t="shared" si="318"/>
        <v>LCOM4</v>
      </c>
      <c r="AD1978" s="80" t="str">
        <f t="shared" si="320"/>
        <v>CLM4</v>
      </c>
      <c r="AE1978" s="80" t="str">
        <f t="shared" si="321"/>
        <v>LCON4</v>
      </c>
      <c r="AF1978" s="80" t="str">
        <f t="shared" si="322"/>
        <v>CLN4</v>
      </c>
      <c r="AG1978" s="80" t="str">
        <f t="shared" si="323"/>
        <v>LCOQ4</v>
      </c>
      <c r="AH1978" s="80" t="str">
        <f t="shared" si="324"/>
        <v>LCOU4</v>
      </c>
    </row>
    <row r="1979" spans="25:34" x14ac:dyDescent="0.35">
      <c r="Y1979" s="74">
        <f t="shared" si="325"/>
        <v>45382</v>
      </c>
      <c r="Z1979" s="74" t="e">
        <f t="shared" ca="1" si="316"/>
        <v>#N/A</v>
      </c>
      <c r="AA1979" s="80" t="e">
        <f t="shared" ca="1" si="317"/>
        <v>#N/A</v>
      </c>
      <c r="AB1979" s="74" t="e">
        <f t="shared" si="319"/>
        <v>#N/A</v>
      </c>
      <c r="AC1979" s="80" t="str">
        <f t="shared" si="318"/>
        <v>LCOM4</v>
      </c>
      <c r="AD1979" s="80" t="str">
        <f t="shared" si="320"/>
        <v>CLM4</v>
      </c>
      <c r="AE1979" s="80" t="str">
        <f t="shared" si="321"/>
        <v>LCON4</v>
      </c>
      <c r="AF1979" s="80" t="str">
        <f t="shared" si="322"/>
        <v>CLN4</v>
      </c>
      <c r="AG1979" s="80" t="str">
        <f t="shared" si="323"/>
        <v>LCOQ4</v>
      </c>
      <c r="AH1979" s="80" t="str">
        <f t="shared" si="324"/>
        <v>LCOU4</v>
      </c>
    </row>
    <row r="1980" spans="25:34" x14ac:dyDescent="0.35">
      <c r="Y1980" s="74">
        <f t="shared" si="325"/>
        <v>45383</v>
      </c>
      <c r="Z1980" s="74" t="e">
        <f t="shared" ca="1" si="316"/>
        <v>#N/A</v>
      </c>
      <c r="AA1980" s="80" t="e">
        <f t="shared" ca="1" si="317"/>
        <v>#N/A</v>
      </c>
      <c r="AB1980" s="74" t="e">
        <f t="shared" si="319"/>
        <v>#N/A</v>
      </c>
      <c r="AC1980" s="80" t="str">
        <f t="shared" si="318"/>
        <v>LCOM4</v>
      </c>
      <c r="AD1980" s="80" t="str">
        <f t="shared" si="320"/>
        <v>CLM4</v>
      </c>
      <c r="AE1980" s="80" t="str">
        <f t="shared" si="321"/>
        <v>LCON4</v>
      </c>
      <c r="AF1980" s="80" t="str">
        <f t="shared" si="322"/>
        <v>CLN4</v>
      </c>
      <c r="AG1980" s="80" t="str">
        <f t="shared" si="323"/>
        <v>LCOQ4</v>
      </c>
      <c r="AH1980" s="80" t="str">
        <f t="shared" si="324"/>
        <v>LCOU4</v>
      </c>
    </row>
    <row r="1981" spans="25:34" x14ac:dyDescent="0.35">
      <c r="Y1981" s="74">
        <f t="shared" si="325"/>
        <v>45384</v>
      </c>
      <c r="Z1981" s="74" t="e">
        <f t="shared" ca="1" si="316"/>
        <v>#N/A</v>
      </c>
      <c r="AA1981" s="80" t="e">
        <f t="shared" ca="1" si="317"/>
        <v>#N/A</v>
      </c>
      <c r="AB1981" s="74" t="e">
        <f t="shared" si="319"/>
        <v>#N/A</v>
      </c>
      <c r="AC1981" s="80" t="str">
        <f t="shared" si="318"/>
        <v>LCOM4</v>
      </c>
      <c r="AD1981" s="80" t="str">
        <f t="shared" si="320"/>
        <v>CLM4</v>
      </c>
      <c r="AE1981" s="80" t="str">
        <f t="shared" si="321"/>
        <v>LCON4</v>
      </c>
      <c r="AF1981" s="80" t="str">
        <f t="shared" si="322"/>
        <v>CLN4</v>
      </c>
      <c r="AG1981" s="80" t="str">
        <f t="shared" si="323"/>
        <v>LCOQ4</v>
      </c>
      <c r="AH1981" s="80" t="str">
        <f t="shared" si="324"/>
        <v>LCOU4</v>
      </c>
    </row>
    <row r="1982" spans="25:34" x14ac:dyDescent="0.35">
      <c r="Y1982" s="74">
        <f t="shared" si="325"/>
        <v>45385</v>
      </c>
      <c r="Z1982" s="74" t="e">
        <f t="shared" ca="1" si="316"/>
        <v>#N/A</v>
      </c>
      <c r="AA1982" s="80" t="e">
        <f t="shared" ca="1" si="317"/>
        <v>#N/A</v>
      </c>
      <c r="AB1982" s="74" t="e">
        <f t="shared" si="319"/>
        <v>#N/A</v>
      </c>
      <c r="AC1982" s="80" t="str">
        <f t="shared" si="318"/>
        <v>LCOM4</v>
      </c>
      <c r="AD1982" s="80" t="str">
        <f t="shared" si="320"/>
        <v>CLM4</v>
      </c>
      <c r="AE1982" s="80" t="str">
        <f t="shared" si="321"/>
        <v>LCON4</v>
      </c>
      <c r="AF1982" s="80" t="str">
        <f t="shared" si="322"/>
        <v>CLN4</v>
      </c>
      <c r="AG1982" s="80" t="str">
        <f t="shared" si="323"/>
        <v>LCOQ4</v>
      </c>
      <c r="AH1982" s="80" t="str">
        <f t="shared" si="324"/>
        <v>LCOU4</v>
      </c>
    </row>
    <row r="1983" spans="25:34" x14ac:dyDescent="0.35">
      <c r="Y1983" s="74">
        <f t="shared" si="325"/>
        <v>45386</v>
      </c>
      <c r="Z1983" s="74" t="e">
        <f t="shared" ca="1" si="316"/>
        <v>#N/A</v>
      </c>
      <c r="AA1983" s="80" t="e">
        <f t="shared" ca="1" si="317"/>
        <v>#N/A</v>
      </c>
      <c r="AB1983" s="74" t="e">
        <f t="shared" si="319"/>
        <v>#N/A</v>
      </c>
      <c r="AC1983" s="80" t="str">
        <f t="shared" si="318"/>
        <v>LCOM4</v>
      </c>
      <c r="AD1983" s="80" t="str">
        <f t="shared" si="320"/>
        <v>CLM4</v>
      </c>
      <c r="AE1983" s="80" t="str">
        <f t="shared" si="321"/>
        <v>LCON4</v>
      </c>
      <c r="AF1983" s="80" t="str">
        <f t="shared" si="322"/>
        <v>CLN4</v>
      </c>
      <c r="AG1983" s="80" t="str">
        <f t="shared" si="323"/>
        <v>LCOQ4</v>
      </c>
      <c r="AH1983" s="80" t="str">
        <f t="shared" si="324"/>
        <v>LCOU4</v>
      </c>
    </row>
    <row r="1984" spans="25:34" x14ac:dyDescent="0.35">
      <c r="Y1984" s="74">
        <f t="shared" si="325"/>
        <v>45387</v>
      </c>
      <c r="Z1984" s="74" t="e">
        <f t="shared" ca="1" si="316"/>
        <v>#N/A</v>
      </c>
      <c r="AA1984" s="80" t="e">
        <f t="shared" ca="1" si="317"/>
        <v>#N/A</v>
      </c>
      <c r="AB1984" s="74" t="e">
        <f t="shared" si="319"/>
        <v>#N/A</v>
      </c>
      <c r="AC1984" s="80" t="str">
        <f t="shared" si="318"/>
        <v>LCOM4</v>
      </c>
      <c r="AD1984" s="80" t="str">
        <f t="shared" si="320"/>
        <v>CLM4</v>
      </c>
      <c r="AE1984" s="80" t="str">
        <f t="shared" si="321"/>
        <v>LCON4</v>
      </c>
      <c r="AF1984" s="80" t="str">
        <f t="shared" si="322"/>
        <v>CLN4</v>
      </c>
      <c r="AG1984" s="80" t="str">
        <f t="shared" si="323"/>
        <v>LCOQ4</v>
      </c>
      <c r="AH1984" s="80" t="str">
        <f t="shared" si="324"/>
        <v>LCOU4</v>
      </c>
    </row>
    <row r="1985" spans="25:34" x14ac:dyDescent="0.35">
      <c r="Y1985" s="74">
        <f t="shared" si="325"/>
        <v>45388</v>
      </c>
      <c r="Z1985" s="74" t="e">
        <f t="shared" ca="1" si="316"/>
        <v>#N/A</v>
      </c>
      <c r="AA1985" s="80" t="e">
        <f t="shared" ca="1" si="317"/>
        <v>#N/A</v>
      </c>
      <c r="AB1985" s="74" t="e">
        <f t="shared" si="319"/>
        <v>#N/A</v>
      </c>
      <c r="AC1985" s="80" t="str">
        <f t="shared" si="318"/>
        <v>LCOM4</v>
      </c>
      <c r="AD1985" s="80" t="str">
        <f t="shared" si="320"/>
        <v>CLM4</v>
      </c>
      <c r="AE1985" s="80" t="str">
        <f t="shared" si="321"/>
        <v>LCON4</v>
      </c>
      <c r="AF1985" s="80" t="str">
        <f t="shared" si="322"/>
        <v>CLN4</v>
      </c>
      <c r="AG1985" s="80" t="str">
        <f t="shared" si="323"/>
        <v>LCOQ4</v>
      </c>
      <c r="AH1985" s="80" t="str">
        <f t="shared" si="324"/>
        <v>LCOU4</v>
      </c>
    </row>
    <row r="1986" spans="25:34" x14ac:dyDescent="0.35">
      <c r="Y1986" s="74">
        <f t="shared" si="325"/>
        <v>45389</v>
      </c>
      <c r="Z1986" s="74" t="e">
        <f t="shared" ref="Z1986:Z2049" ca="1" si="326">VLOOKUP(AA1986,$I$2:$K$39,3,FALSE)</f>
        <v>#N/A</v>
      </c>
      <c r="AA1986" s="80" t="e">
        <f t="shared" ref="AA1986:AA2049" ca="1" si="327">LOOKUP(2,1/($J$2:$J$700&lt;=$Y1986)/($K$2:$K$700&gt;=$Y1986),$L$2:$L$700)</f>
        <v>#N/A</v>
      </c>
      <c r="AB1986" s="74" t="e">
        <f t="shared" si="319"/>
        <v>#N/A</v>
      </c>
      <c r="AC1986" s="80" t="str">
        <f t="shared" ref="AC1986:AC2049" si="328">LOOKUP(2,1/($R$2:$R$700&lt;=$Y1986)/($S$2:$S$700&gt;=$Y1986),$T$2:$T$700)</f>
        <v>LCOM4</v>
      </c>
      <c r="AD1986" s="80" t="str">
        <f t="shared" si="320"/>
        <v>CLM4</v>
      </c>
      <c r="AE1986" s="80" t="str">
        <f t="shared" si="321"/>
        <v>LCON4</v>
      </c>
      <c r="AF1986" s="80" t="str">
        <f t="shared" si="322"/>
        <v>CLN4</v>
      </c>
      <c r="AG1986" s="80" t="str">
        <f t="shared" si="323"/>
        <v>LCOQ4</v>
      </c>
      <c r="AH1986" s="80" t="str">
        <f t="shared" si="324"/>
        <v>LCOU4</v>
      </c>
    </row>
    <row r="1987" spans="25:34" x14ac:dyDescent="0.35">
      <c r="Y1987" s="74">
        <f t="shared" si="325"/>
        <v>45390</v>
      </c>
      <c r="Z1987" s="74" t="e">
        <f t="shared" ca="1" si="326"/>
        <v>#N/A</v>
      </c>
      <c r="AA1987" s="80" t="e">
        <f t="shared" ca="1" si="327"/>
        <v>#N/A</v>
      </c>
      <c r="AB1987" s="74" t="e">
        <f t="shared" ref="AB1987:AB2050" si="329">VLOOKUP(AC1987,$Q$2:$S$39,3,FALSE)</f>
        <v>#N/A</v>
      </c>
      <c r="AC1987" s="80" t="str">
        <f t="shared" si="328"/>
        <v>LCOM4</v>
      </c>
      <c r="AD1987" s="80" t="str">
        <f t="shared" ref="AD1987:AD2050" si="330">CONCATENATE("CL",RIGHT(AC1987,2))</f>
        <v>CLM4</v>
      </c>
      <c r="AE1987" s="80" t="str">
        <f t="shared" ref="AE1987:AE2050" si="331">LOOKUP(2,1/($R$2:$R$700&lt;=$Y1987)/($S$2:$S$700&gt;=$Y1987),$U$2:$U$700)</f>
        <v>LCON4</v>
      </c>
      <c r="AF1987" s="80" t="str">
        <f t="shared" ref="AF1987:AF2050" si="332">CONCATENATE("CL",RIGHT(AE1987,2))</f>
        <v>CLN4</v>
      </c>
      <c r="AG1987" s="80" t="str">
        <f t="shared" ref="AG1987:AG2050" si="333">LOOKUP(2,1/($R$2:$R$700&lt;=$Y1987)/($S$2:$S$700&gt;=$Y1987),$V$2:$V$700)</f>
        <v>LCOQ4</v>
      </c>
      <c r="AH1987" s="80" t="str">
        <f t="shared" ref="AH1987:AH2050" si="334">LOOKUP(2,1/($R$2:$R$700&lt;=$Y1987)/($S$2:$S$700&gt;=$Y1987),$W$2:$W$700)</f>
        <v>LCOU4</v>
      </c>
    </row>
    <row r="1988" spans="25:34" x14ac:dyDescent="0.35">
      <c r="Y1988" s="74">
        <f t="shared" si="325"/>
        <v>45391</v>
      </c>
      <c r="Z1988" s="74" t="e">
        <f t="shared" ca="1" si="326"/>
        <v>#N/A</v>
      </c>
      <c r="AA1988" s="80" t="e">
        <f t="shared" ca="1" si="327"/>
        <v>#N/A</v>
      </c>
      <c r="AB1988" s="74" t="e">
        <f t="shared" si="329"/>
        <v>#N/A</v>
      </c>
      <c r="AC1988" s="80" t="str">
        <f t="shared" si="328"/>
        <v>LCOM4</v>
      </c>
      <c r="AD1988" s="80" t="str">
        <f t="shared" si="330"/>
        <v>CLM4</v>
      </c>
      <c r="AE1988" s="80" t="str">
        <f t="shared" si="331"/>
        <v>LCON4</v>
      </c>
      <c r="AF1988" s="80" t="str">
        <f t="shared" si="332"/>
        <v>CLN4</v>
      </c>
      <c r="AG1988" s="80" t="str">
        <f t="shared" si="333"/>
        <v>LCOQ4</v>
      </c>
      <c r="AH1988" s="80" t="str">
        <f t="shared" si="334"/>
        <v>LCOU4</v>
      </c>
    </row>
    <row r="1989" spans="25:34" x14ac:dyDescent="0.35">
      <c r="Y1989" s="74">
        <f t="shared" si="325"/>
        <v>45392</v>
      </c>
      <c r="Z1989" s="74" t="e">
        <f t="shared" ca="1" si="326"/>
        <v>#N/A</v>
      </c>
      <c r="AA1989" s="80" t="e">
        <f t="shared" ca="1" si="327"/>
        <v>#N/A</v>
      </c>
      <c r="AB1989" s="74" t="e">
        <f t="shared" si="329"/>
        <v>#N/A</v>
      </c>
      <c r="AC1989" s="80" t="str">
        <f t="shared" si="328"/>
        <v>LCOM4</v>
      </c>
      <c r="AD1989" s="80" t="str">
        <f t="shared" si="330"/>
        <v>CLM4</v>
      </c>
      <c r="AE1989" s="80" t="str">
        <f t="shared" si="331"/>
        <v>LCON4</v>
      </c>
      <c r="AF1989" s="80" t="str">
        <f t="shared" si="332"/>
        <v>CLN4</v>
      </c>
      <c r="AG1989" s="80" t="str">
        <f t="shared" si="333"/>
        <v>LCOQ4</v>
      </c>
      <c r="AH1989" s="80" t="str">
        <f t="shared" si="334"/>
        <v>LCOU4</v>
      </c>
    </row>
    <row r="1990" spans="25:34" x14ac:dyDescent="0.35">
      <c r="Y1990" s="74">
        <f t="shared" si="325"/>
        <v>45393</v>
      </c>
      <c r="Z1990" s="74" t="e">
        <f t="shared" ca="1" si="326"/>
        <v>#N/A</v>
      </c>
      <c r="AA1990" s="80" t="e">
        <f t="shared" ca="1" si="327"/>
        <v>#N/A</v>
      </c>
      <c r="AB1990" s="74" t="e">
        <f t="shared" si="329"/>
        <v>#N/A</v>
      </c>
      <c r="AC1990" s="80" t="str">
        <f t="shared" si="328"/>
        <v>LCOM4</v>
      </c>
      <c r="AD1990" s="80" t="str">
        <f t="shared" si="330"/>
        <v>CLM4</v>
      </c>
      <c r="AE1990" s="80" t="str">
        <f t="shared" si="331"/>
        <v>LCON4</v>
      </c>
      <c r="AF1990" s="80" t="str">
        <f t="shared" si="332"/>
        <v>CLN4</v>
      </c>
      <c r="AG1990" s="80" t="str">
        <f t="shared" si="333"/>
        <v>LCOQ4</v>
      </c>
      <c r="AH1990" s="80" t="str">
        <f t="shared" si="334"/>
        <v>LCOU4</v>
      </c>
    </row>
    <row r="1991" spans="25:34" x14ac:dyDescent="0.35">
      <c r="Y1991" s="74">
        <f t="shared" si="325"/>
        <v>45394</v>
      </c>
      <c r="Z1991" s="74" t="e">
        <f t="shared" ca="1" si="326"/>
        <v>#N/A</v>
      </c>
      <c r="AA1991" s="80" t="e">
        <f t="shared" ca="1" si="327"/>
        <v>#N/A</v>
      </c>
      <c r="AB1991" s="74" t="e">
        <f t="shared" si="329"/>
        <v>#N/A</v>
      </c>
      <c r="AC1991" s="80" t="str">
        <f t="shared" si="328"/>
        <v>LCOM4</v>
      </c>
      <c r="AD1991" s="80" t="str">
        <f t="shared" si="330"/>
        <v>CLM4</v>
      </c>
      <c r="AE1991" s="80" t="str">
        <f t="shared" si="331"/>
        <v>LCON4</v>
      </c>
      <c r="AF1991" s="80" t="str">
        <f t="shared" si="332"/>
        <v>CLN4</v>
      </c>
      <c r="AG1991" s="80" t="str">
        <f t="shared" si="333"/>
        <v>LCOQ4</v>
      </c>
      <c r="AH1991" s="80" t="str">
        <f t="shared" si="334"/>
        <v>LCOU4</v>
      </c>
    </row>
    <row r="1992" spans="25:34" x14ac:dyDescent="0.35">
      <c r="Y1992" s="74">
        <f t="shared" si="325"/>
        <v>45395</v>
      </c>
      <c r="Z1992" s="74" t="e">
        <f t="shared" ca="1" si="326"/>
        <v>#N/A</v>
      </c>
      <c r="AA1992" s="80" t="e">
        <f t="shared" ca="1" si="327"/>
        <v>#N/A</v>
      </c>
      <c r="AB1992" s="74" t="e">
        <f t="shared" si="329"/>
        <v>#N/A</v>
      </c>
      <c r="AC1992" s="80" t="str">
        <f t="shared" si="328"/>
        <v>LCOM4</v>
      </c>
      <c r="AD1992" s="80" t="str">
        <f t="shared" si="330"/>
        <v>CLM4</v>
      </c>
      <c r="AE1992" s="80" t="str">
        <f t="shared" si="331"/>
        <v>LCON4</v>
      </c>
      <c r="AF1992" s="80" t="str">
        <f t="shared" si="332"/>
        <v>CLN4</v>
      </c>
      <c r="AG1992" s="80" t="str">
        <f t="shared" si="333"/>
        <v>LCOQ4</v>
      </c>
      <c r="AH1992" s="80" t="str">
        <f t="shared" si="334"/>
        <v>LCOU4</v>
      </c>
    </row>
    <row r="1993" spans="25:34" x14ac:dyDescent="0.35">
      <c r="Y1993" s="74">
        <f t="shared" si="325"/>
        <v>45396</v>
      </c>
      <c r="Z1993" s="74" t="e">
        <f t="shared" ca="1" si="326"/>
        <v>#N/A</v>
      </c>
      <c r="AA1993" s="80" t="e">
        <f t="shared" ca="1" si="327"/>
        <v>#N/A</v>
      </c>
      <c r="AB1993" s="74" t="e">
        <f t="shared" si="329"/>
        <v>#N/A</v>
      </c>
      <c r="AC1993" s="80" t="str">
        <f t="shared" si="328"/>
        <v>LCOM4</v>
      </c>
      <c r="AD1993" s="80" t="str">
        <f t="shared" si="330"/>
        <v>CLM4</v>
      </c>
      <c r="AE1993" s="80" t="str">
        <f t="shared" si="331"/>
        <v>LCON4</v>
      </c>
      <c r="AF1993" s="80" t="str">
        <f t="shared" si="332"/>
        <v>CLN4</v>
      </c>
      <c r="AG1993" s="80" t="str">
        <f t="shared" si="333"/>
        <v>LCOQ4</v>
      </c>
      <c r="AH1993" s="80" t="str">
        <f t="shared" si="334"/>
        <v>LCOU4</v>
      </c>
    </row>
    <row r="1994" spans="25:34" x14ac:dyDescent="0.35">
      <c r="Y1994" s="74">
        <f t="shared" si="325"/>
        <v>45397</v>
      </c>
      <c r="Z1994" s="74" t="e">
        <f t="shared" ca="1" si="326"/>
        <v>#N/A</v>
      </c>
      <c r="AA1994" s="80" t="e">
        <f t="shared" ca="1" si="327"/>
        <v>#N/A</v>
      </c>
      <c r="AB1994" s="74" t="e">
        <f t="shared" si="329"/>
        <v>#N/A</v>
      </c>
      <c r="AC1994" s="80" t="str">
        <f t="shared" si="328"/>
        <v>LCOM4</v>
      </c>
      <c r="AD1994" s="80" t="str">
        <f t="shared" si="330"/>
        <v>CLM4</v>
      </c>
      <c r="AE1994" s="80" t="str">
        <f t="shared" si="331"/>
        <v>LCON4</v>
      </c>
      <c r="AF1994" s="80" t="str">
        <f t="shared" si="332"/>
        <v>CLN4</v>
      </c>
      <c r="AG1994" s="80" t="str">
        <f t="shared" si="333"/>
        <v>LCOQ4</v>
      </c>
      <c r="AH1994" s="80" t="str">
        <f t="shared" si="334"/>
        <v>LCOU4</v>
      </c>
    </row>
    <row r="1995" spans="25:34" x14ac:dyDescent="0.35">
      <c r="Y1995" s="74">
        <f t="shared" si="325"/>
        <v>45398</v>
      </c>
      <c r="Z1995" s="74" t="e">
        <f t="shared" ca="1" si="326"/>
        <v>#N/A</v>
      </c>
      <c r="AA1995" s="80" t="e">
        <f t="shared" ca="1" si="327"/>
        <v>#N/A</v>
      </c>
      <c r="AB1995" s="74" t="e">
        <f t="shared" si="329"/>
        <v>#N/A</v>
      </c>
      <c r="AC1995" s="80" t="str">
        <f t="shared" si="328"/>
        <v>LCOM4</v>
      </c>
      <c r="AD1995" s="80" t="str">
        <f t="shared" si="330"/>
        <v>CLM4</v>
      </c>
      <c r="AE1995" s="80" t="str">
        <f t="shared" si="331"/>
        <v>LCON4</v>
      </c>
      <c r="AF1995" s="80" t="str">
        <f t="shared" si="332"/>
        <v>CLN4</v>
      </c>
      <c r="AG1995" s="80" t="str">
        <f t="shared" si="333"/>
        <v>LCOQ4</v>
      </c>
      <c r="AH1995" s="80" t="str">
        <f t="shared" si="334"/>
        <v>LCOU4</v>
      </c>
    </row>
    <row r="1996" spans="25:34" x14ac:dyDescent="0.35">
      <c r="Y1996" s="74">
        <f t="shared" si="325"/>
        <v>45399</v>
      </c>
      <c r="Z1996" s="74" t="e">
        <f t="shared" ca="1" si="326"/>
        <v>#N/A</v>
      </c>
      <c r="AA1996" s="80" t="e">
        <f t="shared" ca="1" si="327"/>
        <v>#N/A</v>
      </c>
      <c r="AB1996" s="74" t="e">
        <f t="shared" si="329"/>
        <v>#N/A</v>
      </c>
      <c r="AC1996" s="80" t="str">
        <f t="shared" si="328"/>
        <v>LCOM4</v>
      </c>
      <c r="AD1996" s="80" t="str">
        <f t="shared" si="330"/>
        <v>CLM4</v>
      </c>
      <c r="AE1996" s="80" t="str">
        <f t="shared" si="331"/>
        <v>LCON4</v>
      </c>
      <c r="AF1996" s="80" t="str">
        <f t="shared" si="332"/>
        <v>CLN4</v>
      </c>
      <c r="AG1996" s="80" t="str">
        <f t="shared" si="333"/>
        <v>LCOQ4</v>
      </c>
      <c r="AH1996" s="80" t="str">
        <f t="shared" si="334"/>
        <v>LCOU4</v>
      </c>
    </row>
    <row r="1997" spans="25:34" x14ac:dyDescent="0.35">
      <c r="Y1997" s="74">
        <f t="shared" si="325"/>
        <v>45400</v>
      </c>
      <c r="Z1997" s="74" t="e">
        <f t="shared" ca="1" si="326"/>
        <v>#N/A</v>
      </c>
      <c r="AA1997" s="80" t="e">
        <f t="shared" ca="1" si="327"/>
        <v>#N/A</v>
      </c>
      <c r="AB1997" s="74" t="e">
        <f t="shared" si="329"/>
        <v>#N/A</v>
      </c>
      <c r="AC1997" s="80" t="str">
        <f t="shared" si="328"/>
        <v>LCOM4</v>
      </c>
      <c r="AD1997" s="80" t="str">
        <f t="shared" si="330"/>
        <v>CLM4</v>
      </c>
      <c r="AE1997" s="80" t="str">
        <f t="shared" si="331"/>
        <v>LCON4</v>
      </c>
      <c r="AF1997" s="80" t="str">
        <f t="shared" si="332"/>
        <v>CLN4</v>
      </c>
      <c r="AG1997" s="80" t="str">
        <f t="shared" si="333"/>
        <v>LCOQ4</v>
      </c>
      <c r="AH1997" s="80" t="str">
        <f t="shared" si="334"/>
        <v>LCOU4</v>
      </c>
    </row>
    <row r="1998" spans="25:34" x14ac:dyDescent="0.35">
      <c r="Y1998" s="74">
        <f t="shared" si="325"/>
        <v>45401</v>
      </c>
      <c r="Z1998" s="74" t="e">
        <f t="shared" ca="1" si="326"/>
        <v>#N/A</v>
      </c>
      <c r="AA1998" s="80" t="e">
        <f t="shared" ca="1" si="327"/>
        <v>#N/A</v>
      </c>
      <c r="AB1998" s="74" t="e">
        <f t="shared" si="329"/>
        <v>#N/A</v>
      </c>
      <c r="AC1998" s="80" t="str">
        <f t="shared" si="328"/>
        <v>LCOM4</v>
      </c>
      <c r="AD1998" s="80" t="str">
        <f t="shared" si="330"/>
        <v>CLM4</v>
      </c>
      <c r="AE1998" s="80" t="str">
        <f t="shared" si="331"/>
        <v>LCON4</v>
      </c>
      <c r="AF1998" s="80" t="str">
        <f t="shared" si="332"/>
        <v>CLN4</v>
      </c>
      <c r="AG1998" s="80" t="str">
        <f t="shared" si="333"/>
        <v>LCOQ4</v>
      </c>
      <c r="AH1998" s="80" t="str">
        <f t="shared" si="334"/>
        <v>LCOU4</v>
      </c>
    </row>
    <row r="1999" spans="25:34" x14ac:dyDescent="0.35">
      <c r="Y1999" s="74">
        <f t="shared" si="325"/>
        <v>45402</v>
      </c>
      <c r="Z1999" s="74" t="e">
        <f t="shared" ca="1" si="326"/>
        <v>#N/A</v>
      </c>
      <c r="AA1999" s="80" t="e">
        <f t="shared" ca="1" si="327"/>
        <v>#N/A</v>
      </c>
      <c r="AB1999" s="74" t="e">
        <f t="shared" si="329"/>
        <v>#N/A</v>
      </c>
      <c r="AC1999" s="80" t="str">
        <f t="shared" si="328"/>
        <v>LCOM4</v>
      </c>
      <c r="AD1999" s="80" t="str">
        <f t="shared" si="330"/>
        <v>CLM4</v>
      </c>
      <c r="AE1999" s="80" t="str">
        <f t="shared" si="331"/>
        <v>LCON4</v>
      </c>
      <c r="AF1999" s="80" t="str">
        <f t="shared" si="332"/>
        <v>CLN4</v>
      </c>
      <c r="AG1999" s="80" t="str">
        <f t="shared" si="333"/>
        <v>LCOQ4</v>
      </c>
      <c r="AH1999" s="80" t="str">
        <f t="shared" si="334"/>
        <v>LCOU4</v>
      </c>
    </row>
    <row r="2000" spans="25:34" x14ac:dyDescent="0.35">
      <c r="Y2000" s="74">
        <f t="shared" si="325"/>
        <v>45403</v>
      </c>
      <c r="Z2000" s="74" t="e">
        <f t="shared" ca="1" si="326"/>
        <v>#N/A</v>
      </c>
      <c r="AA2000" s="80" t="e">
        <f t="shared" ca="1" si="327"/>
        <v>#N/A</v>
      </c>
      <c r="AB2000" s="74" t="e">
        <f t="shared" si="329"/>
        <v>#N/A</v>
      </c>
      <c r="AC2000" s="80" t="str">
        <f t="shared" si="328"/>
        <v>LCOM4</v>
      </c>
      <c r="AD2000" s="80" t="str">
        <f t="shared" si="330"/>
        <v>CLM4</v>
      </c>
      <c r="AE2000" s="80" t="str">
        <f t="shared" si="331"/>
        <v>LCON4</v>
      </c>
      <c r="AF2000" s="80" t="str">
        <f t="shared" si="332"/>
        <v>CLN4</v>
      </c>
      <c r="AG2000" s="80" t="str">
        <f t="shared" si="333"/>
        <v>LCOQ4</v>
      </c>
      <c r="AH2000" s="80" t="str">
        <f t="shared" si="334"/>
        <v>LCOU4</v>
      </c>
    </row>
    <row r="2001" spans="25:34" x14ac:dyDescent="0.35">
      <c r="Y2001" s="74">
        <f t="shared" si="325"/>
        <v>45404</v>
      </c>
      <c r="Z2001" s="74" t="e">
        <f t="shared" ca="1" si="326"/>
        <v>#N/A</v>
      </c>
      <c r="AA2001" s="80" t="e">
        <f t="shared" ca="1" si="327"/>
        <v>#N/A</v>
      </c>
      <c r="AB2001" s="74" t="e">
        <f t="shared" si="329"/>
        <v>#N/A</v>
      </c>
      <c r="AC2001" s="80" t="str">
        <f t="shared" si="328"/>
        <v>LCOM4</v>
      </c>
      <c r="AD2001" s="80" t="str">
        <f t="shared" si="330"/>
        <v>CLM4</v>
      </c>
      <c r="AE2001" s="80" t="str">
        <f t="shared" si="331"/>
        <v>LCON4</v>
      </c>
      <c r="AF2001" s="80" t="str">
        <f t="shared" si="332"/>
        <v>CLN4</v>
      </c>
      <c r="AG2001" s="80" t="str">
        <f t="shared" si="333"/>
        <v>LCOQ4</v>
      </c>
      <c r="AH2001" s="80" t="str">
        <f t="shared" si="334"/>
        <v>LCOU4</v>
      </c>
    </row>
    <row r="2002" spans="25:34" x14ac:dyDescent="0.35">
      <c r="Y2002" s="74">
        <f t="shared" si="325"/>
        <v>45405</v>
      </c>
      <c r="Z2002" s="74" t="e">
        <f t="shared" ca="1" si="326"/>
        <v>#N/A</v>
      </c>
      <c r="AA2002" s="80" t="e">
        <f t="shared" ca="1" si="327"/>
        <v>#N/A</v>
      </c>
      <c r="AB2002" s="74" t="e">
        <f t="shared" si="329"/>
        <v>#N/A</v>
      </c>
      <c r="AC2002" s="80" t="str">
        <f t="shared" si="328"/>
        <v>LCOM4</v>
      </c>
      <c r="AD2002" s="80" t="str">
        <f t="shared" si="330"/>
        <v>CLM4</v>
      </c>
      <c r="AE2002" s="80" t="str">
        <f t="shared" si="331"/>
        <v>LCON4</v>
      </c>
      <c r="AF2002" s="80" t="str">
        <f t="shared" si="332"/>
        <v>CLN4</v>
      </c>
      <c r="AG2002" s="80" t="str">
        <f t="shared" si="333"/>
        <v>LCOQ4</v>
      </c>
      <c r="AH2002" s="80" t="str">
        <f t="shared" si="334"/>
        <v>LCOU4</v>
      </c>
    </row>
    <row r="2003" spans="25:34" x14ac:dyDescent="0.35">
      <c r="Y2003" s="74">
        <f t="shared" si="325"/>
        <v>45406</v>
      </c>
      <c r="Z2003" s="74" t="e">
        <f t="shared" ca="1" si="326"/>
        <v>#N/A</v>
      </c>
      <c r="AA2003" s="80" t="e">
        <f t="shared" ca="1" si="327"/>
        <v>#N/A</v>
      </c>
      <c r="AB2003" s="74" t="e">
        <f t="shared" si="329"/>
        <v>#N/A</v>
      </c>
      <c r="AC2003" s="80" t="str">
        <f t="shared" si="328"/>
        <v>LCOM4</v>
      </c>
      <c r="AD2003" s="80" t="str">
        <f t="shared" si="330"/>
        <v>CLM4</v>
      </c>
      <c r="AE2003" s="80" t="str">
        <f t="shared" si="331"/>
        <v>LCON4</v>
      </c>
      <c r="AF2003" s="80" t="str">
        <f t="shared" si="332"/>
        <v>CLN4</v>
      </c>
      <c r="AG2003" s="80" t="str">
        <f t="shared" si="333"/>
        <v>LCOQ4</v>
      </c>
      <c r="AH2003" s="80" t="str">
        <f t="shared" si="334"/>
        <v>LCOU4</v>
      </c>
    </row>
    <row r="2004" spans="25:34" x14ac:dyDescent="0.35">
      <c r="Y2004" s="74">
        <f t="shared" si="325"/>
        <v>45407</v>
      </c>
      <c r="Z2004" s="74" t="e">
        <f t="shared" ca="1" si="326"/>
        <v>#N/A</v>
      </c>
      <c r="AA2004" s="80" t="e">
        <f t="shared" ca="1" si="327"/>
        <v>#N/A</v>
      </c>
      <c r="AB2004" s="74" t="e">
        <f t="shared" si="329"/>
        <v>#N/A</v>
      </c>
      <c r="AC2004" s="80" t="str">
        <f t="shared" si="328"/>
        <v>LCOM4</v>
      </c>
      <c r="AD2004" s="80" t="str">
        <f t="shared" si="330"/>
        <v>CLM4</v>
      </c>
      <c r="AE2004" s="80" t="str">
        <f t="shared" si="331"/>
        <v>LCON4</v>
      </c>
      <c r="AF2004" s="80" t="str">
        <f t="shared" si="332"/>
        <v>CLN4</v>
      </c>
      <c r="AG2004" s="80" t="str">
        <f t="shared" si="333"/>
        <v>LCOQ4</v>
      </c>
      <c r="AH2004" s="80" t="str">
        <f t="shared" si="334"/>
        <v>LCOU4</v>
      </c>
    </row>
    <row r="2005" spans="25:34" x14ac:dyDescent="0.35">
      <c r="Y2005" s="74">
        <f t="shared" si="325"/>
        <v>45408</v>
      </c>
      <c r="Z2005" s="74" t="e">
        <f t="shared" ca="1" si="326"/>
        <v>#N/A</v>
      </c>
      <c r="AA2005" s="80" t="e">
        <f t="shared" ca="1" si="327"/>
        <v>#N/A</v>
      </c>
      <c r="AB2005" s="74" t="e">
        <f t="shared" si="329"/>
        <v>#N/A</v>
      </c>
      <c r="AC2005" s="80" t="str">
        <f t="shared" si="328"/>
        <v>LCOM4</v>
      </c>
      <c r="AD2005" s="80" t="str">
        <f t="shared" si="330"/>
        <v>CLM4</v>
      </c>
      <c r="AE2005" s="80" t="str">
        <f t="shared" si="331"/>
        <v>LCON4</v>
      </c>
      <c r="AF2005" s="80" t="str">
        <f t="shared" si="332"/>
        <v>CLN4</v>
      </c>
      <c r="AG2005" s="80" t="str">
        <f t="shared" si="333"/>
        <v>LCOQ4</v>
      </c>
      <c r="AH2005" s="80" t="str">
        <f t="shared" si="334"/>
        <v>LCOU4</v>
      </c>
    </row>
    <row r="2006" spans="25:34" x14ac:dyDescent="0.35">
      <c r="Y2006" s="74">
        <f t="shared" si="325"/>
        <v>45409</v>
      </c>
      <c r="Z2006" s="74" t="e">
        <f t="shared" ca="1" si="326"/>
        <v>#N/A</v>
      </c>
      <c r="AA2006" s="80" t="e">
        <f t="shared" ca="1" si="327"/>
        <v>#N/A</v>
      </c>
      <c r="AB2006" s="74" t="e">
        <f t="shared" si="329"/>
        <v>#N/A</v>
      </c>
      <c r="AC2006" s="80" t="str">
        <f t="shared" si="328"/>
        <v>LCOM4</v>
      </c>
      <c r="AD2006" s="80" t="str">
        <f t="shared" si="330"/>
        <v>CLM4</v>
      </c>
      <c r="AE2006" s="80" t="str">
        <f t="shared" si="331"/>
        <v>LCON4</v>
      </c>
      <c r="AF2006" s="80" t="str">
        <f t="shared" si="332"/>
        <v>CLN4</v>
      </c>
      <c r="AG2006" s="80" t="str">
        <f t="shared" si="333"/>
        <v>LCOQ4</v>
      </c>
      <c r="AH2006" s="80" t="str">
        <f t="shared" si="334"/>
        <v>LCOU4</v>
      </c>
    </row>
    <row r="2007" spans="25:34" x14ac:dyDescent="0.35">
      <c r="Y2007" s="74">
        <f t="shared" si="325"/>
        <v>45410</v>
      </c>
      <c r="Z2007" s="74" t="e">
        <f t="shared" ca="1" si="326"/>
        <v>#N/A</v>
      </c>
      <c r="AA2007" s="80" t="e">
        <f t="shared" ca="1" si="327"/>
        <v>#N/A</v>
      </c>
      <c r="AB2007" s="74" t="e">
        <f t="shared" si="329"/>
        <v>#N/A</v>
      </c>
      <c r="AC2007" s="80" t="str">
        <f t="shared" si="328"/>
        <v>LCOM4</v>
      </c>
      <c r="AD2007" s="80" t="str">
        <f t="shared" si="330"/>
        <v>CLM4</v>
      </c>
      <c r="AE2007" s="80" t="str">
        <f t="shared" si="331"/>
        <v>LCON4</v>
      </c>
      <c r="AF2007" s="80" t="str">
        <f t="shared" si="332"/>
        <v>CLN4</v>
      </c>
      <c r="AG2007" s="80" t="str">
        <f t="shared" si="333"/>
        <v>LCOQ4</v>
      </c>
      <c r="AH2007" s="80" t="str">
        <f t="shared" si="334"/>
        <v>LCOU4</v>
      </c>
    </row>
    <row r="2008" spans="25:34" x14ac:dyDescent="0.35">
      <c r="Y2008" s="74">
        <f t="shared" si="325"/>
        <v>45411</v>
      </c>
      <c r="Z2008" s="74" t="e">
        <f t="shared" ca="1" si="326"/>
        <v>#N/A</v>
      </c>
      <c r="AA2008" s="80" t="e">
        <f t="shared" ca="1" si="327"/>
        <v>#N/A</v>
      </c>
      <c r="AB2008" s="74" t="e">
        <f t="shared" si="329"/>
        <v>#N/A</v>
      </c>
      <c r="AC2008" s="80" t="str">
        <f t="shared" si="328"/>
        <v>LCOM4</v>
      </c>
      <c r="AD2008" s="80" t="str">
        <f t="shared" si="330"/>
        <v>CLM4</v>
      </c>
      <c r="AE2008" s="80" t="str">
        <f t="shared" si="331"/>
        <v>LCON4</v>
      </c>
      <c r="AF2008" s="80" t="str">
        <f t="shared" si="332"/>
        <v>CLN4</v>
      </c>
      <c r="AG2008" s="80" t="str">
        <f t="shared" si="333"/>
        <v>LCOQ4</v>
      </c>
      <c r="AH2008" s="80" t="str">
        <f t="shared" si="334"/>
        <v>LCOU4</v>
      </c>
    </row>
    <row r="2009" spans="25:34" x14ac:dyDescent="0.35">
      <c r="Y2009" s="74">
        <f t="shared" si="325"/>
        <v>45412</v>
      </c>
      <c r="Z2009" s="74" t="e">
        <f t="shared" ca="1" si="326"/>
        <v>#N/A</v>
      </c>
      <c r="AA2009" s="80" t="e">
        <f t="shared" ca="1" si="327"/>
        <v>#N/A</v>
      </c>
      <c r="AB2009" s="74" t="e">
        <f t="shared" si="329"/>
        <v>#N/A</v>
      </c>
      <c r="AC2009" s="80" t="str">
        <f t="shared" si="328"/>
        <v>LCOM4</v>
      </c>
      <c r="AD2009" s="80" t="str">
        <f t="shared" si="330"/>
        <v>CLM4</v>
      </c>
      <c r="AE2009" s="80" t="str">
        <f t="shared" si="331"/>
        <v>LCON4</v>
      </c>
      <c r="AF2009" s="80" t="str">
        <f t="shared" si="332"/>
        <v>CLN4</v>
      </c>
      <c r="AG2009" s="80" t="str">
        <f t="shared" si="333"/>
        <v>LCOQ4</v>
      </c>
      <c r="AH2009" s="80" t="str">
        <f t="shared" si="334"/>
        <v>LCOU4</v>
      </c>
    </row>
    <row r="2010" spans="25:34" x14ac:dyDescent="0.35">
      <c r="Y2010" s="74">
        <f t="shared" si="325"/>
        <v>45413</v>
      </c>
      <c r="Z2010" s="74" t="e">
        <f t="shared" ca="1" si="326"/>
        <v>#N/A</v>
      </c>
      <c r="AA2010" s="80" t="e">
        <f t="shared" ca="1" si="327"/>
        <v>#N/A</v>
      </c>
      <c r="AB2010" s="74" t="e">
        <f t="shared" si="329"/>
        <v>#N/A</v>
      </c>
      <c r="AC2010" s="80" t="str">
        <f t="shared" si="328"/>
        <v>LCON4</v>
      </c>
      <c r="AD2010" s="80" t="str">
        <f t="shared" si="330"/>
        <v>CLN4</v>
      </c>
      <c r="AE2010" s="80" t="str">
        <f t="shared" si="331"/>
        <v>LCOQ4</v>
      </c>
      <c r="AF2010" s="80" t="str">
        <f t="shared" si="332"/>
        <v>CLQ4</v>
      </c>
      <c r="AG2010" s="80" t="str">
        <f t="shared" si="333"/>
        <v>LCOU4</v>
      </c>
      <c r="AH2010" s="80" t="str">
        <f t="shared" si="334"/>
        <v>LCOV4</v>
      </c>
    </row>
    <row r="2011" spans="25:34" x14ac:dyDescent="0.35">
      <c r="Y2011" s="74">
        <f t="shared" si="325"/>
        <v>45414</v>
      </c>
      <c r="Z2011" s="74" t="e">
        <f t="shared" ca="1" si="326"/>
        <v>#N/A</v>
      </c>
      <c r="AA2011" s="80" t="e">
        <f t="shared" ca="1" si="327"/>
        <v>#N/A</v>
      </c>
      <c r="AB2011" s="74" t="e">
        <f t="shared" si="329"/>
        <v>#N/A</v>
      </c>
      <c r="AC2011" s="80" t="str">
        <f t="shared" si="328"/>
        <v>LCON4</v>
      </c>
      <c r="AD2011" s="80" t="str">
        <f t="shared" si="330"/>
        <v>CLN4</v>
      </c>
      <c r="AE2011" s="80" t="str">
        <f t="shared" si="331"/>
        <v>LCOQ4</v>
      </c>
      <c r="AF2011" s="80" t="str">
        <f t="shared" si="332"/>
        <v>CLQ4</v>
      </c>
      <c r="AG2011" s="80" t="str">
        <f t="shared" si="333"/>
        <v>LCOU4</v>
      </c>
      <c r="AH2011" s="80" t="str">
        <f t="shared" si="334"/>
        <v>LCOV4</v>
      </c>
    </row>
    <row r="2012" spans="25:34" x14ac:dyDescent="0.35">
      <c r="Y2012" s="74">
        <f t="shared" si="325"/>
        <v>45415</v>
      </c>
      <c r="Z2012" s="74" t="e">
        <f t="shared" ca="1" si="326"/>
        <v>#N/A</v>
      </c>
      <c r="AA2012" s="80" t="e">
        <f t="shared" ca="1" si="327"/>
        <v>#N/A</v>
      </c>
      <c r="AB2012" s="74" t="e">
        <f t="shared" si="329"/>
        <v>#N/A</v>
      </c>
      <c r="AC2012" s="80" t="str">
        <f t="shared" si="328"/>
        <v>LCON4</v>
      </c>
      <c r="AD2012" s="80" t="str">
        <f t="shared" si="330"/>
        <v>CLN4</v>
      </c>
      <c r="AE2012" s="80" t="str">
        <f t="shared" si="331"/>
        <v>LCOQ4</v>
      </c>
      <c r="AF2012" s="80" t="str">
        <f t="shared" si="332"/>
        <v>CLQ4</v>
      </c>
      <c r="AG2012" s="80" t="str">
        <f t="shared" si="333"/>
        <v>LCOU4</v>
      </c>
      <c r="AH2012" s="80" t="str">
        <f t="shared" si="334"/>
        <v>LCOV4</v>
      </c>
    </row>
    <row r="2013" spans="25:34" x14ac:dyDescent="0.35">
      <c r="Y2013" s="74">
        <f t="shared" si="325"/>
        <v>45416</v>
      </c>
      <c r="Z2013" s="74" t="e">
        <f t="shared" ca="1" si="326"/>
        <v>#N/A</v>
      </c>
      <c r="AA2013" s="80" t="e">
        <f t="shared" ca="1" si="327"/>
        <v>#N/A</v>
      </c>
      <c r="AB2013" s="74" t="e">
        <f t="shared" si="329"/>
        <v>#N/A</v>
      </c>
      <c r="AC2013" s="80" t="str">
        <f t="shared" si="328"/>
        <v>LCON4</v>
      </c>
      <c r="AD2013" s="80" t="str">
        <f t="shared" si="330"/>
        <v>CLN4</v>
      </c>
      <c r="AE2013" s="80" t="str">
        <f t="shared" si="331"/>
        <v>LCOQ4</v>
      </c>
      <c r="AF2013" s="80" t="str">
        <f t="shared" si="332"/>
        <v>CLQ4</v>
      </c>
      <c r="AG2013" s="80" t="str">
        <f t="shared" si="333"/>
        <v>LCOU4</v>
      </c>
      <c r="AH2013" s="80" t="str">
        <f t="shared" si="334"/>
        <v>LCOV4</v>
      </c>
    </row>
    <row r="2014" spans="25:34" x14ac:dyDescent="0.35">
      <c r="Y2014" s="74">
        <f t="shared" si="325"/>
        <v>45417</v>
      </c>
      <c r="Z2014" s="74" t="e">
        <f t="shared" ca="1" si="326"/>
        <v>#N/A</v>
      </c>
      <c r="AA2014" s="80" t="e">
        <f t="shared" ca="1" si="327"/>
        <v>#N/A</v>
      </c>
      <c r="AB2014" s="74" t="e">
        <f t="shared" si="329"/>
        <v>#N/A</v>
      </c>
      <c r="AC2014" s="80" t="str">
        <f t="shared" si="328"/>
        <v>LCON4</v>
      </c>
      <c r="AD2014" s="80" t="str">
        <f t="shared" si="330"/>
        <v>CLN4</v>
      </c>
      <c r="AE2014" s="80" t="str">
        <f t="shared" si="331"/>
        <v>LCOQ4</v>
      </c>
      <c r="AF2014" s="80" t="str">
        <f t="shared" si="332"/>
        <v>CLQ4</v>
      </c>
      <c r="AG2014" s="80" t="str">
        <f t="shared" si="333"/>
        <v>LCOU4</v>
      </c>
      <c r="AH2014" s="80" t="str">
        <f t="shared" si="334"/>
        <v>LCOV4</v>
      </c>
    </row>
    <row r="2015" spans="25:34" x14ac:dyDescent="0.35">
      <c r="Y2015" s="74">
        <f t="shared" si="325"/>
        <v>45418</v>
      </c>
      <c r="Z2015" s="74" t="e">
        <f t="shared" ca="1" si="326"/>
        <v>#N/A</v>
      </c>
      <c r="AA2015" s="80" t="e">
        <f t="shared" ca="1" si="327"/>
        <v>#N/A</v>
      </c>
      <c r="AB2015" s="74" t="e">
        <f t="shared" si="329"/>
        <v>#N/A</v>
      </c>
      <c r="AC2015" s="80" t="str">
        <f t="shared" si="328"/>
        <v>LCON4</v>
      </c>
      <c r="AD2015" s="80" t="str">
        <f t="shared" si="330"/>
        <v>CLN4</v>
      </c>
      <c r="AE2015" s="80" t="str">
        <f t="shared" si="331"/>
        <v>LCOQ4</v>
      </c>
      <c r="AF2015" s="80" t="str">
        <f t="shared" si="332"/>
        <v>CLQ4</v>
      </c>
      <c r="AG2015" s="80" t="str">
        <f t="shared" si="333"/>
        <v>LCOU4</v>
      </c>
      <c r="AH2015" s="80" t="str">
        <f t="shared" si="334"/>
        <v>LCOV4</v>
      </c>
    </row>
    <row r="2016" spans="25:34" x14ac:dyDescent="0.35">
      <c r="Y2016" s="74">
        <f t="shared" si="325"/>
        <v>45419</v>
      </c>
      <c r="Z2016" s="74" t="e">
        <f t="shared" ca="1" si="326"/>
        <v>#N/A</v>
      </c>
      <c r="AA2016" s="80" t="e">
        <f t="shared" ca="1" si="327"/>
        <v>#N/A</v>
      </c>
      <c r="AB2016" s="74" t="e">
        <f t="shared" si="329"/>
        <v>#N/A</v>
      </c>
      <c r="AC2016" s="80" t="str">
        <f t="shared" si="328"/>
        <v>LCON4</v>
      </c>
      <c r="AD2016" s="80" t="str">
        <f t="shared" si="330"/>
        <v>CLN4</v>
      </c>
      <c r="AE2016" s="80" t="str">
        <f t="shared" si="331"/>
        <v>LCOQ4</v>
      </c>
      <c r="AF2016" s="80" t="str">
        <f t="shared" si="332"/>
        <v>CLQ4</v>
      </c>
      <c r="AG2016" s="80" t="str">
        <f t="shared" si="333"/>
        <v>LCOU4</v>
      </c>
      <c r="AH2016" s="80" t="str">
        <f t="shared" si="334"/>
        <v>LCOV4</v>
      </c>
    </row>
    <row r="2017" spans="25:34" x14ac:dyDescent="0.35">
      <c r="Y2017" s="74">
        <f t="shared" ref="Y2017:Y2080" si="335">Y2016+1</f>
        <v>45420</v>
      </c>
      <c r="Z2017" s="74" t="e">
        <f t="shared" ca="1" si="326"/>
        <v>#N/A</v>
      </c>
      <c r="AA2017" s="80" t="e">
        <f t="shared" ca="1" si="327"/>
        <v>#N/A</v>
      </c>
      <c r="AB2017" s="74" t="e">
        <f t="shared" si="329"/>
        <v>#N/A</v>
      </c>
      <c r="AC2017" s="80" t="str">
        <f t="shared" si="328"/>
        <v>LCON4</v>
      </c>
      <c r="AD2017" s="80" t="str">
        <f t="shared" si="330"/>
        <v>CLN4</v>
      </c>
      <c r="AE2017" s="80" t="str">
        <f t="shared" si="331"/>
        <v>LCOQ4</v>
      </c>
      <c r="AF2017" s="80" t="str">
        <f t="shared" si="332"/>
        <v>CLQ4</v>
      </c>
      <c r="AG2017" s="80" t="str">
        <f t="shared" si="333"/>
        <v>LCOU4</v>
      </c>
      <c r="AH2017" s="80" t="str">
        <f t="shared" si="334"/>
        <v>LCOV4</v>
      </c>
    </row>
    <row r="2018" spans="25:34" x14ac:dyDescent="0.35">
      <c r="Y2018" s="74">
        <f t="shared" si="335"/>
        <v>45421</v>
      </c>
      <c r="Z2018" s="74" t="e">
        <f t="shared" ca="1" si="326"/>
        <v>#N/A</v>
      </c>
      <c r="AA2018" s="80" t="e">
        <f t="shared" ca="1" si="327"/>
        <v>#N/A</v>
      </c>
      <c r="AB2018" s="74" t="e">
        <f t="shared" si="329"/>
        <v>#N/A</v>
      </c>
      <c r="AC2018" s="80" t="str">
        <f t="shared" si="328"/>
        <v>LCON4</v>
      </c>
      <c r="AD2018" s="80" t="str">
        <f t="shared" si="330"/>
        <v>CLN4</v>
      </c>
      <c r="AE2018" s="80" t="str">
        <f t="shared" si="331"/>
        <v>LCOQ4</v>
      </c>
      <c r="AF2018" s="80" t="str">
        <f t="shared" si="332"/>
        <v>CLQ4</v>
      </c>
      <c r="AG2018" s="80" t="str">
        <f t="shared" si="333"/>
        <v>LCOU4</v>
      </c>
      <c r="AH2018" s="80" t="str">
        <f t="shared" si="334"/>
        <v>LCOV4</v>
      </c>
    </row>
    <row r="2019" spans="25:34" x14ac:dyDescent="0.35">
      <c r="Y2019" s="74">
        <f t="shared" si="335"/>
        <v>45422</v>
      </c>
      <c r="Z2019" s="74" t="e">
        <f t="shared" ca="1" si="326"/>
        <v>#N/A</v>
      </c>
      <c r="AA2019" s="80" t="e">
        <f t="shared" ca="1" si="327"/>
        <v>#N/A</v>
      </c>
      <c r="AB2019" s="74" t="e">
        <f t="shared" si="329"/>
        <v>#N/A</v>
      </c>
      <c r="AC2019" s="80" t="str">
        <f t="shared" si="328"/>
        <v>LCON4</v>
      </c>
      <c r="AD2019" s="80" t="str">
        <f t="shared" si="330"/>
        <v>CLN4</v>
      </c>
      <c r="AE2019" s="80" t="str">
        <f t="shared" si="331"/>
        <v>LCOQ4</v>
      </c>
      <c r="AF2019" s="80" t="str">
        <f t="shared" si="332"/>
        <v>CLQ4</v>
      </c>
      <c r="AG2019" s="80" t="str">
        <f t="shared" si="333"/>
        <v>LCOU4</v>
      </c>
      <c r="AH2019" s="80" t="str">
        <f t="shared" si="334"/>
        <v>LCOV4</v>
      </c>
    </row>
    <row r="2020" spans="25:34" x14ac:dyDescent="0.35">
      <c r="Y2020" s="74">
        <f t="shared" si="335"/>
        <v>45423</v>
      </c>
      <c r="Z2020" s="74" t="e">
        <f t="shared" ca="1" si="326"/>
        <v>#N/A</v>
      </c>
      <c r="AA2020" s="80" t="e">
        <f t="shared" ca="1" si="327"/>
        <v>#N/A</v>
      </c>
      <c r="AB2020" s="74" t="e">
        <f t="shared" si="329"/>
        <v>#N/A</v>
      </c>
      <c r="AC2020" s="80" t="str">
        <f t="shared" si="328"/>
        <v>LCON4</v>
      </c>
      <c r="AD2020" s="80" t="str">
        <f t="shared" si="330"/>
        <v>CLN4</v>
      </c>
      <c r="AE2020" s="80" t="str">
        <f t="shared" si="331"/>
        <v>LCOQ4</v>
      </c>
      <c r="AF2020" s="80" t="str">
        <f t="shared" si="332"/>
        <v>CLQ4</v>
      </c>
      <c r="AG2020" s="80" t="str">
        <f t="shared" si="333"/>
        <v>LCOU4</v>
      </c>
      <c r="AH2020" s="80" t="str">
        <f t="shared" si="334"/>
        <v>LCOV4</v>
      </c>
    </row>
    <row r="2021" spans="25:34" x14ac:dyDescent="0.35">
      <c r="Y2021" s="74">
        <f t="shared" si="335"/>
        <v>45424</v>
      </c>
      <c r="Z2021" s="74" t="e">
        <f t="shared" ca="1" si="326"/>
        <v>#N/A</v>
      </c>
      <c r="AA2021" s="80" t="e">
        <f t="shared" ca="1" si="327"/>
        <v>#N/A</v>
      </c>
      <c r="AB2021" s="74" t="e">
        <f t="shared" si="329"/>
        <v>#N/A</v>
      </c>
      <c r="AC2021" s="80" t="str">
        <f t="shared" si="328"/>
        <v>LCON4</v>
      </c>
      <c r="AD2021" s="80" t="str">
        <f t="shared" si="330"/>
        <v>CLN4</v>
      </c>
      <c r="AE2021" s="80" t="str">
        <f t="shared" si="331"/>
        <v>LCOQ4</v>
      </c>
      <c r="AF2021" s="80" t="str">
        <f t="shared" si="332"/>
        <v>CLQ4</v>
      </c>
      <c r="AG2021" s="80" t="str">
        <f t="shared" si="333"/>
        <v>LCOU4</v>
      </c>
      <c r="AH2021" s="80" t="str">
        <f t="shared" si="334"/>
        <v>LCOV4</v>
      </c>
    </row>
    <row r="2022" spans="25:34" x14ac:dyDescent="0.35">
      <c r="Y2022" s="74">
        <f t="shared" si="335"/>
        <v>45425</v>
      </c>
      <c r="Z2022" s="74" t="e">
        <f t="shared" ca="1" si="326"/>
        <v>#N/A</v>
      </c>
      <c r="AA2022" s="80" t="e">
        <f t="shared" ca="1" si="327"/>
        <v>#N/A</v>
      </c>
      <c r="AB2022" s="74" t="e">
        <f t="shared" si="329"/>
        <v>#N/A</v>
      </c>
      <c r="AC2022" s="80" t="str">
        <f t="shared" si="328"/>
        <v>LCON4</v>
      </c>
      <c r="AD2022" s="80" t="str">
        <f t="shared" si="330"/>
        <v>CLN4</v>
      </c>
      <c r="AE2022" s="80" t="str">
        <f t="shared" si="331"/>
        <v>LCOQ4</v>
      </c>
      <c r="AF2022" s="80" t="str">
        <f t="shared" si="332"/>
        <v>CLQ4</v>
      </c>
      <c r="AG2022" s="80" t="str">
        <f t="shared" si="333"/>
        <v>LCOU4</v>
      </c>
      <c r="AH2022" s="80" t="str">
        <f t="shared" si="334"/>
        <v>LCOV4</v>
      </c>
    </row>
    <row r="2023" spans="25:34" x14ac:dyDescent="0.35">
      <c r="Y2023" s="74">
        <f t="shared" si="335"/>
        <v>45426</v>
      </c>
      <c r="Z2023" s="74" t="e">
        <f t="shared" ca="1" si="326"/>
        <v>#N/A</v>
      </c>
      <c r="AA2023" s="80" t="e">
        <f t="shared" ca="1" si="327"/>
        <v>#N/A</v>
      </c>
      <c r="AB2023" s="74" t="e">
        <f t="shared" si="329"/>
        <v>#N/A</v>
      </c>
      <c r="AC2023" s="80" t="str">
        <f t="shared" si="328"/>
        <v>LCON4</v>
      </c>
      <c r="AD2023" s="80" t="str">
        <f t="shared" si="330"/>
        <v>CLN4</v>
      </c>
      <c r="AE2023" s="80" t="str">
        <f t="shared" si="331"/>
        <v>LCOQ4</v>
      </c>
      <c r="AF2023" s="80" t="str">
        <f t="shared" si="332"/>
        <v>CLQ4</v>
      </c>
      <c r="AG2023" s="80" t="str">
        <f t="shared" si="333"/>
        <v>LCOU4</v>
      </c>
      <c r="AH2023" s="80" t="str">
        <f t="shared" si="334"/>
        <v>LCOV4</v>
      </c>
    </row>
    <row r="2024" spans="25:34" x14ac:dyDescent="0.35">
      <c r="Y2024" s="74">
        <f t="shared" si="335"/>
        <v>45427</v>
      </c>
      <c r="Z2024" s="74" t="e">
        <f t="shared" ca="1" si="326"/>
        <v>#N/A</v>
      </c>
      <c r="AA2024" s="80" t="e">
        <f t="shared" ca="1" si="327"/>
        <v>#N/A</v>
      </c>
      <c r="AB2024" s="74" t="e">
        <f t="shared" si="329"/>
        <v>#N/A</v>
      </c>
      <c r="AC2024" s="80" t="str">
        <f t="shared" si="328"/>
        <v>LCON4</v>
      </c>
      <c r="AD2024" s="80" t="str">
        <f t="shared" si="330"/>
        <v>CLN4</v>
      </c>
      <c r="AE2024" s="80" t="str">
        <f t="shared" si="331"/>
        <v>LCOQ4</v>
      </c>
      <c r="AF2024" s="80" t="str">
        <f t="shared" si="332"/>
        <v>CLQ4</v>
      </c>
      <c r="AG2024" s="80" t="str">
        <f t="shared" si="333"/>
        <v>LCOU4</v>
      </c>
      <c r="AH2024" s="80" t="str">
        <f t="shared" si="334"/>
        <v>LCOV4</v>
      </c>
    </row>
    <row r="2025" spans="25:34" x14ac:dyDescent="0.35">
      <c r="Y2025" s="74">
        <f t="shared" si="335"/>
        <v>45428</v>
      </c>
      <c r="Z2025" s="74" t="e">
        <f t="shared" ca="1" si="326"/>
        <v>#N/A</v>
      </c>
      <c r="AA2025" s="80" t="e">
        <f t="shared" ca="1" si="327"/>
        <v>#N/A</v>
      </c>
      <c r="AB2025" s="74" t="e">
        <f t="shared" si="329"/>
        <v>#N/A</v>
      </c>
      <c r="AC2025" s="80" t="str">
        <f t="shared" si="328"/>
        <v>LCON4</v>
      </c>
      <c r="AD2025" s="80" t="str">
        <f t="shared" si="330"/>
        <v>CLN4</v>
      </c>
      <c r="AE2025" s="80" t="str">
        <f t="shared" si="331"/>
        <v>LCOQ4</v>
      </c>
      <c r="AF2025" s="80" t="str">
        <f t="shared" si="332"/>
        <v>CLQ4</v>
      </c>
      <c r="AG2025" s="80" t="str">
        <f t="shared" si="333"/>
        <v>LCOU4</v>
      </c>
      <c r="AH2025" s="80" t="str">
        <f t="shared" si="334"/>
        <v>LCOV4</v>
      </c>
    </row>
    <row r="2026" spans="25:34" x14ac:dyDescent="0.35">
      <c r="Y2026" s="74">
        <f t="shared" si="335"/>
        <v>45429</v>
      </c>
      <c r="Z2026" s="74" t="e">
        <f t="shared" ca="1" si="326"/>
        <v>#N/A</v>
      </c>
      <c r="AA2026" s="80" t="e">
        <f t="shared" ca="1" si="327"/>
        <v>#N/A</v>
      </c>
      <c r="AB2026" s="74" t="e">
        <f t="shared" si="329"/>
        <v>#N/A</v>
      </c>
      <c r="AC2026" s="80" t="str">
        <f t="shared" si="328"/>
        <v>LCON4</v>
      </c>
      <c r="AD2026" s="80" t="str">
        <f t="shared" si="330"/>
        <v>CLN4</v>
      </c>
      <c r="AE2026" s="80" t="str">
        <f t="shared" si="331"/>
        <v>LCOQ4</v>
      </c>
      <c r="AF2026" s="80" t="str">
        <f t="shared" si="332"/>
        <v>CLQ4</v>
      </c>
      <c r="AG2026" s="80" t="str">
        <f t="shared" si="333"/>
        <v>LCOU4</v>
      </c>
      <c r="AH2026" s="80" t="str">
        <f t="shared" si="334"/>
        <v>LCOV4</v>
      </c>
    </row>
    <row r="2027" spans="25:34" x14ac:dyDescent="0.35">
      <c r="Y2027" s="74">
        <f t="shared" si="335"/>
        <v>45430</v>
      </c>
      <c r="Z2027" s="74" t="e">
        <f t="shared" ca="1" si="326"/>
        <v>#N/A</v>
      </c>
      <c r="AA2027" s="80" t="e">
        <f t="shared" ca="1" si="327"/>
        <v>#N/A</v>
      </c>
      <c r="AB2027" s="74" t="e">
        <f t="shared" si="329"/>
        <v>#N/A</v>
      </c>
      <c r="AC2027" s="80" t="str">
        <f t="shared" si="328"/>
        <v>LCON4</v>
      </c>
      <c r="AD2027" s="80" t="str">
        <f t="shared" si="330"/>
        <v>CLN4</v>
      </c>
      <c r="AE2027" s="80" t="str">
        <f t="shared" si="331"/>
        <v>LCOQ4</v>
      </c>
      <c r="AF2027" s="80" t="str">
        <f t="shared" si="332"/>
        <v>CLQ4</v>
      </c>
      <c r="AG2027" s="80" t="str">
        <f t="shared" si="333"/>
        <v>LCOU4</v>
      </c>
      <c r="AH2027" s="80" t="str">
        <f t="shared" si="334"/>
        <v>LCOV4</v>
      </c>
    </row>
    <row r="2028" spans="25:34" x14ac:dyDescent="0.35">
      <c r="Y2028" s="74">
        <f t="shared" si="335"/>
        <v>45431</v>
      </c>
      <c r="Z2028" s="74" t="e">
        <f t="shared" ca="1" si="326"/>
        <v>#N/A</v>
      </c>
      <c r="AA2028" s="80" t="e">
        <f t="shared" ca="1" si="327"/>
        <v>#N/A</v>
      </c>
      <c r="AB2028" s="74" t="e">
        <f t="shared" si="329"/>
        <v>#N/A</v>
      </c>
      <c r="AC2028" s="80" t="str">
        <f t="shared" si="328"/>
        <v>LCON4</v>
      </c>
      <c r="AD2028" s="80" t="str">
        <f t="shared" si="330"/>
        <v>CLN4</v>
      </c>
      <c r="AE2028" s="80" t="str">
        <f t="shared" si="331"/>
        <v>LCOQ4</v>
      </c>
      <c r="AF2028" s="80" t="str">
        <f t="shared" si="332"/>
        <v>CLQ4</v>
      </c>
      <c r="AG2028" s="80" t="str">
        <f t="shared" si="333"/>
        <v>LCOU4</v>
      </c>
      <c r="AH2028" s="80" t="str">
        <f t="shared" si="334"/>
        <v>LCOV4</v>
      </c>
    </row>
    <row r="2029" spans="25:34" x14ac:dyDescent="0.35">
      <c r="Y2029" s="74">
        <f t="shared" si="335"/>
        <v>45432</v>
      </c>
      <c r="Z2029" s="74" t="e">
        <f t="shared" ca="1" si="326"/>
        <v>#N/A</v>
      </c>
      <c r="AA2029" s="80" t="e">
        <f t="shared" ca="1" si="327"/>
        <v>#N/A</v>
      </c>
      <c r="AB2029" s="74" t="e">
        <f t="shared" si="329"/>
        <v>#N/A</v>
      </c>
      <c r="AC2029" s="80" t="str">
        <f t="shared" si="328"/>
        <v>LCON4</v>
      </c>
      <c r="AD2029" s="80" t="str">
        <f t="shared" si="330"/>
        <v>CLN4</v>
      </c>
      <c r="AE2029" s="80" t="str">
        <f t="shared" si="331"/>
        <v>LCOQ4</v>
      </c>
      <c r="AF2029" s="80" t="str">
        <f t="shared" si="332"/>
        <v>CLQ4</v>
      </c>
      <c r="AG2029" s="80" t="str">
        <f t="shared" si="333"/>
        <v>LCOU4</v>
      </c>
      <c r="AH2029" s="80" t="str">
        <f t="shared" si="334"/>
        <v>LCOV4</v>
      </c>
    </row>
    <row r="2030" spans="25:34" x14ac:dyDescent="0.35">
      <c r="Y2030" s="74">
        <f t="shared" si="335"/>
        <v>45433</v>
      </c>
      <c r="Z2030" s="74" t="e">
        <f t="shared" ca="1" si="326"/>
        <v>#N/A</v>
      </c>
      <c r="AA2030" s="80" t="e">
        <f t="shared" ca="1" si="327"/>
        <v>#N/A</v>
      </c>
      <c r="AB2030" s="74" t="e">
        <f t="shared" si="329"/>
        <v>#N/A</v>
      </c>
      <c r="AC2030" s="80" t="str">
        <f t="shared" si="328"/>
        <v>LCON4</v>
      </c>
      <c r="AD2030" s="80" t="str">
        <f t="shared" si="330"/>
        <v>CLN4</v>
      </c>
      <c r="AE2030" s="80" t="str">
        <f t="shared" si="331"/>
        <v>LCOQ4</v>
      </c>
      <c r="AF2030" s="80" t="str">
        <f t="shared" si="332"/>
        <v>CLQ4</v>
      </c>
      <c r="AG2030" s="80" t="str">
        <f t="shared" si="333"/>
        <v>LCOU4</v>
      </c>
      <c r="AH2030" s="80" t="str">
        <f t="shared" si="334"/>
        <v>LCOV4</v>
      </c>
    </row>
    <row r="2031" spans="25:34" x14ac:dyDescent="0.35">
      <c r="Y2031" s="74">
        <f t="shared" si="335"/>
        <v>45434</v>
      </c>
      <c r="Z2031" s="74" t="e">
        <f t="shared" ca="1" si="326"/>
        <v>#N/A</v>
      </c>
      <c r="AA2031" s="80" t="e">
        <f t="shared" ca="1" si="327"/>
        <v>#N/A</v>
      </c>
      <c r="AB2031" s="74" t="e">
        <f t="shared" si="329"/>
        <v>#N/A</v>
      </c>
      <c r="AC2031" s="80" t="str">
        <f t="shared" si="328"/>
        <v>LCON4</v>
      </c>
      <c r="AD2031" s="80" t="str">
        <f t="shared" si="330"/>
        <v>CLN4</v>
      </c>
      <c r="AE2031" s="80" t="str">
        <f t="shared" si="331"/>
        <v>LCOQ4</v>
      </c>
      <c r="AF2031" s="80" t="str">
        <f t="shared" si="332"/>
        <v>CLQ4</v>
      </c>
      <c r="AG2031" s="80" t="str">
        <f t="shared" si="333"/>
        <v>LCOU4</v>
      </c>
      <c r="AH2031" s="80" t="str">
        <f t="shared" si="334"/>
        <v>LCOV4</v>
      </c>
    </row>
    <row r="2032" spans="25:34" x14ac:dyDescent="0.35">
      <c r="Y2032" s="74">
        <f t="shared" si="335"/>
        <v>45435</v>
      </c>
      <c r="Z2032" s="74" t="e">
        <f t="shared" ca="1" si="326"/>
        <v>#N/A</v>
      </c>
      <c r="AA2032" s="80" t="e">
        <f t="shared" ca="1" si="327"/>
        <v>#N/A</v>
      </c>
      <c r="AB2032" s="74" t="e">
        <f t="shared" si="329"/>
        <v>#N/A</v>
      </c>
      <c r="AC2032" s="80" t="str">
        <f t="shared" si="328"/>
        <v>LCON4</v>
      </c>
      <c r="AD2032" s="80" t="str">
        <f t="shared" si="330"/>
        <v>CLN4</v>
      </c>
      <c r="AE2032" s="80" t="str">
        <f t="shared" si="331"/>
        <v>LCOQ4</v>
      </c>
      <c r="AF2032" s="80" t="str">
        <f t="shared" si="332"/>
        <v>CLQ4</v>
      </c>
      <c r="AG2032" s="80" t="str">
        <f t="shared" si="333"/>
        <v>LCOU4</v>
      </c>
      <c r="AH2032" s="80" t="str">
        <f t="shared" si="334"/>
        <v>LCOV4</v>
      </c>
    </row>
    <row r="2033" spans="25:34" x14ac:dyDescent="0.35">
      <c r="Y2033" s="74">
        <f t="shared" si="335"/>
        <v>45436</v>
      </c>
      <c r="Z2033" s="74" t="e">
        <f t="shared" ca="1" si="326"/>
        <v>#N/A</v>
      </c>
      <c r="AA2033" s="80" t="e">
        <f t="shared" ca="1" si="327"/>
        <v>#N/A</v>
      </c>
      <c r="AB2033" s="74" t="e">
        <f t="shared" si="329"/>
        <v>#N/A</v>
      </c>
      <c r="AC2033" s="80" t="str">
        <f t="shared" si="328"/>
        <v>LCON4</v>
      </c>
      <c r="AD2033" s="80" t="str">
        <f t="shared" si="330"/>
        <v>CLN4</v>
      </c>
      <c r="AE2033" s="80" t="str">
        <f t="shared" si="331"/>
        <v>LCOQ4</v>
      </c>
      <c r="AF2033" s="80" t="str">
        <f t="shared" si="332"/>
        <v>CLQ4</v>
      </c>
      <c r="AG2033" s="80" t="str">
        <f t="shared" si="333"/>
        <v>LCOU4</v>
      </c>
      <c r="AH2033" s="80" t="str">
        <f t="shared" si="334"/>
        <v>LCOV4</v>
      </c>
    </row>
    <row r="2034" spans="25:34" x14ac:dyDescent="0.35">
      <c r="Y2034" s="74">
        <f t="shared" si="335"/>
        <v>45437</v>
      </c>
      <c r="Z2034" s="74" t="e">
        <f t="shared" ca="1" si="326"/>
        <v>#N/A</v>
      </c>
      <c r="AA2034" s="80" t="e">
        <f t="shared" ca="1" si="327"/>
        <v>#N/A</v>
      </c>
      <c r="AB2034" s="74" t="e">
        <f t="shared" si="329"/>
        <v>#N/A</v>
      </c>
      <c r="AC2034" s="80" t="str">
        <f t="shared" si="328"/>
        <v>LCON4</v>
      </c>
      <c r="AD2034" s="80" t="str">
        <f t="shared" si="330"/>
        <v>CLN4</v>
      </c>
      <c r="AE2034" s="80" t="str">
        <f t="shared" si="331"/>
        <v>LCOQ4</v>
      </c>
      <c r="AF2034" s="80" t="str">
        <f t="shared" si="332"/>
        <v>CLQ4</v>
      </c>
      <c r="AG2034" s="80" t="str">
        <f t="shared" si="333"/>
        <v>LCOU4</v>
      </c>
      <c r="AH2034" s="80" t="str">
        <f t="shared" si="334"/>
        <v>LCOV4</v>
      </c>
    </row>
    <row r="2035" spans="25:34" x14ac:dyDescent="0.35">
      <c r="Y2035" s="74">
        <f t="shared" si="335"/>
        <v>45438</v>
      </c>
      <c r="Z2035" s="74" t="e">
        <f t="shared" ca="1" si="326"/>
        <v>#N/A</v>
      </c>
      <c r="AA2035" s="80" t="e">
        <f t="shared" ca="1" si="327"/>
        <v>#N/A</v>
      </c>
      <c r="AB2035" s="74" t="e">
        <f t="shared" si="329"/>
        <v>#N/A</v>
      </c>
      <c r="AC2035" s="80" t="str">
        <f t="shared" si="328"/>
        <v>LCON4</v>
      </c>
      <c r="AD2035" s="80" t="str">
        <f t="shared" si="330"/>
        <v>CLN4</v>
      </c>
      <c r="AE2035" s="80" t="str">
        <f t="shared" si="331"/>
        <v>LCOQ4</v>
      </c>
      <c r="AF2035" s="80" t="str">
        <f t="shared" si="332"/>
        <v>CLQ4</v>
      </c>
      <c r="AG2035" s="80" t="str">
        <f t="shared" si="333"/>
        <v>LCOU4</v>
      </c>
      <c r="AH2035" s="80" t="str">
        <f t="shared" si="334"/>
        <v>LCOV4</v>
      </c>
    </row>
    <row r="2036" spans="25:34" x14ac:dyDescent="0.35">
      <c r="Y2036" s="74">
        <f t="shared" si="335"/>
        <v>45439</v>
      </c>
      <c r="Z2036" s="74" t="e">
        <f t="shared" ca="1" si="326"/>
        <v>#N/A</v>
      </c>
      <c r="AA2036" s="80" t="e">
        <f t="shared" ca="1" si="327"/>
        <v>#N/A</v>
      </c>
      <c r="AB2036" s="74" t="e">
        <f t="shared" si="329"/>
        <v>#N/A</v>
      </c>
      <c r="AC2036" s="80" t="str">
        <f t="shared" si="328"/>
        <v>LCON4</v>
      </c>
      <c r="AD2036" s="80" t="str">
        <f t="shared" si="330"/>
        <v>CLN4</v>
      </c>
      <c r="AE2036" s="80" t="str">
        <f t="shared" si="331"/>
        <v>LCOQ4</v>
      </c>
      <c r="AF2036" s="80" t="str">
        <f t="shared" si="332"/>
        <v>CLQ4</v>
      </c>
      <c r="AG2036" s="80" t="str">
        <f t="shared" si="333"/>
        <v>LCOU4</v>
      </c>
      <c r="AH2036" s="80" t="str">
        <f t="shared" si="334"/>
        <v>LCOV4</v>
      </c>
    </row>
    <row r="2037" spans="25:34" x14ac:dyDescent="0.35">
      <c r="Y2037" s="74">
        <f t="shared" si="335"/>
        <v>45440</v>
      </c>
      <c r="Z2037" s="74" t="e">
        <f t="shared" ca="1" si="326"/>
        <v>#N/A</v>
      </c>
      <c r="AA2037" s="80" t="e">
        <f t="shared" ca="1" si="327"/>
        <v>#N/A</v>
      </c>
      <c r="AB2037" s="74" t="e">
        <f t="shared" si="329"/>
        <v>#N/A</v>
      </c>
      <c r="AC2037" s="80" t="str">
        <f t="shared" si="328"/>
        <v>LCON4</v>
      </c>
      <c r="AD2037" s="80" t="str">
        <f t="shared" si="330"/>
        <v>CLN4</v>
      </c>
      <c r="AE2037" s="80" t="str">
        <f t="shared" si="331"/>
        <v>LCOQ4</v>
      </c>
      <c r="AF2037" s="80" t="str">
        <f t="shared" si="332"/>
        <v>CLQ4</v>
      </c>
      <c r="AG2037" s="80" t="str">
        <f t="shared" si="333"/>
        <v>LCOU4</v>
      </c>
      <c r="AH2037" s="80" t="str">
        <f t="shared" si="334"/>
        <v>LCOV4</v>
      </c>
    </row>
    <row r="2038" spans="25:34" x14ac:dyDescent="0.35">
      <c r="Y2038" s="74">
        <f t="shared" si="335"/>
        <v>45441</v>
      </c>
      <c r="Z2038" s="74" t="e">
        <f t="shared" ca="1" si="326"/>
        <v>#N/A</v>
      </c>
      <c r="AA2038" s="80" t="e">
        <f t="shared" ca="1" si="327"/>
        <v>#N/A</v>
      </c>
      <c r="AB2038" s="74" t="e">
        <f t="shared" si="329"/>
        <v>#N/A</v>
      </c>
      <c r="AC2038" s="80" t="str">
        <f t="shared" si="328"/>
        <v>LCON4</v>
      </c>
      <c r="AD2038" s="80" t="str">
        <f t="shared" si="330"/>
        <v>CLN4</v>
      </c>
      <c r="AE2038" s="80" t="str">
        <f t="shared" si="331"/>
        <v>LCOQ4</v>
      </c>
      <c r="AF2038" s="80" t="str">
        <f t="shared" si="332"/>
        <v>CLQ4</v>
      </c>
      <c r="AG2038" s="80" t="str">
        <f t="shared" si="333"/>
        <v>LCOU4</v>
      </c>
      <c r="AH2038" s="80" t="str">
        <f t="shared" si="334"/>
        <v>LCOV4</v>
      </c>
    </row>
    <row r="2039" spans="25:34" x14ac:dyDescent="0.35">
      <c r="Y2039" s="74">
        <f t="shared" si="335"/>
        <v>45442</v>
      </c>
      <c r="Z2039" s="74" t="e">
        <f t="shared" ca="1" si="326"/>
        <v>#N/A</v>
      </c>
      <c r="AA2039" s="80" t="e">
        <f t="shared" ca="1" si="327"/>
        <v>#N/A</v>
      </c>
      <c r="AB2039" s="74" t="e">
        <f t="shared" si="329"/>
        <v>#N/A</v>
      </c>
      <c r="AC2039" s="80" t="str">
        <f t="shared" si="328"/>
        <v>LCON4</v>
      </c>
      <c r="AD2039" s="80" t="str">
        <f t="shared" si="330"/>
        <v>CLN4</v>
      </c>
      <c r="AE2039" s="80" t="str">
        <f t="shared" si="331"/>
        <v>LCOQ4</v>
      </c>
      <c r="AF2039" s="80" t="str">
        <f t="shared" si="332"/>
        <v>CLQ4</v>
      </c>
      <c r="AG2039" s="80" t="str">
        <f t="shared" si="333"/>
        <v>LCOU4</v>
      </c>
      <c r="AH2039" s="80" t="str">
        <f t="shared" si="334"/>
        <v>LCOV4</v>
      </c>
    </row>
    <row r="2040" spans="25:34" x14ac:dyDescent="0.35">
      <c r="Y2040" s="74">
        <f t="shared" si="335"/>
        <v>45443</v>
      </c>
      <c r="Z2040" s="74" t="e">
        <f t="shared" ca="1" si="326"/>
        <v>#N/A</v>
      </c>
      <c r="AA2040" s="80" t="e">
        <f t="shared" ca="1" si="327"/>
        <v>#N/A</v>
      </c>
      <c r="AB2040" s="74" t="e">
        <f t="shared" si="329"/>
        <v>#N/A</v>
      </c>
      <c r="AC2040" s="80" t="str">
        <f t="shared" si="328"/>
        <v>LCON4</v>
      </c>
      <c r="AD2040" s="80" t="str">
        <f t="shared" si="330"/>
        <v>CLN4</v>
      </c>
      <c r="AE2040" s="80" t="str">
        <f t="shared" si="331"/>
        <v>LCOQ4</v>
      </c>
      <c r="AF2040" s="80" t="str">
        <f t="shared" si="332"/>
        <v>CLQ4</v>
      </c>
      <c r="AG2040" s="80" t="str">
        <f t="shared" si="333"/>
        <v>LCOU4</v>
      </c>
      <c r="AH2040" s="80" t="str">
        <f t="shared" si="334"/>
        <v>LCOV4</v>
      </c>
    </row>
    <row r="2041" spans="25:34" x14ac:dyDescent="0.35">
      <c r="Y2041" s="74">
        <f t="shared" si="335"/>
        <v>45444</v>
      </c>
      <c r="Z2041" s="74" t="e">
        <f t="shared" ca="1" si="326"/>
        <v>#N/A</v>
      </c>
      <c r="AA2041" s="80" t="e">
        <f t="shared" ca="1" si="327"/>
        <v>#N/A</v>
      </c>
      <c r="AB2041" s="74" t="e">
        <f t="shared" si="329"/>
        <v>#N/A</v>
      </c>
      <c r="AC2041" s="80" t="str">
        <f t="shared" si="328"/>
        <v>LCOQ4</v>
      </c>
      <c r="AD2041" s="80" t="str">
        <f t="shared" si="330"/>
        <v>CLQ4</v>
      </c>
      <c r="AE2041" s="80" t="str">
        <f t="shared" si="331"/>
        <v>LCOU4</v>
      </c>
      <c r="AF2041" s="80" t="str">
        <f t="shared" si="332"/>
        <v>CLU4</v>
      </c>
      <c r="AG2041" s="80" t="str">
        <f t="shared" si="333"/>
        <v>LCOV4</v>
      </c>
      <c r="AH2041" s="80" t="str">
        <f t="shared" si="334"/>
        <v>LCOX4</v>
      </c>
    </row>
    <row r="2042" spans="25:34" x14ac:dyDescent="0.35">
      <c r="Y2042" s="74">
        <f t="shared" si="335"/>
        <v>45445</v>
      </c>
      <c r="Z2042" s="74" t="e">
        <f t="shared" ca="1" si="326"/>
        <v>#N/A</v>
      </c>
      <c r="AA2042" s="80" t="e">
        <f t="shared" ca="1" si="327"/>
        <v>#N/A</v>
      </c>
      <c r="AB2042" s="74" t="e">
        <f t="shared" si="329"/>
        <v>#N/A</v>
      </c>
      <c r="AC2042" s="80" t="str">
        <f t="shared" si="328"/>
        <v>LCOQ4</v>
      </c>
      <c r="AD2042" s="80" t="str">
        <f t="shared" si="330"/>
        <v>CLQ4</v>
      </c>
      <c r="AE2042" s="80" t="str">
        <f t="shared" si="331"/>
        <v>LCOU4</v>
      </c>
      <c r="AF2042" s="80" t="str">
        <f t="shared" si="332"/>
        <v>CLU4</v>
      </c>
      <c r="AG2042" s="80" t="str">
        <f t="shared" si="333"/>
        <v>LCOV4</v>
      </c>
      <c r="AH2042" s="80" t="str">
        <f t="shared" si="334"/>
        <v>LCOX4</v>
      </c>
    </row>
    <row r="2043" spans="25:34" x14ac:dyDescent="0.35">
      <c r="Y2043" s="74">
        <f t="shared" si="335"/>
        <v>45446</v>
      </c>
      <c r="Z2043" s="74" t="e">
        <f t="shared" ca="1" si="326"/>
        <v>#N/A</v>
      </c>
      <c r="AA2043" s="80" t="e">
        <f t="shared" ca="1" si="327"/>
        <v>#N/A</v>
      </c>
      <c r="AB2043" s="74" t="e">
        <f t="shared" si="329"/>
        <v>#N/A</v>
      </c>
      <c r="AC2043" s="80" t="str">
        <f t="shared" si="328"/>
        <v>LCOQ4</v>
      </c>
      <c r="AD2043" s="80" t="str">
        <f t="shared" si="330"/>
        <v>CLQ4</v>
      </c>
      <c r="AE2043" s="80" t="str">
        <f t="shared" si="331"/>
        <v>LCOU4</v>
      </c>
      <c r="AF2043" s="80" t="str">
        <f t="shared" si="332"/>
        <v>CLU4</v>
      </c>
      <c r="AG2043" s="80" t="str">
        <f t="shared" si="333"/>
        <v>LCOV4</v>
      </c>
      <c r="AH2043" s="80" t="str">
        <f t="shared" si="334"/>
        <v>LCOX4</v>
      </c>
    </row>
    <row r="2044" spans="25:34" x14ac:dyDescent="0.35">
      <c r="Y2044" s="74">
        <f t="shared" si="335"/>
        <v>45447</v>
      </c>
      <c r="Z2044" s="74" t="e">
        <f t="shared" ca="1" si="326"/>
        <v>#N/A</v>
      </c>
      <c r="AA2044" s="80" t="e">
        <f t="shared" ca="1" si="327"/>
        <v>#N/A</v>
      </c>
      <c r="AB2044" s="74" t="e">
        <f t="shared" si="329"/>
        <v>#N/A</v>
      </c>
      <c r="AC2044" s="80" t="str">
        <f t="shared" si="328"/>
        <v>LCOQ4</v>
      </c>
      <c r="AD2044" s="80" t="str">
        <f t="shared" si="330"/>
        <v>CLQ4</v>
      </c>
      <c r="AE2044" s="80" t="str">
        <f t="shared" si="331"/>
        <v>LCOU4</v>
      </c>
      <c r="AF2044" s="80" t="str">
        <f t="shared" si="332"/>
        <v>CLU4</v>
      </c>
      <c r="AG2044" s="80" t="str">
        <f t="shared" si="333"/>
        <v>LCOV4</v>
      </c>
      <c r="AH2044" s="80" t="str">
        <f t="shared" si="334"/>
        <v>LCOX4</v>
      </c>
    </row>
    <row r="2045" spans="25:34" x14ac:dyDescent="0.35">
      <c r="Y2045" s="74">
        <f t="shared" si="335"/>
        <v>45448</v>
      </c>
      <c r="Z2045" s="74" t="e">
        <f t="shared" ca="1" si="326"/>
        <v>#N/A</v>
      </c>
      <c r="AA2045" s="80" t="e">
        <f t="shared" ca="1" si="327"/>
        <v>#N/A</v>
      </c>
      <c r="AB2045" s="74" t="e">
        <f t="shared" si="329"/>
        <v>#N/A</v>
      </c>
      <c r="AC2045" s="80" t="str">
        <f t="shared" si="328"/>
        <v>LCOQ4</v>
      </c>
      <c r="AD2045" s="80" t="str">
        <f t="shared" si="330"/>
        <v>CLQ4</v>
      </c>
      <c r="AE2045" s="80" t="str">
        <f t="shared" si="331"/>
        <v>LCOU4</v>
      </c>
      <c r="AF2045" s="80" t="str">
        <f t="shared" si="332"/>
        <v>CLU4</v>
      </c>
      <c r="AG2045" s="80" t="str">
        <f t="shared" si="333"/>
        <v>LCOV4</v>
      </c>
      <c r="AH2045" s="80" t="str">
        <f t="shared" si="334"/>
        <v>LCOX4</v>
      </c>
    </row>
    <row r="2046" spans="25:34" x14ac:dyDescent="0.35">
      <c r="Y2046" s="74">
        <f t="shared" si="335"/>
        <v>45449</v>
      </c>
      <c r="Z2046" s="74" t="e">
        <f t="shared" ca="1" si="326"/>
        <v>#N/A</v>
      </c>
      <c r="AA2046" s="80" t="e">
        <f t="shared" ca="1" si="327"/>
        <v>#N/A</v>
      </c>
      <c r="AB2046" s="74" t="e">
        <f t="shared" si="329"/>
        <v>#N/A</v>
      </c>
      <c r="AC2046" s="80" t="str">
        <f t="shared" si="328"/>
        <v>LCOQ4</v>
      </c>
      <c r="AD2046" s="80" t="str">
        <f t="shared" si="330"/>
        <v>CLQ4</v>
      </c>
      <c r="AE2046" s="80" t="str">
        <f t="shared" si="331"/>
        <v>LCOU4</v>
      </c>
      <c r="AF2046" s="80" t="str">
        <f t="shared" si="332"/>
        <v>CLU4</v>
      </c>
      <c r="AG2046" s="80" t="str">
        <f t="shared" si="333"/>
        <v>LCOV4</v>
      </c>
      <c r="AH2046" s="80" t="str">
        <f t="shared" si="334"/>
        <v>LCOX4</v>
      </c>
    </row>
    <row r="2047" spans="25:34" x14ac:dyDescent="0.35">
      <c r="Y2047" s="74">
        <f t="shared" si="335"/>
        <v>45450</v>
      </c>
      <c r="Z2047" s="74" t="e">
        <f t="shared" ca="1" si="326"/>
        <v>#N/A</v>
      </c>
      <c r="AA2047" s="80" t="e">
        <f t="shared" ca="1" si="327"/>
        <v>#N/A</v>
      </c>
      <c r="AB2047" s="74" t="e">
        <f t="shared" si="329"/>
        <v>#N/A</v>
      </c>
      <c r="AC2047" s="80" t="str">
        <f t="shared" si="328"/>
        <v>LCOQ4</v>
      </c>
      <c r="AD2047" s="80" t="str">
        <f t="shared" si="330"/>
        <v>CLQ4</v>
      </c>
      <c r="AE2047" s="80" t="str">
        <f t="shared" si="331"/>
        <v>LCOU4</v>
      </c>
      <c r="AF2047" s="80" t="str">
        <f t="shared" si="332"/>
        <v>CLU4</v>
      </c>
      <c r="AG2047" s="80" t="str">
        <f t="shared" si="333"/>
        <v>LCOV4</v>
      </c>
      <c r="AH2047" s="80" t="str">
        <f t="shared" si="334"/>
        <v>LCOX4</v>
      </c>
    </row>
    <row r="2048" spans="25:34" x14ac:dyDescent="0.35">
      <c r="Y2048" s="74">
        <f t="shared" si="335"/>
        <v>45451</v>
      </c>
      <c r="Z2048" s="74" t="e">
        <f t="shared" ca="1" si="326"/>
        <v>#N/A</v>
      </c>
      <c r="AA2048" s="80" t="e">
        <f t="shared" ca="1" si="327"/>
        <v>#N/A</v>
      </c>
      <c r="AB2048" s="74" t="e">
        <f t="shared" si="329"/>
        <v>#N/A</v>
      </c>
      <c r="AC2048" s="80" t="str">
        <f t="shared" si="328"/>
        <v>LCOQ4</v>
      </c>
      <c r="AD2048" s="80" t="str">
        <f t="shared" si="330"/>
        <v>CLQ4</v>
      </c>
      <c r="AE2048" s="80" t="str">
        <f t="shared" si="331"/>
        <v>LCOU4</v>
      </c>
      <c r="AF2048" s="80" t="str">
        <f t="shared" si="332"/>
        <v>CLU4</v>
      </c>
      <c r="AG2048" s="80" t="str">
        <f t="shared" si="333"/>
        <v>LCOV4</v>
      </c>
      <c r="AH2048" s="80" t="str">
        <f t="shared" si="334"/>
        <v>LCOX4</v>
      </c>
    </row>
    <row r="2049" spans="25:34" x14ac:dyDescent="0.35">
      <c r="Y2049" s="74">
        <f t="shared" si="335"/>
        <v>45452</v>
      </c>
      <c r="Z2049" s="74" t="e">
        <f t="shared" ca="1" si="326"/>
        <v>#N/A</v>
      </c>
      <c r="AA2049" s="80" t="e">
        <f t="shared" ca="1" si="327"/>
        <v>#N/A</v>
      </c>
      <c r="AB2049" s="74" t="e">
        <f t="shared" si="329"/>
        <v>#N/A</v>
      </c>
      <c r="AC2049" s="80" t="str">
        <f t="shared" si="328"/>
        <v>LCOQ4</v>
      </c>
      <c r="AD2049" s="80" t="str">
        <f t="shared" si="330"/>
        <v>CLQ4</v>
      </c>
      <c r="AE2049" s="80" t="str">
        <f t="shared" si="331"/>
        <v>LCOU4</v>
      </c>
      <c r="AF2049" s="80" t="str">
        <f t="shared" si="332"/>
        <v>CLU4</v>
      </c>
      <c r="AG2049" s="80" t="str">
        <f t="shared" si="333"/>
        <v>LCOV4</v>
      </c>
      <c r="AH2049" s="80" t="str">
        <f t="shared" si="334"/>
        <v>LCOX4</v>
      </c>
    </row>
    <row r="2050" spans="25:34" x14ac:dyDescent="0.35">
      <c r="Y2050" s="74">
        <f t="shared" si="335"/>
        <v>45453</v>
      </c>
      <c r="Z2050" s="74" t="e">
        <f t="shared" ref="Z2050:Z2113" ca="1" si="336">VLOOKUP(AA2050,$I$2:$K$39,3,FALSE)</f>
        <v>#N/A</v>
      </c>
      <c r="AA2050" s="80" t="e">
        <f t="shared" ref="AA2050:AA2113" ca="1" si="337">LOOKUP(2,1/($J$2:$J$700&lt;=$Y2050)/($K$2:$K$700&gt;=$Y2050),$L$2:$L$700)</f>
        <v>#N/A</v>
      </c>
      <c r="AB2050" s="74" t="e">
        <f t="shared" si="329"/>
        <v>#N/A</v>
      </c>
      <c r="AC2050" s="80" t="str">
        <f t="shared" ref="AC2050:AC2113" si="338">LOOKUP(2,1/($R$2:$R$700&lt;=$Y2050)/($S$2:$S$700&gt;=$Y2050),$T$2:$T$700)</f>
        <v>LCOQ4</v>
      </c>
      <c r="AD2050" s="80" t="str">
        <f t="shared" si="330"/>
        <v>CLQ4</v>
      </c>
      <c r="AE2050" s="80" t="str">
        <f t="shared" si="331"/>
        <v>LCOU4</v>
      </c>
      <c r="AF2050" s="80" t="str">
        <f t="shared" si="332"/>
        <v>CLU4</v>
      </c>
      <c r="AG2050" s="80" t="str">
        <f t="shared" si="333"/>
        <v>LCOV4</v>
      </c>
      <c r="AH2050" s="80" t="str">
        <f t="shared" si="334"/>
        <v>LCOX4</v>
      </c>
    </row>
    <row r="2051" spans="25:34" x14ac:dyDescent="0.35">
      <c r="Y2051" s="74">
        <f t="shared" si="335"/>
        <v>45454</v>
      </c>
      <c r="Z2051" s="74" t="e">
        <f t="shared" ca="1" si="336"/>
        <v>#N/A</v>
      </c>
      <c r="AA2051" s="80" t="e">
        <f t="shared" ca="1" si="337"/>
        <v>#N/A</v>
      </c>
      <c r="AB2051" s="74" t="e">
        <f t="shared" ref="AB2051:AB2114" si="339">VLOOKUP(AC2051,$Q$2:$S$39,3,FALSE)</f>
        <v>#N/A</v>
      </c>
      <c r="AC2051" s="80" t="str">
        <f t="shared" si="338"/>
        <v>LCOQ4</v>
      </c>
      <c r="AD2051" s="80" t="str">
        <f t="shared" ref="AD2051:AD2114" si="340">CONCATENATE("CL",RIGHT(AC2051,2))</f>
        <v>CLQ4</v>
      </c>
      <c r="AE2051" s="80" t="str">
        <f t="shared" ref="AE2051:AE2114" si="341">LOOKUP(2,1/($R$2:$R$700&lt;=$Y2051)/($S$2:$S$700&gt;=$Y2051),$U$2:$U$700)</f>
        <v>LCOU4</v>
      </c>
      <c r="AF2051" s="80" t="str">
        <f t="shared" ref="AF2051:AF2114" si="342">CONCATENATE("CL",RIGHT(AE2051,2))</f>
        <v>CLU4</v>
      </c>
      <c r="AG2051" s="80" t="str">
        <f t="shared" ref="AG2051:AG2114" si="343">LOOKUP(2,1/($R$2:$R$700&lt;=$Y2051)/($S$2:$S$700&gt;=$Y2051),$V$2:$V$700)</f>
        <v>LCOV4</v>
      </c>
      <c r="AH2051" s="80" t="str">
        <f t="shared" ref="AH2051:AH2114" si="344">LOOKUP(2,1/($R$2:$R$700&lt;=$Y2051)/($S$2:$S$700&gt;=$Y2051),$W$2:$W$700)</f>
        <v>LCOX4</v>
      </c>
    </row>
    <row r="2052" spans="25:34" x14ac:dyDescent="0.35">
      <c r="Y2052" s="74">
        <f t="shared" si="335"/>
        <v>45455</v>
      </c>
      <c r="Z2052" s="74" t="e">
        <f t="shared" ca="1" si="336"/>
        <v>#N/A</v>
      </c>
      <c r="AA2052" s="80" t="e">
        <f t="shared" ca="1" si="337"/>
        <v>#N/A</v>
      </c>
      <c r="AB2052" s="74" t="e">
        <f t="shared" si="339"/>
        <v>#N/A</v>
      </c>
      <c r="AC2052" s="80" t="str">
        <f t="shared" si="338"/>
        <v>LCOQ4</v>
      </c>
      <c r="AD2052" s="80" t="str">
        <f t="shared" si="340"/>
        <v>CLQ4</v>
      </c>
      <c r="AE2052" s="80" t="str">
        <f t="shared" si="341"/>
        <v>LCOU4</v>
      </c>
      <c r="AF2052" s="80" t="str">
        <f t="shared" si="342"/>
        <v>CLU4</v>
      </c>
      <c r="AG2052" s="80" t="str">
        <f t="shared" si="343"/>
        <v>LCOV4</v>
      </c>
      <c r="AH2052" s="80" t="str">
        <f t="shared" si="344"/>
        <v>LCOX4</v>
      </c>
    </row>
    <row r="2053" spans="25:34" x14ac:dyDescent="0.35">
      <c r="Y2053" s="74">
        <f t="shared" si="335"/>
        <v>45456</v>
      </c>
      <c r="Z2053" s="74" t="e">
        <f t="shared" ca="1" si="336"/>
        <v>#N/A</v>
      </c>
      <c r="AA2053" s="80" t="e">
        <f t="shared" ca="1" si="337"/>
        <v>#N/A</v>
      </c>
      <c r="AB2053" s="74" t="e">
        <f t="shared" si="339"/>
        <v>#N/A</v>
      </c>
      <c r="AC2053" s="80" t="str">
        <f t="shared" si="338"/>
        <v>LCOQ4</v>
      </c>
      <c r="AD2053" s="80" t="str">
        <f t="shared" si="340"/>
        <v>CLQ4</v>
      </c>
      <c r="AE2053" s="80" t="str">
        <f t="shared" si="341"/>
        <v>LCOU4</v>
      </c>
      <c r="AF2053" s="80" t="str">
        <f t="shared" si="342"/>
        <v>CLU4</v>
      </c>
      <c r="AG2053" s="80" t="str">
        <f t="shared" si="343"/>
        <v>LCOV4</v>
      </c>
      <c r="AH2053" s="80" t="str">
        <f t="shared" si="344"/>
        <v>LCOX4</v>
      </c>
    </row>
    <row r="2054" spans="25:34" x14ac:dyDescent="0.35">
      <c r="Y2054" s="74">
        <f t="shared" si="335"/>
        <v>45457</v>
      </c>
      <c r="Z2054" s="74" t="e">
        <f t="shared" ca="1" si="336"/>
        <v>#N/A</v>
      </c>
      <c r="AA2054" s="80" t="e">
        <f t="shared" ca="1" si="337"/>
        <v>#N/A</v>
      </c>
      <c r="AB2054" s="74" t="e">
        <f t="shared" si="339"/>
        <v>#N/A</v>
      </c>
      <c r="AC2054" s="80" t="str">
        <f t="shared" si="338"/>
        <v>LCOQ4</v>
      </c>
      <c r="AD2054" s="80" t="str">
        <f t="shared" si="340"/>
        <v>CLQ4</v>
      </c>
      <c r="AE2054" s="80" t="str">
        <f t="shared" si="341"/>
        <v>LCOU4</v>
      </c>
      <c r="AF2054" s="80" t="str">
        <f t="shared" si="342"/>
        <v>CLU4</v>
      </c>
      <c r="AG2054" s="80" t="str">
        <f t="shared" si="343"/>
        <v>LCOV4</v>
      </c>
      <c r="AH2054" s="80" t="str">
        <f t="shared" si="344"/>
        <v>LCOX4</v>
      </c>
    </row>
    <row r="2055" spans="25:34" x14ac:dyDescent="0.35">
      <c r="Y2055" s="74">
        <f t="shared" si="335"/>
        <v>45458</v>
      </c>
      <c r="Z2055" s="74" t="e">
        <f t="shared" ca="1" si="336"/>
        <v>#N/A</v>
      </c>
      <c r="AA2055" s="80" t="e">
        <f t="shared" ca="1" si="337"/>
        <v>#N/A</v>
      </c>
      <c r="AB2055" s="74" t="e">
        <f t="shared" si="339"/>
        <v>#N/A</v>
      </c>
      <c r="AC2055" s="80" t="str">
        <f t="shared" si="338"/>
        <v>LCOQ4</v>
      </c>
      <c r="AD2055" s="80" t="str">
        <f t="shared" si="340"/>
        <v>CLQ4</v>
      </c>
      <c r="AE2055" s="80" t="str">
        <f t="shared" si="341"/>
        <v>LCOU4</v>
      </c>
      <c r="AF2055" s="80" t="str">
        <f t="shared" si="342"/>
        <v>CLU4</v>
      </c>
      <c r="AG2055" s="80" t="str">
        <f t="shared" si="343"/>
        <v>LCOV4</v>
      </c>
      <c r="AH2055" s="80" t="str">
        <f t="shared" si="344"/>
        <v>LCOX4</v>
      </c>
    </row>
    <row r="2056" spans="25:34" x14ac:dyDescent="0.35">
      <c r="Y2056" s="74">
        <f t="shared" si="335"/>
        <v>45459</v>
      </c>
      <c r="Z2056" s="74" t="e">
        <f t="shared" ca="1" si="336"/>
        <v>#N/A</v>
      </c>
      <c r="AA2056" s="80" t="e">
        <f t="shared" ca="1" si="337"/>
        <v>#N/A</v>
      </c>
      <c r="AB2056" s="74" t="e">
        <f t="shared" si="339"/>
        <v>#N/A</v>
      </c>
      <c r="AC2056" s="80" t="str">
        <f t="shared" si="338"/>
        <v>LCOQ4</v>
      </c>
      <c r="AD2056" s="80" t="str">
        <f t="shared" si="340"/>
        <v>CLQ4</v>
      </c>
      <c r="AE2056" s="80" t="str">
        <f t="shared" si="341"/>
        <v>LCOU4</v>
      </c>
      <c r="AF2056" s="80" t="str">
        <f t="shared" si="342"/>
        <v>CLU4</v>
      </c>
      <c r="AG2056" s="80" t="str">
        <f t="shared" si="343"/>
        <v>LCOV4</v>
      </c>
      <c r="AH2056" s="80" t="str">
        <f t="shared" si="344"/>
        <v>LCOX4</v>
      </c>
    </row>
    <row r="2057" spans="25:34" x14ac:dyDescent="0.35">
      <c r="Y2057" s="74">
        <f t="shared" si="335"/>
        <v>45460</v>
      </c>
      <c r="Z2057" s="74" t="e">
        <f t="shared" ca="1" si="336"/>
        <v>#N/A</v>
      </c>
      <c r="AA2057" s="80" t="e">
        <f t="shared" ca="1" si="337"/>
        <v>#N/A</v>
      </c>
      <c r="AB2057" s="74" t="e">
        <f t="shared" si="339"/>
        <v>#N/A</v>
      </c>
      <c r="AC2057" s="80" t="str">
        <f t="shared" si="338"/>
        <v>LCOQ4</v>
      </c>
      <c r="AD2057" s="80" t="str">
        <f t="shared" si="340"/>
        <v>CLQ4</v>
      </c>
      <c r="AE2057" s="80" t="str">
        <f t="shared" si="341"/>
        <v>LCOU4</v>
      </c>
      <c r="AF2057" s="80" t="str">
        <f t="shared" si="342"/>
        <v>CLU4</v>
      </c>
      <c r="AG2057" s="80" t="str">
        <f t="shared" si="343"/>
        <v>LCOV4</v>
      </c>
      <c r="AH2057" s="80" t="str">
        <f t="shared" si="344"/>
        <v>LCOX4</v>
      </c>
    </row>
    <row r="2058" spans="25:34" x14ac:dyDescent="0.35">
      <c r="Y2058" s="74">
        <f t="shared" si="335"/>
        <v>45461</v>
      </c>
      <c r="Z2058" s="74" t="e">
        <f t="shared" ca="1" si="336"/>
        <v>#N/A</v>
      </c>
      <c r="AA2058" s="80" t="e">
        <f t="shared" ca="1" si="337"/>
        <v>#N/A</v>
      </c>
      <c r="AB2058" s="74" t="e">
        <f t="shared" si="339"/>
        <v>#N/A</v>
      </c>
      <c r="AC2058" s="80" t="str">
        <f t="shared" si="338"/>
        <v>LCOQ4</v>
      </c>
      <c r="AD2058" s="80" t="str">
        <f t="shared" si="340"/>
        <v>CLQ4</v>
      </c>
      <c r="AE2058" s="80" t="str">
        <f t="shared" si="341"/>
        <v>LCOU4</v>
      </c>
      <c r="AF2058" s="80" t="str">
        <f t="shared" si="342"/>
        <v>CLU4</v>
      </c>
      <c r="AG2058" s="80" t="str">
        <f t="shared" si="343"/>
        <v>LCOV4</v>
      </c>
      <c r="AH2058" s="80" t="str">
        <f t="shared" si="344"/>
        <v>LCOX4</v>
      </c>
    </row>
    <row r="2059" spans="25:34" x14ac:dyDescent="0.35">
      <c r="Y2059" s="74">
        <f t="shared" si="335"/>
        <v>45462</v>
      </c>
      <c r="Z2059" s="74" t="e">
        <f t="shared" ca="1" si="336"/>
        <v>#N/A</v>
      </c>
      <c r="AA2059" s="80" t="e">
        <f t="shared" ca="1" si="337"/>
        <v>#N/A</v>
      </c>
      <c r="AB2059" s="74" t="e">
        <f t="shared" si="339"/>
        <v>#N/A</v>
      </c>
      <c r="AC2059" s="80" t="str">
        <f t="shared" si="338"/>
        <v>LCOQ4</v>
      </c>
      <c r="AD2059" s="80" t="str">
        <f t="shared" si="340"/>
        <v>CLQ4</v>
      </c>
      <c r="AE2059" s="80" t="str">
        <f t="shared" si="341"/>
        <v>LCOU4</v>
      </c>
      <c r="AF2059" s="80" t="str">
        <f t="shared" si="342"/>
        <v>CLU4</v>
      </c>
      <c r="AG2059" s="80" t="str">
        <f t="shared" si="343"/>
        <v>LCOV4</v>
      </c>
      <c r="AH2059" s="80" t="str">
        <f t="shared" si="344"/>
        <v>LCOX4</v>
      </c>
    </row>
    <row r="2060" spans="25:34" x14ac:dyDescent="0.35">
      <c r="Y2060" s="74">
        <f t="shared" si="335"/>
        <v>45463</v>
      </c>
      <c r="Z2060" s="74" t="e">
        <f t="shared" ca="1" si="336"/>
        <v>#N/A</v>
      </c>
      <c r="AA2060" s="80" t="e">
        <f t="shared" ca="1" si="337"/>
        <v>#N/A</v>
      </c>
      <c r="AB2060" s="74" t="e">
        <f t="shared" si="339"/>
        <v>#N/A</v>
      </c>
      <c r="AC2060" s="80" t="str">
        <f t="shared" si="338"/>
        <v>LCOQ4</v>
      </c>
      <c r="AD2060" s="80" t="str">
        <f t="shared" si="340"/>
        <v>CLQ4</v>
      </c>
      <c r="AE2060" s="80" t="str">
        <f t="shared" si="341"/>
        <v>LCOU4</v>
      </c>
      <c r="AF2060" s="80" t="str">
        <f t="shared" si="342"/>
        <v>CLU4</v>
      </c>
      <c r="AG2060" s="80" t="str">
        <f t="shared" si="343"/>
        <v>LCOV4</v>
      </c>
      <c r="AH2060" s="80" t="str">
        <f t="shared" si="344"/>
        <v>LCOX4</v>
      </c>
    </row>
    <row r="2061" spans="25:34" x14ac:dyDescent="0.35">
      <c r="Y2061" s="74">
        <f t="shared" si="335"/>
        <v>45464</v>
      </c>
      <c r="Z2061" s="74" t="e">
        <f t="shared" ca="1" si="336"/>
        <v>#N/A</v>
      </c>
      <c r="AA2061" s="80" t="e">
        <f t="shared" ca="1" si="337"/>
        <v>#N/A</v>
      </c>
      <c r="AB2061" s="74" t="e">
        <f t="shared" si="339"/>
        <v>#N/A</v>
      </c>
      <c r="AC2061" s="80" t="str">
        <f t="shared" si="338"/>
        <v>LCOQ4</v>
      </c>
      <c r="AD2061" s="80" t="str">
        <f t="shared" si="340"/>
        <v>CLQ4</v>
      </c>
      <c r="AE2061" s="80" t="str">
        <f t="shared" si="341"/>
        <v>LCOU4</v>
      </c>
      <c r="AF2061" s="80" t="str">
        <f t="shared" si="342"/>
        <v>CLU4</v>
      </c>
      <c r="AG2061" s="80" t="str">
        <f t="shared" si="343"/>
        <v>LCOV4</v>
      </c>
      <c r="AH2061" s="80" t="str">
        <f t="shared" si="344"/>
        <v>LCOX4</v>
      </c>
    </row>
    <row r="2062" spans="25:34" x14ac:dyDescent="0.35">
      <c r="Y2062" s="74">
        <f t="shared" si="335"/>
        <v>45465</v>
      </c>
      <c r="Z2062" s="74" t="e">
        <f t="shared" ca="1" si="336"/>
        <v>#N/A</v>
      </c>
      <c r="AA2062" s="80" t="e">
        <f t="shared" ca="1" si="337"/>
        <v>#N/A</v>
      </c>
      <c r="AB2062" s="74" t="e">
        <f t="shared" si="339"/>
        <v>#N/A</v>
      </c>
      <c r="AC2062" s="80" t="str">
        <f t="shared" si="338"/>
        <v>LCOQ4</v>
      </c>
      <c r="AD2062" s="80" t="str">
        <f t="shared" si="340"/>
        <v>CLQ4</v>
      </c>
      <c r="AE2062" s="80" t="str">
        <f t="shared" si="341"/>
        <v>LCOU4</v>
      </c>
      <c r="AF2062" s="80" t="str">
        <f t="shared" si="342"/>
        <v>CLU4</v>
      </c>
      <c r="AG2062" s="80" t="str">
        <f t="shared" si="343"/>
        <v>LCOV4</v>
      </c>
      <c r="AH2062" s="80" t="str">
        <f t="shared" si="344"/>
        <v>LCOX4</v>
      </c>
    </row>
    <row r="2063" spans="25:34" x14ac:dyDescent="0.35">
      <c r="Y2063" s="74">
        <f t="shared" si="335"/>
        <v>45466</v>
      </c>
      <c r="Z2063" s="74" t="e">
        <f t="shared" ca="1" si="336"/>
        <v>#N/A</v>
      </c>
      <c r="AA2063" s="80" t="e">
        <f t="shared" ca="1" si="337"/>
        <v>#N/A</v>
      </c>
      <c r="AB2063" s="74" t="e">
        <f t="shared" si="339"/>
        <v>#N/A</v>
      </c>
      <c r="AC2063" s="80" t="str">
        <f t="shared" si="338"/>
        <v>LCOQ4</v>
      </c>
      <c r="AD2063" s="80" t="str">
        <f t="shared" si="340"/>
        <v>CLQ4</v>
      </c>
      <c r="AE2063" s="80" t="str">
        <f t="shared" si="341"/>
        <v>LCOU4</v>
      </c>
      <c r="AF2063" s="80" t="str">
        <f t="shared" si="342"/>
        <v>CLU4</v>
      </c>
      <c r="AG2063" s="80" t="str">
        <f t="shared" si="343"/>
        <v>LCOV4</v>
      </c>
      <c r="AH2063" s="80" t="str">
        <f t="shared" si="344"/>
        <v>LCOX4</v>
      </c>
    </row>
    <row r="2064" spans="25:34" x14ac:dyDescent="0.35">
      <c r="Y2064" s="74">
        <f t="shared" si="335"/>
        <v>45467</v>
      </c>
      <c r="Z2064" s="74" t="e">
        <f t="shared" ca="1" si="336"/>
        <v>#N/A</v>
      </c>
      <c r="AA2064" s="80" t="e">
        <f t="shared" ca="1" si="337"/>
        <v>#N/A</v>
      </c>
      <c r="AB2064" s="74" t="e">
        <f t="shared" si="339"/>
        <v>#N/A</v>
      </c>
      <c r="AC2064" s="80" t="str">
        <f t="shared" si="338"/>
        <v>LCOQ4</v>
      </c>
      <c r="AD2064" s="80" t="str">
        <f t="shared" si="340"/>
        <v>CLQ4</v>
      </c>
      <c r="AE2064" s="80" t="str">
        <f t="shared" si="341"/>
        <v>LCOU4</v>
      </c>
      <c r="AF2064" s="80" t="str">
        <f t="shared" si="342"/>
        <v>CLU4</v>
      </c>
      <c r="AG2064" s="80" t="str">
        <f t="shared" si="343"/>
        <v>LCOV4</v>
      </c>
      <c r="AH2064" s="80" t="str">
        <f t="shared" si="344"/>
        <v>LCOX4</v>
      </c>
    </row>
    <row r="2065" spans="25:34" x14ac:dyDescent="0.35">
      <c r="Y2065" s="74">
        <f t="shared" si="335"/>
        <v>45468</v>
      </c>
      <c r="Z2065" s="74" t="e">
        <f t="shared" ca="1" si="336"/>
        <v>#N/A</v>
      </c>
      <c r="AA2065" s="80" t="e">
        <f t="shared" ca="1" si="337"/>
        <v>#N/A</v>
      </c>
      <c r="AB2065" s="74" t="e">
        <f t="shared" si="339"/>
        <v>#N/A</v>
      </c>
      <c r="AC2065" s="80" t="str">
        <f t="shared" si="338"/>
        <v>LCOQ4</v>
      </c>
      <c r="AD2065" s="80" t="str">
        <f t="shared" si="340"/>
        <v>CLQ4</v>
      </c>
      <c r="AE2065" s="80" t="str">
        <f t="shared" si="341"/>
        <v>LCOU4</v>
      </c>
      <c r="AF2065" s="80" t="str">
        <f t="shared" si="342"/>
        <v>CLU4</v>
      </c>
      <c r="AG2065" s="80" t="str">
        <f t="shared" si="343"/>
        <v>LCOV4</v>
      </c>
      <c r="AH2065" s="80" t="str">
        <f t="shared" si="344"/>
        <v>LCOX4</v>
      </c>
    </row>
    <row r="2066" spans="25:34" x14ac:dyDescent="0.35">
      <c r="Y2066" s="74">
        <f t="shared" si="335"/>
        <v>45469</v>
      </c>
      <c r="Z2066" s="74" t="e">
        <f t="shared" ca="1" si="336"/>
        <v>#N/A</v>
      </c>
      <c r="AA2066" s="80" t="e">
        <f t="shared" ca="1" si="337"/>
        <v>#N/A</v>
      </c>
      <c r="AB2066" s="74" t="e">
        <f t="shared" si="339"/>
        <v>#N/A</v>
      </c>
      <c r="AC2066" s="80" t="str">
        <f t="shared" si="338"/>
        <v>LCOQ4</v>
      </c>
      <c r="AD2066" s="80" t="str">
        <f t="shared" si="340"/>
        <v>CLQ4</v>
      </c>
      <c r="AE2066" s="80" t="str">
        <f t="shared" si="341"/>
        <v>LCOU4</v>
      </c>
      <c r="AF2066" s="80" t="str">
        <f t="shared" si="342"/>
        <v>CLU4</v>
      </c>
      <c r="AG2066" s="80" t="str">
        <f t="shared" si="343"/>
        <v>LCOV4</v>
      </c>
      <c r="AH2066" s="80" t="str">
        <f t="shared" si="344"/>
        <v>LCOX4</v>
      </c>
    </row>
    <row r="2067" spans="25:34" x14ac:dyDescent="0.35">
      <c r="Y2067" s="74">
        <f t="shared" si="335"/>
        <v>45470</v>
      </c>
      <c r="Z2067" s="74" t="e">
        <f t="shared" ca="1" si="336"/>
        <v>#N/A</v>
      </c>
      <c r="AA2067" s="80" t="e">
        <f t="shared" ca="1" si="337"/>
        <v>#N/A</v>
      </c>
      <c r="AB2067" s="74" t="e">
        <f t="shared" si="339"/>
        <v>#N/A</v>
      </c>
      <c r="AC2067" s="80" t="str">
        <f t="shared" si="338"/>
        <v>LCOQ4</v>
      </c>
      <c r="AD2067" s="80" t="str">
        <f t="shared" si="340"/>
        <v>CLQ4</v>
      </c>
      <c r="AE2067" s="80" t="str">
        <f t="shared" si="341"/>
        <v>LCOU4</v>
      </c>
      <c r="AF2067" s="80" t="str">
        <f t="shared" si="342"/>
        <v>CLU4</v>
      </c>
      <c r="AG2067" s="80" t="str">
        <f t="shared" si="343"/>
        <v>LCOV4</v>
      </c>
      <c r="AH2067" s="80" t="str">
        <f t="shared" si="344"/>
        <v>LCOX4</v>
      </c>
    </row>
    <row r="2068" spans="25:34" x14ac:dyDescent="0.35">
      <c r="Y2068" s="74">
        <f t="shared" si="335"/>
        <v>45471</v>
      </c>
      <c r="Z2068" s="74" t="e">
        <f t="shared" ca="1" si="336"/>
        <v>#N/A</v>
      </c>
      <c r="AA2068" s="80" t="e">
        <f t="shared" ca="1" si="337"/>
        <v>#N/A</v>
      </c>
      <c r="AB2068" s="74" t="e">
        <f t="shared" si="339"/>
        <v>#N/A</v>
      </c>
      <c r="AC2068" s="80" t="str">
        <f t="shared" si="338"/>
        <v>LCOQ4</v>
      </c>
      <c r="AD2068" s="80" t="str">
        <f t="shared" si="340"/>
        <v>CLQ4</v>
      </c>
      <c r="AE2068" s="80" t="str">
        <f t="shared" si="341"/>
        <v>LCOU4</v>
      </c>
      <c r="AF2068" s="80" t="str">
        <f t="shared" si="342"/>
        <v>CLU4</v>
      </c>
      <c r="AG2068" s="80" t="str">
        <f t="shared" si="343"/>
        <v>LCOV4</v>
      </c>
      <c r="AH2068" s="80" t="str">
        <f t="shared" si="344"/>
        <v>LCOX4</v>
      </c>
    </row>
    <row r="2069" spans="25:34" x14ac:dyDescent="0.35">
      <c r="Y2069" s="74">
        <f t="shared" si="335"/>
        <v>45472</v>
      </c>
      <c r="Z2069" s="74" t="e">
        <f t="shared" ca="1" si="336"/>
        <v>#N/A</v>
      </c>
      <c r="AA2069" s="80" t="e">
        <f t="shared" ca="1" si="337"/>
        <v>#N/A</v>
      </c>
      <c r="AB2069" s="74" t="e">
        <f t="shared" si="339"/>
        <v>#N/A</v>
      </c>
      <c r="AC2069" s="80" t="str">
        <f t="shared" si="338"/>
        <v>LCOU4</v>
      </c>
      <c r="AD2069" s="80" t="str">
        <f t="shared" si="340"/>
        <v>CLU4</v>
      </c>
      <c r="AE2069" s="80" t="str">
        <f t="shared" si="341"/>
        <v>LCOV4</v>
      </c>
      <c r="AF2069" s="80" t="str">
        <f t="shared" si="342"/>
        <v>CLV4</v>
      </c>
      <c r="AG2069" s="80" t="str">
        <f t="shared" si="343"/>
        <v>LCOX4</v>
      </c>
      <c r="AH2069" s="80" t="str">
        <f t="shared" si="344"/>
        <v>LCOZ4</v>
      </c>
    </row>
    <row r="2070" spans="25:34" x14ac:dyDescent="0.35">
      <c r="Y2070" s="74">
        <f t="shared" si="335"/>
        <v>45473</v>
      </c>
      <c r="Z2070" s="74" t="e">
        <f t="shared" ca="1" si="336"/>
        <v>#N/A</v>
      </c>
      <c r="AA2070" s="80" t="e">
        <f t="shared" ca="1" si="337"/>
        <v>#N/A</v>
      </c>
      <c r="AB2070" s="74" t="e">
        <f t="shared" si="339"/>
        <v>#N/A</v>
      </c>
      <c r="AC2070" s="80" t="str">
        <f t="shared" si="338"/>
        <v>LCOU4</v>
      </c>
      <c r="AD2070" s="80" t="str">
        <f t="shared" si="340"/>
        <v>CLU4</v>
      </c>
      <c r="AE2070" s="80" t="str">
        <f t="shared" si="341"/>
        <v>LCOV4</v>
      </c>
      <c r="AF2070" s="80" t="str">
        <f t="shared" si="342"/>
        <v>CLV4</v>
      </c>
      <c r="AG2070" s="80" t="str">
        <f t="shared" si="343"/>
        <v>LCOX4</v>
      </c>
      <c r="AH2070" s="80" t="str">
        <f t="shared" si="344"/>
        <v>LCOZ4</v>
      </c>
    </row>
    <row r="2071" spans="25:34" x14ac:dyDescent="0.35">
      <c r="Y2071" s="74">
        <f t="shared" si="335"/>
        <v>45474</v>
      </c>
      <c r="Z2071" s="74" t="e">
        <f t="shared" ca="1" si="336"/>
        <v>#N/A</v>
      </c>
      <c r="AA2071" s="80" t="e">
        <f t="shared" ca="1" si="337"/>
        <v>#N/A</v>
      </c>
      <c r="AB2071" s="74" t="e">
        <f t="shared" si="339"/>
        <v>#N/A</v>
      </c>
      <c r="AC2071" s="80" t="str">
        <f t="shared" si="338"/>
        <v>LCOU4</v>
      </c>
      <c r="AD2071" s="80" t="str">
        <f t="shared" si="340"/>
        <v>CLU4</v>
      </c>
      <c r="AE2071" s="80" t="str">
        <f t="shared" si="341"/>
        <v>LCOV4</v>
      </c>
      <c r="AF2071" s="80" t="str">
        <f t="shared" si="342"/>
        <v>CLV4</v>
      </c>
      <c r="AG2071" s="80" t="str">
        <f t="shared" si="343"/>
        <v>LCOX4</v>
      </c>
      <c r="AH2071" s="80" t="str">
        <f t="shared" si="344"/>
        <v>LCOZ4</v>
      </c>
    </row>
    <row r="2072" spans="25:34" x14ac:dyDescent="0.35">
      <c r="Y2072" s="74">
        <f t="shared" si="335"/>
        <v>45475</v>
      </c>
      <c r="Z2072" s="74" t="e">
        <f t="shared" ca="1" si="336"/>
        <v>#N/A</v>
      </c>
      <c r="AA2072" s="80" t="e">
        <f t="shared" ca="1" si="337"/>
        <v>#N/A</v>
      </c>
      <c r="AB2072" s="74" t="e">
        <f t="shared" si="339"/>
        <v>#N/A</v>
      </c>
      <c r="AC2072" s="80" t="str">
        <f t="shared" si="338"/>
        <v>LCOU4</v>
      </c>
      <c r="AD2072" s="80" t="str">
        <f t="shared" si="340"/>
        <v>CLU4</v>
      </c>
      <c r="AE2072" s="80" t="str">
        <f t="shared" si="341"/>
        <v>LCOV4</v>
      </c>
      <c r="AF2072" s="80" t="str">
        <f t="shared" si="342"/>
        <v>CLV4</v>
      </c>
      <c r="AG2072" s="80" t="str">
        <f t="shared" si="343"/>
        <v>LCOX4</v>
      </c>
      <c r="AH2072" s="80" t="str">
        <f t="shared" si="344"/>
        <v>LCOZ4</v>
      </c>
    </row>
    <row r="2073" spans="25:34" x14ac:dyDescent="0.35">
      <c r="Y2073" s="74">
        <f t="shared" si="335"/>
        <v>45476</v>
      </c>
      <c r="Z2073" s="74" t="e">
        <f t="shared" ca="1" si="336"/>
        <v>#N/A</v>
      </c>
      <c r="AA2073" s="80" t="e">
        <f t="shared" ca="1" si="337"/>
        <v>#N/A</v>
      </c>
      <c r="AB2073" s="74" t="e">
        <f t="shared" si="339"/>
        <v>#N/A</v>
      </c>
      <c r="AC2073" s="80" t="str">
        <f t="shared" si="338"/>
        <v>LCOU4</v>
      </c>
      <c r="AD2073" s="80" t="str">
        <f t="shared" si="340"/>
        <v>CLU4</v>
      </c>
      <c r="AE2073" s="80" t="str">
        <f t="shared" si="341"/>
        <v>LCOV4</v>
      </c>
      <c r="AF2073" s="80" t="str">
        <f t="shared" si="342"/>
        <v>CLV4</v>
      </c>
      <c r="AG2073" s="80" t="str">
        <f t="shared" si="343"/>
        <v>LCOX4</v>
      </c>
      <c r="AH2073" s="80" t="str">
        <f t="shared" si="344"/>
        <v>LCOZ4</v>
      </c>
    </row>
    <row r="2074" spans="25:34" x14ac:dyDescent="0.35">
      <c r="Y2074" s="74">
        <f t="shared" si="335"/>
        <v>45477</v>
      </c>
      <c r="Z2074" s="74" t="e">
        <f t="shared" ca="1" si="336"/>
        <v>#N/A</v>
      </c>
      <c r="AA2074" s="80" t="e">
        <f t="shared" ca="1" si="337"/>
        <v>#N/A</v>
      </c>
      <c r="AB2074" s="74" t="e">
        <f t="shared" si="339"/>
        <v>#N/A</v>
      </c>
      <c r="AC2074" s="80" t="str">
        <f t="shared" si="338"/>
        <v>LCOU4</v>
      </c>
      <c r="AD2074" s="80" t="str">
        <f t="shared" si="340"/>
        <v>CLU4</v>
      </c>
      <c r="AE2074" s="80" t="str">
        <f t="shared" si="341"/>
        <v>LCOV4</v>
      </c>
      <c r="AF2074" s="80" t="str">
        <f t="shared" si="342"/>
        <v>CLV4</v>
      </c>
      <c r="AG2074" s="80" t="str">
        <f t="shared" si="343"/>
        <v>LCOX4</v>
      </c>
      <c r="AH2074" s="80" t="str">
        <f t="shared" si="344"/>
        <v>LCOZ4</v>
      </c>
    </row>
    <row r="2075" spans="25:34" x14ac:dyDescent="0.35">
      <c r="Y2075" s="74">
        <f t="shared" si="335"/>
        <v>45478</v>
      </c>
      <c r="Z2075" s="74" t="e">
        <f t="shared" ca="1" si="336"/>
        <v>#N/A</v>
      </c>
      <c r="AA2075" s="80" t="e">
        <f t="shared" ca="1" si="337"/>
        <v>#N/A</v>
      </c>
      <c r="AB2075" s="74" t="e">
        <f t="shared" si="339"/>
        <v>#N/A</v>
      </c>
      <c r="AC2075" s="80" t="str">
        <f t="shared" si="338"/>
        <v>LCOU4</v>
      </c>
      <c r="AD2075" s="80" t="str">
        <f t="shared" si="340"/>
        <v>CLU4</v>
      </c>
      <c r="AE2075" s="80" t="str">
        <f t="shared" si="341"/>
        <v>LCOV4</v>
      </c>
      <c r="AF2075" s="80" t="str">
        <f t="shared" si="342"/>
        <v>CLV4</v>
      </c>
      <c r="AG2075" s="80" t="str">
        <f t="shared" si="343"/>
        <v>LCOX4</v>
      </c>
      <c r="AH2075" s="80" t="str">
        <f t="shared" si="344"/>
        <v>LCOZ4</v>
      </c>
    </row>
    <row r="2076" spans="25:34" x14ac:dyDescent="0.35">
      <c r="Y2076" s="74">
        <f t="shared" si="335"/>
        <v>45479</v>
      </c>
      <c r="Z2076" s="74" t="e">
        <f t="shared" ca="1" si="336"/>
        <v>#N/A</v>
      </c>
      <c r="AA2076" s="80" t="e">
        <f t="shared" ca="1" si="337"/>
        <v>#N/A</v>
      </c>
      <c r="AB2076" s="74" t="e">
        <f t="shared" si="339"/>
        <v>#N/A</v>
      </c>
      <c r="AC2076" s="80" t="str">
        <f t="shared" si="338"/>
        <v>LCOU4</v>
      </c>
      <c r="AD2076" s="80" t="str">
        <f t="shared" si="340"/>
        <v>CLU4</v>
      </c>
      <c r="AE2076" s="80" t="str">
        <f t="shared" si="341"/>
        <v>LCOV4</v>
      </c>
      <c r="AF2076" s="80" t="str">
        <f t="shared" si="342"/>
        <v>CLV4</v>
      </c>
      <c r="AG2076" s="80" t="str">
        <f t="shared" si="343"/>
        <v>LCOX4</v>
      </c>
      <c r="AH2076" s="80" t="str">
        <f t="shared" si="344"/>
        <v>LCOZ4</v>
      </c>
    </row>
    <row r="2077" spans="25:34" x14ac:dyDescent="0.35">
      <c r="Y2077" s="74">
        <f t="shared" si="335"/>
        <v>45480</v>
      </c>
      <c r="Z2077" s="74" t="e">
        <f t="shared" ca="1" si="336"/>
        <v>#N/A</v>
      </c>
      <c r="AA2077" s="80" t="e">
        <f t="shared" ca="1" si="337"/>
        <v>#N/A</v>
      </c>
      <c r="AB2077" s="74" t="e">
        <f t="shared" si="339"/>
        <v>#N/A</v>
      </c>
      <c r="AC2077" s="80" t="str">
        <f t="shared" si="338"/>
        <v>LCOU4</v>
      </c>
      <c r="AD2077" s="80" t="str">
        <f t="shared" si="340"/>
        <v>CLU4</v>
      </c>
      <c r="AE2077" s="80" t="str">
        <f t="shared" si="341"/>
        <v>LCOV4</v>
      </c>
      <c r="AF2077" s="80" t="str">
        <f t="shared" si="342"/>
        <v>CLV4</v>
      </c>
      <c r="AG2077" s="80" t="str">
        <f t="shared" si="343"/>
        <v>LCOX4</v>
      </c>
      <c r="AH2077" s="80" t="str">
        <f t="shared" si="344"/>
        <v>LCOZ4</v>
      </c>
    </row>
    <row r="2078" spans="25:34" x14ac:dyDescent="0.35">
      <c r="Y2078" s="74">
        <f t="shared" si="335"/>
        <v>45481</v>
      </c>
      <c r="Z2078" s="74" t="e">
        <f t="shared" ca="1" si="336"/>
        <v>#N/A</v>
      </c>
      <c r="AA2078" s="80" t="e">
        <f t="shared" ca="1" si="337"/>
        <v>#N/A</v>
      </c>
      <c r="AB2078" s="74" t="e">
        <f t="shared" si="339"/>
        <v>#N/A</v>
      </c>
      <c r="AC2078" s="80" t="str">
        <f t="shared" si="338"/>
        <v>LCOU4</v>
      </c>
      <c r="AD2078" s="80" t="str">
        <f t="shared" si="340"/>
        <v>CLU4</v>
      </c>
      <c r="AE2078" s="80" t="str">
        <f t="shared" si="341"/>
        <v>LCOV4</v>
      </c>
      <c r="AF2078" s="80" t="str">
        <f t="shared" si="342"/>
        <v>CLV4</v>
      </c>
      <c r="AG2078" s="80" t="str">
        <f t="shared" si="343"/>
        <v>LCOX4</v>
      </c>
      <c r="AH2078" s="80" t="str">
        <f t="shared" si="344"/>
        <v>LCOZ4</v>
      </c>
    </row>
    <row r="2079" spans="25:34" x14ac:dyDescent="0.35">
      <c r="Y2079" s="74">
        <f t="shared" si="335"/>
        <v>45482</v>
      </c>
      <c r="Z2079" s="74" t="e">
        <f t="shared" ca="1" si="336"/>
        <v>#N/A</v>
      </c>
      <c r="AA2079" s="80" t="e">
        <f t="shared" ca="1" si="337"/>
        <v>#N/A</v>
      </c>
      <c r="AB2079" s="74" t="e">
        <f t="shared" si="339"/>
        <v>#N/A</v>
      </c>
      <c r="AC2079" s="80" t="str">
        <f t="shared" si="338"/>
        <v>LCOU4</v>
      </c>
      <c r="AD2079" s="80" t="str">
        <f t="shared" si="340"/>
        <v>CLU4</v>
      </c>
      <c r="AE2079" s="80" t="str">
        <f t="shared" si="341"/>
        <v>LCOV4</v>
      </c>
      <c r="AF2079" s="80" t="str">
        <f t="shared" si="342"/>
        <v>CLV4</v>
      </c>
      <c r="AG2079" s="80" t="str">
        <f t="shared" si="343"/>
        <v>LCOX4</v>
      </c>
      <c r="AH2079" s="80" t="str">
        <f t="shared" si="344"/>
        <v>LCOZ4</v>
      </c>
    </row>
    <row r="2080" spans="25:34" x14ac:dyDescent="0.35">
      <c r="Y2080" s="74">
        <f t="shared" si="335"/>
        <v>45483</v>
      </c>
      <c r="Z2080" s="74" t="e">
        <f t="shared" ca="1" si="336"/>
        <v>#N/A</v>
      </c>
      <c r="AA2080" s="80" t="e">
        <f t="shared" ca="1" si="337"/>
        <v>#N/A</v>
      </c>
      <c r="AB2080" s="74" t="e">
        <f t="shared" si="339"/>
        <v>#N/A</v>
      </c>
      <c r="AC2080" s="80" t="str">
        <f t="shared" si="338"/>
        <v>LCOU4</v>
      </c>
      <c r="AD2080" s="80" t="str">
        <f t="shared" si="340"/>
        <v>CLU4</v>
      </c>
      <c r="AE2080" s="80" t="str">
        <f t="shared" si="341"/>
        <v>LCOV4</v>
      </c>
      <c r="AF2080" s="80" t="str">
        <f t="shared" si="342"/>
        <v>CLV4</v>
      </c>
      <c r="AG2080" s="80" t="str">
        <f t="shared" si="343"/>
        <v>LCOX4</v>
      </c>
      <c r="AH2080" s="80" t="str">
        <f t="shared" si="344"/>
        <v>LCOZ4</v>
      </c>
    </row>
    <row r="2081" spans="25:34" x14ac:dyDescent="0.35">
      <c r="Y2081" s="74">
        <f t="shared" ref="Y2081:Y2144" si="345">Y2080+1</f>
        <v>45484</v>
      </c>
      <c r="Z2081" s="74" t="e">
        <f t="shared" ca="1" si="336"/>
        <v>#N/A</v>
      </c>
      <c r="AA2081" s="80" t="e">
        <f t="shared" ca="1" si="337"/>
        <v>#N/A</v>
      </c>
      <c r="AB2081" s="74" t="e">
        <f t="shared" si="339"/>
        <v>#N/A</v>
      </c>
      <c r="AC2081" s="80" t="str">
        <f t="shared" si="338"/>
        <v>LCOU4</v>
      </c>
      <c r="AD2081" s="80" t="str">
        <f t="shared" si="340"/>
        <v>CLU4</v>
      </c>
      <c r="AE2081" s="80" t="str">
        <f t="shared" si="341"/>
        <v>LCOV4</v>
      </c>
      <c r="AF2081" s="80" t="str">
        <f t="shared" si="342"/>
        <v>CLV4</v>
      </c>
      <c r="AG2081" s="80" t="str">
        <f t="shared" si="343"/>
        <v>LCOX4</v>
      </c>
      <c r="AH2081" s="80" t="str">
        <f t="shared" si="344"/>
        <v>LCOZ4</v>
      </c>
    </row>
    <row r="2082" spans="25:34" x14ac:dyDescent="0.35">
      <c r="Y2082" s="74">
        <f t="shared" si="345"/>
        <v>45485</v>
      </c>
      <c r="Z2082" s="74" t="e">
        <f t="shared" ca="1" si="336"/>
        <v>#N/A</v>
      </c>
      <c r="AA2082" s="80" t="e">
        <f t="shared" ca="1" si="337"/>
        <v>#N/A</v>
      </c>
      <c r="AB2082" s="74" t="e">
        <f t="shared" si="339"/>
        <v>#N/A</v>
      </c>
      <c r="AC2082" s="80" t="str">
        <f t="shared" si="338"/>
        <v>LCOU4</v>
      </c>
      <c r="AD2082" s="80" t="str">
        <f t="shared" si="340"/>
        <v>CLU4</v>
      </c>
      <c r="AE2082" s="80" t="str">
        <f t="shared" si="341"/>
        <v>LCOV4</v>
      </c>
      <c r="AF2082" s="80" t="str">
        <f t="shared" si="342"/>
        <v>CLV4</v>
      </c>
      <c r="AG2082" s="80" t="str">
        <f t="shared" si="343"/>
        <v>LCOX4</v>
      </c>
      <c r="AH2082" s="80" t="str">
        <f t="shared" si="344"/>
        <v>LCOZ4</v>
      </c>
    </row>
    <row r="2083" spans="25:34" x14ac:dyDescent="0.35">
      <c r="Y2083" s="74">
        <f t="shared" si="345"/>
        <v>45486</v>
      </c>
      <c r="Z2083" s="74" t="e">
        <f t="shared" ca="1" si="336"/>
        <v>#N/A</v>
      </c>
      <c r="AA2083" s="80" t="e">
        <f t="shared" ca="1" si="337"/>
        <v>#N/A</v>
      </c>
      <c r="AB2083" s="74" t="e">
        <f t="shared" si="339"/>
        <v>#N/A</v>
      </c>
      <c r="AC2083" s="80" t="str">
        <f t="shared" si="338"/>
        <v>LCOU4</v>
      </c>
      <c r="AD2083" s="80" t="str">
        <f t="shared" si="340"/>
        <v>CLU4</v>
      </c>
      <c r="AE2083" s="80" t="str">
        <f t="shared" si="341"/>
        <v>LCOV4</v>
      </c>
      <c r="AF2083" s="80" t="str">
        <f t="shared" si="342"/>
        <v>CLV4</v>
      </c>
      <c r="AG2083" s="80" t="str">
        <f t="shared" si="343"/>
        <v>LCOX4</v>
      </c>
      <c r="AH2083" s="80" t="str">
        <f t="shared" si="344"/>
        <v>LCOZ4</v>
      </c>
    </row>
    <row r="2084" spans="25:34" x14ac:dyDescent="0.35">
      <c r="Y2084" s="74">
        <f t="shared" si="345"/>
        <v>45487</v>
      </c>
      <c r="Z2084" s="74" t="e">
        <f t="shared" ca="1" si="336"/>
        <v>#N/A</v>
      </c>
      <c r="AA2084" s="80" t="e">
        <f t="shared" ca="1" si="337"/>
        <v>#N/A</v>
      </c>
      <c r="AB2084" s="74" t="e">
        <f t="shared" si="339"/>
        <v>#N/A</v>
      </c>
      <c r="AC2084" s="80" t="str">
        <f t="shared" si="338"/>
        <v>LCOU4</v>
      </c>
      <c r="AD2084" s="80" t="str">
        <f t="shared" si="340"/>
        <v>CLU4</v>
      </c>
      <c r="AE2084" s="80" t="str">
        <f t="shared" si="341"/>
        <v>LCOV4</v>
      </c>
      <c r="AF2084" s="80" t="str">
        <f t="shared" si="342"/>
        <v>CLV4</v>
      </c>
      <c r="AG2084" s="80" t="str">
        <f t="shared" si="343"/>
        <v>LCOX4</v>
      </c>
      <c r="AH2084" s="80" t="str">
        <f t="shared" si="344"/>
        <v>LCOZ4</v>
      </c>
    </row>
    <row r="2085" spans="25:34" x14ac:dyDescent="0.35">
      <c r="Y2085" s="74">
        <f t="shared" si="345"/>
        <v>45488</v>
      </c>
      <c r="Z2085" s="74" t="e">
        <f t="shared" ca="1" si="336"/>
        <v>#N/A</v>
      </c>
      <c r="AA2085" s="80" t="e">
        <f t="shared" ca="1" si="337"/>
        <v>#N/A</v>
      </c>
      <c r="AB2085" s="74" t="e">
        <f t="shared" si="339"/>
        <v>#N/A</v>
      </c>
      <c r="AC2085" s="80" t="str">
        <f t="shared" si="338"/>
        <v>LCOU4</v>
      </c>
      <c r="AD2085" s="80" t="str">
        <f t="shared" si="340"/>
        <v>CLU4</v>
      </c>
      <c r="AE2085" s="80" t="str">
        <f t="shared" si="341"/>
        <v>LCOV4</v>
      </c>
      <c r="AF2085" s="80" t="str">
        <f t="shared" si="342"/>
        <v>CLV4</v>
      </c>
      <c r="AG2085" s="80" t="str">
        <f t="shared" si="343"/>
        <v>LCOX4</v>
      </c>
      <c r="AH2085" s="80" t="str">
        <f t="shared" si="344"/>
        <v>LCOZ4</v>
      </c>
    </row>
    <row r="2086" spans="25:34" x14ac:dyDescent="0.35">
      <c r="Y2086" s="74">
        <f t="shared" si="345"/>
        <v>45489</v>
      </c>
      <c r="Z2086" s="74" t="e">
        <f t="shared" ca="1" si="336"/>
        <v>#N/A</v>
      </c>
      <c r="AA2086" s="80" t="e">
        <f t="shared" ca="1" si="337"/>
        <v>#N/A</v>
      </c>
      <c r="AB2086" s="74" t="e">
        <f t="shared" si="339"/>
        <v>#N/A</v>
      </c>
      <c r="AC2086" s="80" t="str">
        <f t="shared" si="338"/>
        <v>LCOU4</v>
      </c>
      <c r="AD2086" s="80" t="str">
        <f t="shared" si="340"/>
        <v>CLU4</v>
      </c>
      <c r="AE2086" s="80" t="str">
        <f t="shared" si="341"/>
        <v>LCOV4</v>
      </c>
      <c r="AF2086" s="80" t="str">
        <f t="shared" si="342"/>
        <v>CLV4</v>
      </c>
      <c r="AG2086" s="80" t="str">
        <f t="shared" si="343"/>
        <v>LCOX4</v>
      </c>
      <c r="AH2086" s="80" t="str">
        <f t="shared" si="344"/>
        <v>LCOZ4</v>
      </c>
    </row>
    <row r="2087" spans="25:34" x14ac:dyDescent="0.35">
      <c r="Y2087" s="74">
        <f t="shared" si="345"/>
        <v>45490</v>
      </c>
      <c r="Z2087" s="74" t="e">
        <f t="shared" ca="1" si="336"/>
        <v>#N/A</v>
      </c>
      <c r="AA2087" s="80" t="e">
        <f t="shared" ca="1" si="337"/>
        <v>#N/A</v>
      </c>
      <c r="AB2087" s="74" t="e">
        <f t="shared" si="339"/>
        <v>#N/A</v>
      </c>
      <c r="AC2087" s="80" t="str">
        <f t="shared" si="338"/>
        <v>LCOU4</v>
      </c>
      <c r="AD2087" s="80" t="str">
        <f t="shared" si="340"/>
        <v>CLU4</v>
      </c>
      <c r="AE2087" s="80" t="str">
        <f t="shared" si="341"/>
        <v>LCOV4</v>
      </c>
      <c r="AF2087" s="80" t="str">
        <f t="shared" si="342"/>
        <v>CLV4</v>
      </c>
      <c r="AG2087" s="80" t="str">
        <f t="shared" si="343"/>
        <v>LCOX4</v>
      </c>
      <c r="AH2087" s="80" t="str">
        <f t="shared" si="344"/>
        <v>LCOZ4</v>
      </c>
    </row>
    <row r="2088" spans="25:34" x14ac:dyDescent="0.35">
      <c r="Y2088" s="74">
        <f t="shared" si="345"/>
        <v>45491</v>
      </c>
      <c r="Z2088" s="74" t="e">
        <f t="shared" ca="1" si="336"/>
        <v>#N/A</v>
      </c>
      <c r="AA2088" s="80" t="e">
        <f t="shared" ca="1" si="337"/>
        <v>#N/A</v>
      </c>
      <c r="AB2088" s="74" t="e">
        <f t="shared" si="339"/>
        <v>#N/A</v>
      </c>
      <c r="AC2088" s="80" t="str">
        <f t="shared" si="338"/>
        <v>LCOU4</v>
      </c>
      <c r="AD2088" s="80" t="str">
        <f t="shared" si="340"/>
        <v>CLU4</v>
      </c>
      <c r="AE2088" s="80" t="str">
        <f t="shared" si="341"/>
        <v>LCOV4</v>
      </c>
      <c r="AF2088" s="80" t="str">
        <f t="shared" si="342"/>
        <v>CLV4</v>
      </c>
      <c r="AG2088" s="80" t="str">
        <f t="shared" si="343"/>
        <v>LCOX4</v>
      </c>
      <c r="AH2088" s="80" t="str">
        <f t="shared" si="344"/>
        <v>LCOZ4</v>
      </c>
    </row>
    <row r="2089" spans="25:34" x14ac:dyDescent="0.35">
      <c r="Y2089" s="74">
        <f t="shared" si="345"/>
        <v>45492</v>
      </c>
      <c r="Z2089" s="74" t="e">
        <f t="shared" ca="1" si="336"/>
        <v>#N/A</v>
      </c>
      <c r="AA2089" s="80" t="e">
        <f t="shared" ca="1" si="337"/>
        <v>#N/A</v>
      </c>
      <c r="AB2089" s="74" t="e">
        <f t="shared" si="339"/>
        <v>#N/A</v>
      </c>
      <c r="AC2089" s="80" t="str">
        <f t="shared" si="338"/>
        <v>LCOU4</v>
      </c>
      <c r="AD2089" s="80" t="str">
        <f t="shared" si="340"/>
        <v>CLU4</v>
      </c>
      <c r="AE2089" s="80" t="str">
        <f t="shared" si="341"/>
        <v>LCOV4</v>
      </c>
      <c r="AF2089" s="80" t="str">
        <f t="shared" si="342"/>
        <v>CLV4</v>
      </c>
      <c r="AG2089" s="80" t="str">
        <f t="shared" si="343"/>
        <v>LCOX4</v>
      </c>
      <c r="AH2089" s="80" t="str">
        <f t="shared" si="344"/>
        <v>LCOZ4</v>
      </c>
    </row>
    <row r="2090" spans="25:34" x14ac:dyDescent="0.35">
      <c r="Y2090" s="74">
        <f t="shared" si="345"/>
        <v>45493</v>
      </c>
      <c r="Z2090" s="74" t="e">
        <f t="shared" ca="1" si="336"/>
        <v>#N/A</v>
      </c>
      <c r="AA2090" s="80" t="e">
        <f t="shared" ca="1" si="337"/>
        <v>#N/A</v>
      </c>
      <c r="AB2090" s="74" t="e">
        <f t="shared" si="339"/>
        <v>#N/A</v>
      </c>
      <c r="AC2090" s="80" t="str">
        <f t="shared" si="338"/>
        <v>LCOU4</v>
      </c>
      <c r="AD2090" s="80" t="str">
        <f t="shared" si="340"/>
        <v>CLU4</v>
      </c>
      <c r="AE2090" s="80" t="str">
        <f t="shared" si="341"/>
        <v>LCOV4</v>
      </c>
      <c r="AF2090" s="80" t="str">
        <f t="shared" si="342"/>
        <v>CLV4</v>
      </c>
      <c r="AG2090" s="80" t="str">
        <f t="shared" si="343"/>
        <v>LCOX4</v>
      </c>
      <c r="AH2090" s="80" t="str">
        <f t="shared" si="344"/>
        <v>LCOZ4</v>
      </c>
    </row>
    <row r="2091" spans="25:34" x14ac:dyDescent="0.35">
      <c r="Y2091" s="74">
        <f t="shared" si="345"/>
        <v>45494</v>
      </c>
      <c r="Z2091" s="74" t="e">
        <f t="shared" ca="1" si="336"/>
        <v>#N/A</v>
      </c>
      <c r="AA2091" s="80" t="e">
        <f t="shared" ca="1" si="337"/>
        <v>#N/A</v>
      </c>
      <c r="AB2091" s="74" t="e">
        <f t="shared" si="339"/>
        <v>#N/A</v>
      </c>
      <c r="AC2091" s="80" t="str">
        <f t="shared" si="338"/>
        <v>LCOU4</v>
      </c>
      <c r="AD2091" s="80" t="str">
        <f t="shared" si="340"/>
        <v>CLU4</v>
      </c>
      <c r="AE2091" s="80" t="str">
        <f t="shared" si="341"/>
        <v>LCOV4</v>
      </c>
      <c r="AF2091" s="80" t="str">
        <f t="shared" si="342"/>
        <v>CLV4</v>
      </c>
      <c r="AG2091" s="80" t="str">
        <f t="shared" si="343"/>
        <v>LCOX4</v>
      </c>
      <c r="AH2091" s="80" t="str">
        <f t="shared" si="344"/>
        <v>LCOZ4</v>
      </c>
    </row>
    <row r="2092" spans="25:34" x14ac:dyDescent="0.35">
      <c r="Y2092" s="74">
        <f t="shared" si="345"/>
        <v>45495</v>
      </c>
      <c r="Z2092" s="74" t="e">
        <f t="shared" ca="1" si="336"/>
        <v>#N/A</v>
      </c>
      <c r="AA2092" s="80" t="e">
        <f t="shared" ca="1" si="337"/>
        <v>#N/A</v>
      </c>
      <c r="AB2092" s="74" t="e">
        <f t="shared" si="339"/>
        <v>#N/A</v>
      </c>
      <c r="AC2092" s="80" t="str">
        <f t="shared" si="338"/>
        <v>LCOU4</v>
      </c>
      <c r="AD2092" s="80" t="str">
        <f t="shared" si="340"/>
        <v>CLU4</v>
      </c>
      <c r="AE2092" s="80" t="str">
        <f t="shared" si="341"/>
        <v>LCOV4</v>
      </c>
      <c r="AF2092" s="80" t="str">
        <f t="shared" si="342"/>
        <v>CLV4</v>
      </c>
      <c r="AG2092" s="80" t="str">
        <f t="shared" si="343"/>
        <v>LCOX4</v>
      </c>
      <c r="AH2092" s="80" t="str">
        <f t="shared" si="344"/>
        <v>LCOZ4</v>
      </c>
    </row>
    <row r="2093" spans="25:34" x14ac:dyDescent="0.35">
      <c r="Y2093" s="74">
        <f t="shared" si="345"/>
        <v>45496</v>
      </c>
      <c r="Z2093" s="74" t="e">
        <f t="shared" ca="1" si="336"/>
        <v>#N/A</v>
      </c>
      <c r="AA2093" s="80" t="e">
        <f t="shared" ca="1" si="337"/>
        <v>#N/A</v>
      </c>
      <c r="AB2093" s="74" t="e">
        <f t="shared" si="339"/>
        <v>#N/A</v>
      </c>
      <c r="AC2093" s="80" t="str">
        <f t="shared" si="338"/>
        <v>LCOU4</v>
      </c>
      <c r="AD2093" s="80" t="str">
        <f t="shared" si="340"/>
        <v>CLU4</v>
      </c>
      <c r="AE2093" s="80" t="str">
        <f t="shared" si="341"/>
        <v>LCOV4</v>
      </c>
      <c r="AF2093" s="80" t="str">
        <f t="shared" si="342"/>
        <v>CLV4</v>
      </c>
      <c r="AG2093" s="80" t="str">
        <f t="shared" si="343"/>
        <v>LCOX4</v>
      </c>
      <c r="AH2093" s="80" t="str">
        <f t="shared" si="344"/>
        <v>LCOZ4</v>
      </c>
    </row>
    <row r="2094" spans="25:34" x14ac:dyDescent="0.35">
      <c r="Y2094" s="74">
        <f t="shared" si="345"/>
        <v>45497</v>
      </c>
      <c r="Z2094" s="74" t="e">
        <f t="shared" ca="1" si="336"/>
        <v>#N/A</v>
      </c>
      <c r="AA2094" s="80" t="e">
        <f t="shared" ca="1" si="337"/>
        <v>#N/A</v>
      </c>
      <c r="AB2094" s="74" t="e">
        <f t="shared" si="339"/>
        <v>#N/A</v>
      </c>
      <c r="AC2094" s="80" t="str">
        <f t="shared" si="338"/>
        <v>LCOU4</v>
      </c>
      <c r="AD2094" s="80" t="str">
        <f t="shared" si="340"/>
        <v>CLU4</v>
      </c>
      <c r="AE2094" s="80" t="str">
        <f t="shared" si="341"/>
        <v>LCOV4</v>
      </c>
      <c r="AF2094" s="80" t="str">
        <f t="shared" si="342"/>
        <v>CLV4</v>
      </c>
      <c r="AG2094" s="80" t="str">
        <f t="shared" si="343"/>
        <v>LCOX4</v>
      </c>
      <c r="AH2094" s="80" t="str">
        <f t="shared" si="344"/>
        <v>LCOZ4</v>
      </c>
    </row>
    <row r="2095" spans="25:34" x14ac:dyDescent="0.35">
      <c r="Y2095" s="74">
        <f t="shared" si="345"/>
        <v>45498</v>
      </c>
      <c r="Z2095" s="74" t="e">
        <f t="shared" ca="1" si="336"/>
        <v>#N/A</v>
      </c>
      <c r="AA2095" s="80" t="e">
        <f t="shared" ca="1" si="337"/>
        <v>#N/A</v>
      </c>
      <c r="AB2095" s="74" t="e">
        <f t="shared" si="339"/>
        <v>#N/A</v>
      </c>
      <c r="AC2095" s="80" t="str">
        <f t="shared" si="338"/>
        <v>LCOU4</v>
      </c>
      <c r="AD2095" s="80" t="str">
        <f t="shared" si="340"/>
        <v>CLU4</v>
      </c>
      <c r="AE2095" s="80" t="str">
        <f t="shared" si="341"/>
        <v>LCOV4</v>
      </c>
      <c r="AF2095" s="80" t="str">
        <f t="shared" si="342"/>
        <v>CLV4</v>
      </c>
      <c r="AG2095" s="80" t="str">
        <f t="shared" si="343"/>
        <v>LCOX4</v>
      </c>
      <c r="AH2095" s="80" t="str">
        <f t="shared" si="344"/>
        <v>LCOZ4</v>
      </c>
    </row>
    <row r="2096" spans="25:34" x14ac:dyDescent="0.35">
      <c r="Y2096" s="74">
        <f t="shared" si="345"/>
        <v>45499</v>
      </c>
      <c r="Z2096" s="74" t="e">
        <f t="shared" ca="1" si="336"/>
        <v>#N/A</v>
      </c>
      <c r="AA2096" s="80" t="e">
        <f t="shared" ca="1" si="337"/>
        <v>#N/A</v>
      </c>
      <c r="AB2096" s="74" t="e">
        <f t="shared" si="339"/>
        <v>#N/A</v>
      </c>
      <c r="AC2096" s="80" t="str">
        <f t="shared" si="338"/>
        <v>LCOU4</v>
      </c>
      <c r="AD2096" s="80" t="str">
        <f t="shared" si="340"/>
        <v>CLU4</v>
      </c>
      <c r="AE2096" s="80" t="str">
        <f t="shared" si="341"/>
        <v>LCOV4</v>
      </c>
      <c r="AF2096" s="80" t="str">
        <f t="shared" si="342"/>
        <v>CLV4</v>
      </c>
      <c r="AG2096" s="80" t="str">
        <f t="shared" si="343"/>
        <v>LCOX4</v>
      </c>
      <c r="AH2096" s="80" t="str">
        <f t="shared" si="344"/>
        <v>LCOZ4</v>
      </c>
    </row>
    <row r="2097" spans="25:34" x14ac:dyDescent="0.35">
      <c r="Y2097" s="74">
        <f t="shared" si="345"/>
        <v>45500</v>
      </c>
      <c r="Z2097" s="74" t="e">
        <f t="shared" ca="1" si="336"/>
        <v>#N/A</v>
      </c>
      <c r="AA2097" s="80" t="e">
        <f t="shared" ca="1" si="337"/>
        <v>#N/A</v>
      </c>
      <c r="AB2097" s="74" t="e">
        <f t="shared" si="339"/>
        <v>#N/A</v>
      </c>
      <c r="AC2097" s="80" t="str">
        <f t="shared" si="338"/>
        <v>LCOU4</v>
      </c>
      <c r="AD2097" s="80" t="str">
        <f t="shared" si="340"/>
        <v>CLU4</v>
      </c>
      <c r="AE2097" s="80" t="str">
        <f t="shared" si="341"/>
        <v>LCOV4</v>
      </c>
      <c r="AF2097" s="80" t="str">
        <f t="shared" si="342"/>
        <v>CLV4</v>
      </c>
      <c r="AG2097" s="80" t="str">
        <f t="shared" si="343"/>
        <v>LCOX4</v>
      </c>
      <c r="AH2097" s="80" t="str">
        <f t="shared" si="344"/>
        <v>LCOZ4</v>
      </c>
    </row>
    <row r="2098" spans="25:34" x14ac:dyDescent="0.35">
      <c r="Y2098" s="74">
        <f t="shared" si="345"/>
        <v>45501</v>
      </c>
      <c r="Z2098" s="74" t="e">
        <f t="shared" ca="1" si="336"/>
        <v>#N/A</v>
      </c>
      <c r="AA2098" s="80" t="e">
        <f t="shared" ca="1" si="337"/>
        <v>#N/A</v>
      </c>
      <c r="AB2098" s="74" t="e">
        <f t="shared" si="339"/>
        <v>#N/A</v>
      </c>
      <c r="AC2098" s="80" t="str">
        <f t="shared" si="338"/>
        <v>LCOU4</v>
      </c>
      <c r="AD2098" s="80" t="str">
        <f t="shared" si="340"/>
        <v>CLU4</v>
      </c>
      <c r="AE2098" s="80" t="str">
        <f t="shared" si="341"/>
        <v>LCOV4</v>
      </c>
      <c r="AF2098" s="80" t="str">
        <f t="shared" si="342"/>
        <v>CLV4</v>
      </c>
      <c r="AG2098" s="80" t="str">
        <f t="shared" si="343"/>
        <v>LCOX4</v>
      </c>
      <c r="AH2098" s="80" t="str">
        <f t="shared" si="344"/>
        <v>LCOZ4</v>
      </c>
    </row>
    <row r="2099" spans="25:34" x14ac:dyDescent="0.35">
      <c r="Y2099" s="74">
        <f t="shared" si="345"/>
        <v>45502</v>
      </c>
      <c r="Z2099" s="74" t="e">
        <f t="shared" ca="1" si="336"/>
        <v>#N/A</v>
      </c>
      <c r="AA2099" s="80" t="e">
        <f t="shared" ca="1" si="337"/>
        <v>#N/A</v>
      </c>
      <c r="AB2099" s="74" t="e">
        <f t="shared" si="339"/>
        <v>#N/A</v>
      </c>
      <c r="AC2099" s="80" t="str">
        <f t="shared" si="338"/>
        <v>LCOU4</v>
      </c>
      <c r="AD2099" s="80" t="str">
        <f t="shared" si="340"/>
        <v>CLU4</v>
      </c>
      <c r="AE2099" s="80" t="str">
        <f t="shared" si="341"/>
        <v>LCOV4</v>
      </c>
      <c r="AF2099" s="80" t="str">
        <f t="shared" si="342"/>
        <v>CLV4</v>
      </c>
      <c r="AG2099" s="80" t="str">
        <f t="shared" si="343"/>
        <v>LCOX4</v>
      </c>
      <c r="AH2099" s="80" t="str">
        <f t="shared" si="344"/>
        <v>LCOZ4</v>
      </c>
    </row>
    <row r="2100" spans="25:34" x14ac:dyDescent="0.35">
      <c r="Y2100" s="74">
        <f t="shared" si="345"/>
        <v>45503</v>
      </c>
      <c r="Z2100" s="74" t="e">
        <f t="shared" ca="1" si="336"/>
        <v>#N/A</v>
      </c>
      <c r="AA2100" s="80" t="e">
        <f t="shared" ca="1" si="337"/>
        <v>#N/A</v>
      </c>
      <c r="AB2100" s="74" t="e">
        <f t="shared" si="339"/>
        <v>#N/A</v>
      </c>
      <c r="AC2100" s="80" t="str">
        <f t="shared" si="338"/>
        <v>LCOU4</v>
      </c>
      <c r="AD2100" s="80" t="str">
        <f t="shared" si="340"/>
        <v>CLU4</v>
      </c>
      <c r="AE2100" s="80" t="str">
        <f t="shared" si="341"/>
        <v>LCOV4</v>
      </c>
      <c r="AF2100" s="80" t="str">
        <f t="shared" si="342"/>
        <v>CLV4</v>
      </c>
      <c r="AG2100" s="80" t="str">
        <f t="shared" si="343"/>
        <v>LCOX4</v>
      </c>
      <c r="AH2100" s="80" t="str">
        <f t="shared" si="344"/>
        <v>LCOZ4</v>
      </c>
    </row>
    <row r="2101" spans="25:34" x14ac:dyDescent="0.35">
      <c r="Y2101" s="74">
        <f t="shared" si="345"/>
        <v>45504</v>
      </c>
      <c r="Z2101" s="74" t="e">
        <f t="shared" ca="1" si="336"/>
        <v>#N/A</v>
      </c>
      <c r="AA2101" s="80" t="e">
        <f t="shared" ca="1" si="337"/>
        <v>#N/A</v>
      </c>
      <c r="AB2101" s="74" t="e">
        <f t="shared" si="339"/>
        <v>#N/A</v>
      </c>
      <c r="AC2101" s="80" t="str">
        <f t="shared" si="338"/>
        <v>LCOU4</v>
      </c>
      <c r="AD2101" s="80" t="str">
        <f t="shared" si="340"/>
        <v>CLU4</v>
      </c>
      <c r="AE2101" s="80" t="str">
        <f t="shared" si="341"/>
        <v>LCOV4</v>
      </c>
      <c r="AF2101" s="80" t="str">
        <f t="shared" si="342"/>
        <v>CLV4</v>
      </c>
      <c r="AG2101" s="80" t="str">
        <f t="shared" si="343"/>
        <v>LCOX4</v>
      </c>
      <c r="AH2101" s="80" t="str">
        <f t="shared" si="344"/>
        <v>LCOZ4</v>
      </c>
    </row>
    <row r="2102" spans="25:34" x14ac:dyDescent="0.35">
      <c r="Y2102" s="74">
        <f t="shared" si="345"/>
        <v>45505</v>
      </c>
      <c r="Z2102" s="74" t="e">
        <f t="shared" ca="1" si="336"/>
        <v>#N/A</v>
      </c>
      <c r="AA2102" s="80" t="e">
        <f t="shared" ca="1" si="337"/>
        <v>#N/A</v>
      </c>
      <c r="AB2102" s="74" t="e">
        <f t="shared" si="339"/>
        <v>#N/A</v>
      </c>
      <c r="AC2102" s="80" t="str">
        <f t="shared" si="338"/>
        <v>LCOV4</v>
      </c>
      <c r="AD2102" s="80" t="str">
        <f t="shared" si="340"/>
        <v>CLV4</v>
      </c>
      <c r="AE2102" s="80" t="str">
        <f t="shared" si="341"/>
        <v>LCOX4</v>
      </c>
      <c r="AF2102" s="80" t="str">
        <f t="shared" si="342"/>
        <v>CLX4</v>
      </c>
      <c r="AG2102" s="80" t="str">
        <f t="shared" si="343"/>
        <v>LCOZ4</v>
      </c>
      <c r="AH2102" s="80" t="str">
        <f t="shared" si="344"/>
        <v/>
      </c>
    </row>
    <row r="2103" spans="25:34" x14ac:dyDescent="0.35">
      <c r="Y2103" s="74">
        <f t="shared" si="345"/>
        <v>45506</v>
      </c>
      <c r="Z2103" s="74" t="e">
        <f t="shared" ca="1" si="336"/>
        <v>#N/A</v>
      </c>
      <c r="AA2103" s="80" t="e">
        <f t="shared" ca="1" si="337"/>
        <v>#N/A</v>
      </c>
      <c r="AB2103" s="74" t="e">
        <f t="shared" si="339"/>
        <v>#N/A</v>
      </c>
      <c r="AC2103" s="80" t="str">
        <f t="shared" si="338"/>
        <v>LCOV4</v>
      </c>
      <c r="AD2103" s="80" t="str">
        <f t="shared" si="340"/>
        <v>CLV4</v>
      </c>
      <c r="AE2103" s="80" t="str">
        <f t="shared" si="341"/>
        <v>LCOX4</v>
      </c>
      <c r="AF2103" s="80" t="str">
        <f t="shared" si="342"/>
        <v>CLX4</v>
      </c>
      <c r="AG2103" s="80" t="str">
        <f t="shared" si="343"/>
        <v>LCOZ4</v>
      </c>
      <c r="AH2103" s="80" t="str">
        <f t="shared" si="344"/>
        <v/>
      </c>
    </row>
    <row r="2104" spans="25:34" x14ac:dyDescent="0.35">
      <c r="Y2104" s="74">
        <f t="shared" si="345"/>
        <v>45507</v>
      </c>
      <c r="Z2104" s="74" t="e">
        <f t="shared" ca="1" si="336"/>
        <v>#N/A</v>
      </c>
      <c r="AA2104" s="80" t="e">
        <f t="shared" ca="1" si="337"/>
        <v>#N/A</v>
      </c>
      <c r="AB2104" s="74" t="e">
        <f t="shared" si="339"/>
        <v>#N/A</v>
      </c>
      <c r="AC2104" s="80" t="str">
        <f t="shared" si="338"/>
        <v>LCOV4</v>
      </c>
      <c r="AD2104" s="80" t="str">
        <f t="shared" si="340"/>
        <v>CLV4</v>
      </c>
      <c r="AE2104" s="80" t="str">
        <f t="shared" si="341"/>
        <v>LCOX4</v>
      </c>
      <c r="AF2104" s="80" t="str">
        <f t="shared" si="342"/>
        <v>CLX4</v>
      </c>
      <c r="AG2104" s="80" t="str">
        <f t="shared" si="343"/>
        <v>LCOZ4</v>
      </c>
      <c r="AH2104" s="80" t="str">
        <f t="shared" si="344"/>
        <v/>
      </c>
    </row>
    <row r="2105" spans="25:34" x14ac:dyDescent="0.35">
      <c r="Y2105" s="74">
        <f t="shared" si="345"/>
        <v>45508</v>
      </c>
      <c r="Z2105" s="74" t="e">
        <f t="shared" ca="1" si="336"/>
        <v>#N/A</v>
      </c>
      <c r="AA2105" s="80" t="e">
        <f t="shared" ca="1" si="337"/>
        <v>#N/A</v>
      </c>
      <c r="AB2105" s="74" t="e">
        <f t="shared" si="339"/>
        <v>#N/A</v>
      </c>
      <c r="AC2105" s="80" t="str">
        <f t="shared" si="338"/>
        <v>LCOV4</v>
      </c>
      <c r="AD2105" s="80" t="str">
        <f t="shared" si="340"/>
        <v>CLV4</v>
      </c>
      <c r="AE2105" s="80" t="str">
        <f t="shared" si="341"/>
        <v>LCOX4</v>
      </c>
      <c r="AF2105" s="80" t="str">
        <f t="shared" si="342"/>
        <v>CLX4</v>
      </c>
      <c r="AG2105" s="80" t="str">
        <f t="shared" si="343"/>
        <v>LCOZ4</v>
      </c>
      <c r="AH2105" s="80" t="str">
        <f t="shared" si="344"/>
        <v/>
      </c>
    </row>
    <row r="2106" spans="25:34" x14ac:dyDescent="0.35">
      <c r="Y2106" s="74">
        <f t="shared" si="345"/>
        <v>45509</v>
      </c>
      <c r="Z2106" s="74" t="e">
        <f t="shared" ca="1" si="336"/>
        <v>#N/A</v>
      </c>
      <c r="AA2106" s="80" t="e">
        <f t="shared" ca="1" si="337"/>
        <v>#N/A</v>
      </c>
      <c r="AB2106" s="74" t="e">
        <f t="shared" si="339"/>
        <v>#N/A</v>
      </c>
      <c r="AC2106" s="80" t="str">
        <f t="shared" si="338"/>
        <v>LCOV4</v>
      </c>
      <c r="AD2106" s="80" t="str">
        <f t="shared" si="340"/>
        <v>CLV4</v>
      </c>
      <c r="AE2106" s="80" t="str">
        <f t="shared" si="341"/>
        <v>LCOX4</v>
      </c>
      <c r="AF2106" s="80" t="str">
        <f t="shared" si="342"/>
        <v>CLX4</v>
      </c>
      <c r="AG2106" s="80" t="str">
        <f t="shared" si="343"/>
        <v>LCOZ4</v>
      </c>
      <c r="AH2106" s="80" t="str">
        <f t="shared" si="344"/>
        <v/>
      </c>
    </row>
    <row r="2107" spans="25:34" x14ac:dyDescent="0.35">
      <c r="Y2107" s="74">
        <f t="shared" si="345"/>
        <v>45510</v>
      </c>
      <c r="Z2107" s="74" t="e">
        <f t="shared" ca="1" si="336"/>
        <v>#N/A</v>
      </c>
      <c r="AA2107" s="80" t="e">
        <f t="shared" ca="1" si="337"/>
        <v>#N/A</v>
      </c>
      <c r="AB2107" s="74" t="e">
        <f t="shared" si="339"/>
        <v>#N/A</v>
      </c>
      <c r="AC2107" s="80" t="str">
        <f t="shared" si="338"/>
        <v>LCOV4</v>
      </c>
      <c r="AD2107" s="80" t="str">
        <f t="shared" si="340"/>
        <v>CLV4</v>
      </c>
      <c r="AE2107" s="80" t="str">
        <f t="shared" si="341"/>
        <v>LCOX4</v>
      </c>
      <c r="AF2107" s="80" t="str">
        <f t="shared" si="342"/>
        <v>CLX4</v>
      </c>
      <c r="AG2107" s="80" t="str">
        <f t="shared" si="343"/>
        <v>LCOZ4</v>
      </c>
      <c r="AH2107" s="80" t="str">
        <f t="shared" si="344"/>
        <v/>
      </c>
    </row>
    <row r="2108" spans="25:34" x14ac:dyDescent="0.35">
      <c r="Y2108" s="74">
        <f t="shared" si="345"/>
        <v>45511</v>
      </c>
      <c r="Z2108" s="74" t="e">
        <f t="shared" ca="1" si="336"/>
        <v>#N/A</v>
      </c>
      <c r="AA2108" s="80" t="e">
        <f t="shared" ca="1" si="337"/>
        <v>#N/A</v>
      </c>
      <c r="AB2108" s="74" t="e">
        <f t="shared" si="339"/>
        <v>#N/A</v>
      </c>
      <c r="AC2108" s="80" t="str">
        <f t="shared" si="338"/>
        <v>LCOV4</v>
      </c>
      <c r="AD2108" s="80" t="str">
        <f t="shared" si="340"/>
        <v>CLV4</v>
      </c>
      <c r="AE2108" s="80" t="str">
        <f t="shared" si="341"/>
        <v>LCOX4</v>
      </c>
      <c r="AF2108" s="80" t="str">
        <f t="shared" si="342"/>
        <v>CLX4</v>
      </c>
      <c r="AG2108" s="80" t="str">
        <f t="shared" si="343"/>
        <v>LCOZ4</v>
      </c>
      <c r="AH2108" s="80" t="str">
        <f t="shared" si="344"/>
        <v/>
      </c>
    </row>
    <row r="2109" spans="25:34" x14ac:dyDescent="0.35">
      <c r="Y2109" s="74">
        <f t="shared" si="345"/>
        <v>45512</v>
      </c>
      <c r="Z2109" s="74" t="e">
        <f t="shared" ca="1" si="336"/>
        <v>#N/A</v>
      </c>
      <c r="AA2109" s="80" t="e">
        <f t="shared" ca="1" si="337"/>
        <v>#N/A</v>
      </c>
      <c r="AB2109" s="74" t="e">
        <f t="shared" si="339"/>
        <v>#N/A</v>
      </c>
      <c r="AC2109" s="80" t="str">
        <f t="shared" si="338"/>
        <v>LCOV4</v>
      </c>
      <c r="AD2109" s="80" t="str">
        <f t="shared" si="340"/>
        <v>CLV4</v>
      </c>
      <c r="AE2109" s="80" t="str">
        <f t="shared" si="341"/>
        <v>LCOX4</v>
      </c>
      <c r="AF2109" s="80" t="str">
        <f t="shared" si="342"/>
        <v>CLX4</v>
      </c>
      <c r="AG2109" s="80" t="str">
        <f t="shared" si="343"/>
        <v>LCOZ4</v>
      </c>
      <c r="AH2109" s="80" t="str">
        <f t="shared" si="344"/>
        <v/>
      </c>
    </row>
    <row r="2110" spans="25:34" x14ac:dyDescent="0.35">
      <c r="Y2110" s="74">
        <f t="shared" si="345"/>
        <v>45513</v>
      </c>
      <c r="Z2110" s="74" t="e">
        <f t="shared" ca="1" si="336"/>
        <v>#N/A</v>
      </c>
      <c r="AA2110" s="80" t="e">
        <f t="shared" ca="1" si="337"/>
        <v>#N/A</v>
      </c>
      <c r="AB2110" s="74" t="e">
        <f t="shared" si="339"/>
        <v>#N/A</v>
      </c>
      <c r="AC2110" s="80" t="str">
        <f t="shared" si="338"/>
        <v>LCOV4</v>
      </c>
      <c r="AD2110" s="80" t="str">
        <f t="shared" si="340"/>
        <v>CLV4</v>
      </c>
      <c r="AE2110" s="80" t="str">
        <f t="shared" si="341"/>
        <v>LCOX4</v>
      </c>
      <c r="AF2110" s="80" t="str">
        <f t="shared" si="342"/>
        <v>CLX4</v>
      </c>
      <c r="AG2110" s="80" t="str">
        <f t="shared" si="343"/>
        <v>LCOZ4</v>
      </c>
      <c r="AH2110" s="80" t="str">
        <f t="shared" si="344"/>
        <v/>
      </c>
    </row>
    <row r="2111" spans="25:34" x14ac:dyDescent="0.35">
      <c r="Y2111" s="74">
        <f t="shared" si="345"/>
        <v>45514</v>
      </c>
      <c r="Z2111" s="74" t="e">
        <f t="shared" ca="1" si="336"/>
        <v>#N/A</v>
      </c>
      <c r="AA2111" s="80" t="e">
        <f t="shared" ca="1" si="337"/>
        <v>#N/A</v>
      </c>
      <c r="AB2111" s="74" t="e">
        <f t="shared" si="339"/>
        <v>#N/A</v>
      </c>
      <c r="AC2111" s="80" t="str">
        <f t="shared" si="338"/>
        <v>LCOV4</v>
      </c>
      <c r="AD2111" s="80" t="str">
        <f t="shared" si="340"/>
        <v>CLV4</v>
      </c>
      <c r="AE2111" s="80" t="str">
        <f t="shared" si="341"/>
        <v>LCOX4</v>
      </c>
      <c r="AF2111" s="80" t="str">
        <f t="shared" si="342"/>
        <v>CLX4</v>
      </c>
      <c r="AG2111" s="80" t="str">
        <f t="shared" si="343"/>
        <v>LCOZ4</v>
      </c>
      <c r="AH2111" s="80" t="str">
        <f t="shared" si="344"/>
        <v/>
      </c>
    </row>
    <row r="2112" spans="25:34" x14ac:dyDescent="0.35">
      <c r="Y2112" s="74">
        <f t="shared" si="345"/>
        <v>45515</v>
      </c>
      <c r="Z2112" s="74" t="e">
        <f t="shared" ca="1" si="336"/>
        <v>#N/A</v>
      </c>
      <c r="AA2112" s="80" t="e">
        <f t="shared" ca="1" si="337"/>
        <v>#N/A</v>
      </c>
      <c r="AB2112" s="74" t="e">
        <f t="shared" si="339"/>
        <v>#N/A</v>
      </c>
      <c r="AC2112" s="80" t="str">
        <f t="shared" si="338"/>
        <v>LCOV4</v>
      </c>
      <c r="AD2112" s="80" t="str">
        <f t="shared" si="340"/>
        <v>CLV4</v>
      </c>
      <c r="AE2112" s="80" t="str">
        <f t="shared" si="341"/>
        <v>LCOX4</v>
      </c>
      <c r="AF2112" s="80" t="str">
        <f t="shared" si="342"/>
        <v>CLX4</v>
      </c>
      <c r="AG2112" s="80" t="str">
        <f t="shared" si="343"/>
        <v>LCOZ4</v>
      </c>
      <c r="AH2112" s="80" t="str">
        <f t="shared" si="344"/>
        <v/>
      </c>
    </row>
    <row r="2113" spans="25:34" x14ac:dyDescent="0.35">
      <c r="Y2113" s="74">
        <f t="shared" si="345"/>
        <v>45516</v>
      </c>
      <c r="Z2113" s="74" t="e">
        <f t="shared" ca="1" si="336"/>
        <v>#N/A</v>
      </c>
      <c r="AA2113" s="80" t="e">
        <f t="shared" ca="1" si="337"/>
        <v>#N/A</v>
      </c>
      <c r="AB2113" s="74" t="e">
        <f t="shared" si="339"/>
        <v>#N/A</v>
      </c>
      <c r="AC2113" s="80" t="str">
        <f t="shared" si="338"/>
        <v>LCOV4</v>
      </c>
      <c r="AD2113" s="80" t="str">
        <f t="shared" si="340"/>
        <v>CLV4</v>
      </c>
      <c r="AE2113" s="80" t="str">
        <f t="shared" si="341"/>
        <v>LCOX4</v>
      </c>
      <c r="AF2113" s="80" t="str">
        <f t="shared" si="342"/>
        <v>CLX4</v>
      </c>
      <c r="AG2113" s="80" t="str">
        <f t="shared" si="343"/>
        <v>LCOZ4</v>
      </c>
      <c r="AH2113" s="80" t="str">
        <f t="shared" si="344"/>
        <v/>
      </c>
    </row>
    <row r="2114" spans="25:34" x14ac:dyDescent="0.35">
      <c r="Y2114" s="74">
        <f t="shared" si="345"/>
        <v>45517</v>
      </c>
      <c r="Z2114" s="74" t="e">
        <f t="shared" ref="Z2114:Z2177" ca="1" si="346">VLOOKUP(AA2114,$I$2:$K$39,3,FALSE)</f>
        <v>#N/A</v>
      </c>
      <c r="AA2114" s="80" t="e">
        <f t="shared" ref="AA2114:AA2177" ca="1" si="347">LOOKUP(2,1/($J$2:$J$700&lt;=$Y2114)/($K$2:$K$700&gt;=$Y2114),$L$2:$L$700)</f>
        <v>#N/A</v>
      </c>
      <c r="AB2114" s="74" t="e">
        <f t="shared" si="339"/>
        <v>#N/A</v>
      </c>
      <c r="AC2114" s="80" t="str">
        <f t="shared" ref="AC2114:AC2177" si="348">LOOKUP(2,1/($R$2:$R$700&lt;=$Y2114)/($S$2:$S$700&gt;=$Y2114),$T$2:$T$700)</f>
        <v>LCOV4</v>
      </c>
      <c r="AD2114" s="80" t="str">
        <f t="shared" si="340"/>
        <v>CLV4</v>
      </c>
      <c r="AE2114" s="80" t="str">
        <f t="shared" si="341"/>
        <v>LCOX4</v>
      </c>
      <c r="AF2114" s="80" t="str">
        <f t="shared" si="342"/>
        <v>CLX4</v>
      </c>
      <c r="AG2114" s="80" t="str">
        <f t="shared" si="343"/>
        <v>LCOZ4</v>
      </c>
      <c r="AH2114" s="80" t="str">
        <f t="shared" si="344"/>
        <v/>
      </c>
    </row>
    <row r="2115" spans="25:34" x14ac:dyDescent="0.35">
      <c r="Y2115" s="74">
        <f t="shared" si="345"/>
        <v>45518</v>
      </c>
      <c r="Z2115" s="74" t="e">
        <f t="shared" ca="1" si="346"/>
        <v>#N/A</v>
      </c>
      <c r="AA2115" s="80" t="e">
        <f t="shared" ca="1" si="347"/>
        <v>#N/A</v>
      </c>
      <c r="AB2115" s="74" t="e">
        <f t="shared" ref="AB2115:AB2178" si="349">VLOOKUP(AC2115,$Q$2:$S$39,3,FALSE)</f>
        <v>#N/A</v>
      </c>
      <c r="AC2115" s="80" t="str">
        <f t="shared" si="348"/>
        <v>LCOV4</v>
      </c>
      <c r="AD2115" s="80" t="str">
        <f t="shared" ref="AD2115:AD2178" si="350">CONCATENATE("CL",RIGHT(AC2115,2))</f>
        <v>CLV4</v>
      </c>
      <c r="AE2115" s="80" t="str">
        <f t="shared" ref="AE2115:AE2178" si="351">LOOKUP(2,1/($R$2:$R$700&lt;=$Y2115)/($S$2:$S$700&gt;=$Y2115),$U$2:$U$700)</f>
        <v>LCOX4</v>
      </c>
      <c r="AF2115" s="80" t="str">
        <f t="shared" ref="AF2115:AF2178" si="352">CONCATENATE("CL",RIGHT(AE2115,2))</f>
        <v>CLX4</v>
      </c>
      <c r="AG2115" s="80" t="str">
        <f t="shared" ref="AG2115:AG2178" si="353">LOOKUP(2,1/($R$2:$R$700&lt;=$Y2115)/($S$2:$S$700&gt;=$Y2115),$V$2:$V$700)</f>
        <v>LCOZ4</v>
      </c>
      <c r="AH2115" s="80" t="str">
        <f t="shared" ref="AH2115:AH2178" si="354">LOOKUP(2,1/($R$2:$R$700&lt;=$Y2115)/($S$2:$S$700&gt;=$Y2115),$W$2:$W$700)</f>
        <v/>
      </c>
    </row>
    <row r="2116" spans="25:34" x14ac:dyDescent="0.35">
      <c r="Y2116" s="74">
        <f t="shared" si="345"/>
        <v>45519</v>
      </c>
      <c r="Z2116" s="74" t="e">
        <f t="shared" ca="1" si="346"/>
        <v>#N/A</v>
      </c>
      <c r="AA2116" s="80" t="e">
        <f t="shared" ca="1" si="347"/>
        <v>#N/A</v>
      </c>
      <c r="AB2116" s="74" t="e">
        <f t="shared" si="349"/>
        <v>#N/A</v>
      </c>
      <c r="AC2116" s="80" t="str">
        <f t="shared" si="348"/>
        <v>LCOV4</v>
      </c>
      <c r="AD2116" s="80" t="str">
        <f t="shared" si="350"/>
        <v>CLV4</v>
      </c>
      <c r="AE2116" s="80" t="str">
        <f t="shared" si="351"/>
        <v>LCOX4</v>
      </c>
      <c r="AF2116" s="80" t="str">
        <f t="shared" si="352"/>
        <v>CLX4</v>
      </c>
      <c r="AG2116" s="80" t="str">
        <f t="shared" si="353"/>
        <v>LCOZ4</v>
      </c>
      <c r="AH2116" s="80" t="str">
        <f t="shared" si="354"/>
        <v/>
      </c>
    </row>
    <row r="2117" spans="25:34" x14ac:dyDescent="0.35">
      <c r="Y2117" s="74">
        <f t="shared" si="345"/>
        <v>45520</v>
      </c>
      <c r="Z2117" s="74" t="e">
        <f t="shared" ca="1" si="346"/>
        <v>#N/A</v>
      </c>
      <c r="AA2117" s="80" t="e">
        <f t="shared" ca="1" si="347"/>
        <v>#N/A</v>
      </c>
      <c r="AB2117" s="74" t="e">
        <f t="shared" si="349"/>
        <v>#N/A</v>
      </c>
      <c r="AC2117" s="80" t="str">
        <f t="shared" si="348"/>
        <v>LCOV4</v>
      </c>
      <c r="AD2117" s="80" t="str">
        <f t="shared" si="350"/>
        <v>CLV4</v>
      </c>
      <c r="AE2117" s="80" t="str">
        <f t="shared" si="351"/>
        <v>LCOX4</v>
      </c>
      <c r="AF2117" s="80" t="str">
        <f t="shared" si="352"/>
        <v>CLX4</v>
      </c>
      <c r="AG2117" s="80" t="str">
        <f t="shared" si="353"/>
        <v>LCOZ4</v>
      </c>
      <c r="AH2117" s="80" t="str">
        <f t="shared" si="354"/>
        <v/>
      </c>
    </row>
    <row r="2118" spans="25:34" x14ac:dyDescent="0.35">
      <c r="Y2118" s="74">
        <f t="shared" si="345"/>
        <v>45521</v>
      </c>
      <c r="Z2118" s="74" t="e">
        <f t="shared" ca="1" si="346"/>
        <v>#N/A</v>
      </c>
      <c r="AA2118" s="80" t="e">
        <f t="shared" ca="1" si="347"/>
        <v>#N/A</v>
      </c>
      <c r="AB2118" s="74" t="e">
        <f t="shared" si="349"/>
        <v>#N/A</v>
      </c>
      <c r="AC2118" s="80" t="str">
        <f t="shared" si="348"/>
        <v>LCOV4</v>
      </c>
      <c r="AD2118" s="80" t="str">
        <f t="shared" si="350"/>
        <v>CLV4</v>
      </c>
      <c r="AE2118" s="80" t="str">
        <f t="shared" si="351"/>
        <v>LCOX4</v>
      </c>
      <c r="AF2118" s="80" t="str">
        <f t="shared" si="352"/>
        <v>CLX4</v>
      </c>
      <c r="AG2118" s="80" t="str">
        <f t="shared" si="353"/>
        <v>LCOZ4</v>
      </c>
      <c r="AH2118" s="80" t="str">
        <f t="shared" si="354"/>
        <v/>
      </c>
    </row>
    <row r="2119" spans="25:34" x14ac:dyDescent="0.35">
      <c r="Y2119" s="74">
        <f t="shared" si="345"/>
        <v>45522</v>
      </c>
      <c r="Z2119" s="74" t="e">
        <f t="shared" ca="1" si="346"/>
        <v>#N/A</v>
      </c>
      <c r="AA2119" s="80" t="e">
        <f t="shared" ca="1" si="347"/>
        <v>#N/A</v>
      </c>
      <c r="AB2119" s="74" t="e">
        <f t="shared" si="349"/>
        <v>#N/A</v>
      </c>
      <c r="AC2119" s="80" t="str">
        <f t="shared" si="348"/>
        <v>LCOV4</v>
      </c>
      <c r="AD2119" s="80" t="str">
        <f t="shared" si="350"/>
        <v>CLV4</v>
      </c>
      <c r="AE2119" s="80" t="str">
        <f t="shared" si="351"/>
        <v>LCOX4</v>
      </c>
      <c r="AF2119" s="80" t="str">
        <f t="shared" si="352"/>
        <v>CLX4</v>
      </c>
      <c r="AG2119" s="80" t="str">
        <f t="shared" si="353"/>
        <v>LCOZ4</v>
      </c>
      <c r="AH2119" s="80" t="str">
        <f t="shared" si="354"/>
        <v/>
      </c>
    </row>
    <row r="2120" spans="25:34" x14ac:dyDescent="0.35">
      <c r="Y2120" s="74">
        <f t="shared" si="345"/>
        <v>45523</v>
      </c>
      <c r="Z2120" s="74" t="e">
        <f t="shared" ca="1" si="346"/>
        <v>#N/A</v>
      </c>
      <c r="AA2120" s="80" t="e">
        <f t="shared" ca="1" si="347"/>
        <v>#N/A</v>
      </c>
      <c r="AB2120" s="74" t="e">
        <f t="shared" si="349"/>
        <v>#N/A</v>
      </c>
      <c r="AC2120" s="80" t="str">
        <f t="shared" si="348"/>
        <v>LCOV4</v>
      </c>
      <c r="AD2120" s="80" t="str">
        <f t="shared" si="350"/>
        <v>CLV4</v>
      </c>
      <c r="AE2120" s="80" t="str">
        <f t="shared" si="351"/>
        <v>LCOX4</v>
      </c>
      <c r="AF2120" s="80" t="str">
        <f t="shared" si="352"/>
        <v>CLX4</v>
      </c>
      <c r="AG2120" s="80" t="str">
        <f t="shared" si="353"/>
        <v>LCOZ4</v>
      </c>
      <c r="AH2120" s="80" t="str">
        <f t="shared" si="354"/>
        <v/>
      </c>
    </row>
    <row r="2121" spans="25:34" x14ac:dyDescent="0.35">
      <c r="Y2121" s="74">
        <f t="shared" si="345"/>
        <v>45524</v>
      </c>
      <c r="Z2121" s="74" t="e">
        <f t="shared" ca="1" si="346"/>
        <v>#N/A</v>
      </c>
      <c r="AA2121" s="80" t="e">
        <f t="shared" ca="1" si="347"/>
        <v>#N/A</v>
      </c>
      <c r="AB2121" s="74" t="e">
        <f t="shared" si="349"/>
        <v>#N/A</v>
      </c>
      <c r="AC2121" s="80" t="str">
        <f t="shared" si="348"/>
        <v>LCOV4</v>
      </c>
      <c r="AD2121" s="80" t="str">
        <f t="shared" si="350"/>
        <v>CLV4</v>
      </c>
      <c r="AE2121" s="80" t="str">
        <f t="shared" si="351"/>
        <v>LCOX4</v>
      </c>
      <c r="AF2121" s="80" t="str">
        <f t="shared" si="352"/>
        <v>CLX4</v>
      </c>
      <c r="AG2121" s="80" t="str">
        <f t="shared" si="353"/>
        <v>LCOZ4</v>
      </c>
      <c r="AH2121" s="80" t="str">
        <f t="shared" si="354"/>
        <v/>
      </c>
    </row>
    <row r="2122" spans="25:34" x14ac:dyDescent="0.35">
      <c r="Y2122" s="74">
        <f t="shared" si="345"/>
        <v>45525</v>
      </c>
      <c r="Z2122" s="74" t="e">
        <f t="shared" ca="1" si="346"/>
        <v>#N/A</v>
      </c>
      <c r="AA2122" s="80" t="e">
        <f t="shared" ca="1" si="347"/>
        <v>#N/A</v>
      </c>
      <c r="AB2122" s="74" t="e">
        <f t="shared" si="349"/>
        <v>#N/A</v>
      </c>
      <c r="AC2122" s="80" t="str">
        <f t="shared" si="348"/>
        <v>LCOV4</v>
      </c>
      <c r="AD2122" s="80" t="str">
        <f t="shared" si="350"/>
        <v>CLV4</v>
      </c>
      <c r="AE2122" s="80" t="str">
        <f t="shared" si="351"/>
        <v>LCOX4</v>
      </c>
      <c r="AF2122" s="80" t="str">
        <f t="shared" si="352"/>
        <v>CLX4</v>
      </c>
      <c r="AG2122" s="80" t="str">
        <f t="shared" si="353"/>
        <v>LCOZ4</v>
      </c>
      <c r="AH2122" s="80" t="str">
        <f t="shared" si="354"/>
        <v/>
      </c>
    </row>
    <row r="2123" spans="25:34" x14ac:dyDescent="0.35">
      <c r="Y2123" s="74">
        <f t="shared" si="345"/>
        <v>45526</v>
      </c>
      <c r="Z2123" s="74" t="e">
        <f t="shared" ca="1" si="346"/>
        <v>#N/A</v>
      </c>
      <c r="AA2123" s="80" t="e">
        <f t="shared" ca="1" si="347"/>
        <v>#N/A</v>
      </c>
      <c r="AB2123" s="74" t="e">
        <f t="shared" si="349"/>
        <v>#N/A</v>
      </c>
      <c r="AC2123" s="80" t="str">
        <f t="shared" si="348"/>
        <v>LCOV4</v>
      </c>
      <c r="AD2123" s="80" t="str">
        <f t="shared" si="350"/>
        <v>CLV4</v>
      </c>
      <c r="AE2123" s="80" t="str">
        <f t="shared" si="351"/>
        <v>LCOX4</v>
      </c>
      <c r="AF2123" s="80" t="str">
        <f t="shared" si="352"/>
        <v>CLX4</v>
      </c>
      <c r="AG2123" s="80" t="str">
        <f t="shared" si="353"/>
        <v>LCOZ4</v>
      </c>
      <c r="AH2123" s="80" t="str">
        <f t="shared" si="354"/>
        <v/>
      </c>
    </row>
    <row r="2124" spans="25:34" x14ac:dyDescent="0.35">
      <c r="Y2124" s="74">
        <f t="shared" si="345"/>
        <v>45527</v>
      </c>
      <c r="Z2124" s="74" t="e">
        <f t="shared" ca="1" si="346"/>
        <v>#N/A</v>
      </c>
      <c r="AA2124" s="80" t="e">
        <f t="shared" ca="1" si="347"/>
        <v>#N/A</v>
      </c>
      <c r="AB2124" s="74" t="e">
        <f t="shared" si="349"/>
        <v>#N/A</v>
      </c>
      <c r="AC2124" s="80" t="str">
        <f t="shared" si="348"/>
        <v>LCOV4</v>
      </c>
      <c r="AD2124" s="80" t="str">
        <f t="shared" si="350"/>
        <v>CLV4</v>
      </c>
      <c r="AE2124" s="80" t="str">
        <f t="shared" si="351"/>
        <v>LCOX4</v>
      </c>
      <c r="AF2124" s="80" t="str">
        <f t="shared" si="352"/>
        <v>CLX4</v>
      </c>
      <c r="AG2124" s="80" t="str">
        <f t="shared" si="353"/>
        <v>LCOZ4</v>
      </c>
      <c r="AH2124" s="80" t="str">
        <f t="shared" si="354"/>
        <v/>
      </c>
    </row>
    <row r="2125" spans="25:34" x14ac:dyDescent="0.35">
      <c r="Y2125" s="74">
        <f t="shared" si="345"/>
        <v>45528</v>
      </c>
      <c r="Z2125" s="74" t="e">
        <f t="shared" ca="1" si="346"/>
        <v>#N/A</v>
      </c>
      <c r="AA2125" s="80" t="e">
        <f t="shared" ca="1" si="347"/>
        <v>#N/A</v>
      </c>
      <c r="AB2125" s="74" t="e">
        <f t="shared" si="349"/>
        <v>#N/A</v>
      </c>
      <c r="AC2125" s="80" t="str">
        <f t="shared" si="348"/>
        <v>LCOV4</v>
      </c>
      <c r="AD2125" s="80" t="str">
        <f t="shared" si="350"/>
        <v>CLV4</v>
      </c>
      <c r="AE2125" s="80" t="str">
        <f t="shared" si="351"/>
        <v>LCOX4</v>
      </c>
      <c r="AF2125" s="80" t="str">
        <f t="shared" si="352"/>
        <v>CLX4</v>
      </c>
      <c r="AG2125" s="80" t="str">
        <f t="shared" si="353"/>
        <v>LCOZ4</v>
      </c>
      <c r="AH2125" s="80" t="str">
        <f t="shared" si="354"/>
        <v/>
      </c>
    </row>
    <row r="2126" spans="25:34" x14ac:dyDescent="0.35">
      <c r="Y2126" s="74">
        <f t="shared" si="345"/>
        <v>45529</v>
      </c>
      <c r="Z2126" s="74" t="e">
        <f t="shared" ca="1" si="346"/>
        <v>#N/A</v>
      </c>
      <c r="AA2126" s="80" t="e">
        <f t="shared" ca="1" si="347"/>
        <v>#N/A</v>
      </c>
      <c r="AB2126" s="74" t="e">
        <f t="shared" si="349"/>
        <v>#N/A</v>
      </c>
      <c r="AC2126" s="80" t="str">
        <f t="shared" si="348"/>
        <v>LCOV4</v>
      </c>
      <c r="AD2126" s="80" t="str">
        <f t="shared" si="350"/>
        <v>CLV4</v>
      </c>
      <c r="AE2126" s="80" t="str">
        <f t="shared" si="351"/>
        <v>LCOX4</v>
      </c>
      <c r="AF2126" s="80" t="str">
        <f t="shared" si="352"/>
        <v>CLX4</v>
      </c>
      <c r="AG2126" s="80" t="str">
        <f t="shared" si="353"/>
        <v>LCOZ4</v>
      </c>
      <c r="AH2126" s="80" t="str">
        <f t="shared" si="354"/>
        <v/>
      </c>
    </row>
    <row r="2127" spans="25:34" x14ac:dyDescent="0.35">
      <c r="Y2127" s="74">
        <f t="shared" si="345"/>
        <v>45530</v>
      </c>
      <c r="Z2127" s="74" t="e">
        <f t="shared" ca="1" si="346"/>
        <v>#N/A</v>
      </c>
      <c r="AA2127" s="80" t="e">
        <f t="shared" ca="1" si="347"/>
        <v>#N/A</v>
      </c>
      <c r="AB2127" s="74" t="e">
        <f t="shared" si="349"/>
        <v>#N/A</v>
      </c>
      <c r="AC2127" s="80" t="str">
        <f t="shared" si="348"/>
        <v>LCOV4</v>
      </c>
      <c r="AD2127" s="80" t="str">
        <f t="shared" si="350"/>
        <v>CLV4</v>
      </c>
      <c r="AE2127" s="80" t="str">
        <f t="shared" si="351"/>
        <v>LCOX4</v>
      </c>
      <c r="AF2127" s="80" t="str">
        <f t="shared" si="352"/>
        <v>CLX4</v>
      </c>
      <c r="AG2127" s="80" t="str">
        <f t="shared" si="353"/>
        <v>LCOZ4</v>
      </c>
      <c r="AH2127" s="80" t="str">
        <f t="shared" si="354"/>
        <v/>
      </c>
    </row>
    <row r="2128" spans="25:34" x14ac:dyDescent="0.35">
      <c r="Y2128" s="74">
        <f t="shared" si="345"/>
        <v>45531</v>
      </c>
      <c r="Z2128" s="74" t="e">
        <f t="shared" ca="1" si="346"/>
        <v>#N/A</v>
      </c>
      <c r="AA2128" s="80" t="e">
        <f t="shared" ca="1" si="347"/>
        <v>#N/A</v>
      </c>
      <c r="AB2128" s="74" t="e">
        <f t="shared" si="349"/>
        <v>#N/A</v>
      </c>
      <c r="AC2128" s="80" t="str">
        <f t="shared" si="348"/>
        <v>LCOV4</v>
      </c>
      <c r="AD2128" s="80" t="str">
        <f t="shared" si="350"/>
        <v>CLV4</v>
      </c>
      <c r="AE2128" s="80" t="str">
        <f t="shared" si="351"/>
        <v>LCOX4</v>
      </c>
      <c r="AF2128" s="80" t="str">
        <f t="shared" si="352"/>
        <v>CLX4</v>
      </c>
      <c r="AG2128" s="80" t="str">
        <f t="shared" si="353"/>
        <v>LCOZ4</v>
      </c>
      <c r="AH2128" s="80" t="str">
        <f t="shared" si="354"/>
        <v/>
      </c>
    </row>
    <row r="2129" spans="25:34" x14ac:dyDescent="0.35">
      <c r="Y2129" s="74">
        <f t="shared" si="345"/>
        <v>45532</v>
      </c>
      <c r="Z2129" s="74" t="e">
        <f t="shared" ca="1" si="346"/>
        <v>#N/A</v>
      </c>
      <c r="AA2129" s="80" t="e">
        <f t="shared" ca="1" si="347"/>
        <v>#N/A</v>
      </c>
      <c r="AB2129" s="74" t="e">
        <f t="shared" si="349"/>
        <v>#N/A</v>
      </c>
      <c r="AC2129" s="80" t="str">
        <f t="shared" si="348"/>
        <v>LCOV4</v>
      </c>
      <c r="AD2129" s="80" t="str">
        <f t="shared" si="350"/>
        <v>CLV4</v>
      </c>
      <c r="AE2129" s="80" t="str">
        <f t="shared" si="351"/>
        <v>LCOX4</v>
      </c>
      <c r="AF2129" s="80" t="str">
        <f t="shared" si="352"/>
        <v>CLX4</v>
      </c>
      <c r="AG2129" s="80" t="str">
        <f t="shared" si="353"/>
        <v>LCOZ4</v>
      </c>
      <c r="AH2129" s="80" t="str">
        <f t="shared" si="354"/>
        <v/>
      </c>
    </row>
    <row r="2130" spans="25:34" x14ac:dyDescent="0.35">
      <c r="Y2130" s="74">
        <f t="shared" si="345"/>
        <v>45533</v>
      </c>
      <c r="Z2130" s="74" t="e">
        <f t="shared" ca="1" si="346"/>
        <v>#N/A</v>
      </c>
      <c r="AA2130" s="80" t="e">
        <f t="shared" ca="1" si="347"/>
        <v>#N/A</v>
      </c>
      <c r="AB2130" s="74" t="e">
        <f t="shared" si="349"/>
        <v>#N/A</v>
      </c>
      <c r="AC2130" s="80" t="str">
        <f t="shared" si="348"/>
        <v>LCOV4</v>
      </c>
      <c r="AD2130" s="80" t="str">
        <f t="shared" si="350"/>
        <v>CLV4</v>
      </c>
      <c r="AE2130" s="80" t="str">
        <f t="shared" si="351"/>
        <v>LCOX4</v>
      </c>
      <c r="AF2130" s="80" t="str">
        <f t="shared" si="352"/>
        <v>CLX4</v>
      </c>
      <c r="AG2130" s="80" t="str">
        <f t="shared" si="353"/>
        <v>LCOZ4</v>
      </c>
      <c r="AH2130" s="80" t="str">
        <f t="shared" si="354"/>
        <v/>
      </c>
    </row>
    <row r="2131" spans="25:34" x14ac:dyDescent="0.35">
      <c r="Y2131" s="74">
        <f t="shared" si="345"/>
        <v>45534</v>
      </c>
      <c r="Z2131" s="74" t="e">
        <f t="shared" ca="1" si="346"/>
        <v>#N/A</v>
      </c>
      <c r="AA2131" s="80" t="e">
        <f t="shared" ca="1" si="347"/>
        <v>#N/A</v>
      </c>
      <c r="AB2131" s="74" t="e">
        <f t="shared" si="349"/>
        <v>#N/A</v>
      </c>
      <c r="AC2131" s="80" t="str">
        <f t="shared" si="348"/>
        <v>LCOV4</v>
      </c>
      <c r="AD2131" s="80" t="str">
        <f t="shared" si="350"/>
        <v>CLV4</v>
      </c>
      <c r="AE2131" s="80" t="str">
        <f t="shared" si="351"/>
        <v>LCOX4</v>
      </c>
      <c r="AF2131" s="80" t="str">
        <f t="shared" si="352"/>
        <v>CLX4</v>
      </c>
      <c r="AG2131" s="80" t="str">
        <f t="shared" si="353"/>
        <v>LCOZ4</v>
      </c>
      <c r="AH2131" s="80" t="str">
        <f t="shared" si="354"/>
        <v/>
      </c>
    </row>
    <row r="2132" spans="25:34" x14ac:dyDescent="0.35">
      <c r="Y2132" s="74">
        <f t="shared" si="345"/>
        <v>45535</v>
      </c>
      <c r="Z2132" s="74" t="e">
        <f t="shared" ca="1" si="346"/>
        <v>#N/A</v>
      </c>
      <c r="AA2132" s="80" t="e">
        <f t="shared" ca="1" si="347"/>
        <v>#N/A</v>
      </c>
      <c r="AB2132" s="74" t="e">
        <f t="shared" si="349"/>
        <v>#N/A</v>
      </c>
      <c r="AC2132" s="80" t="str">
        <f t="shared" si="348"/>
        <v>LCOX4</v>
      </c>
      <c r="AD2132" s="80" t="str">
        <f t="shared" si="350"/>
        <v>CLX4</v>
      </c>
      <c r="AE2132" s="80" t="str">
        <f t="shared" si="351"/>
        <v>LCOZ4</v>
      </c>
      <c r="AF2132" s="80" t="str">
        <f t="shared" si="352"/>
        <v>CLZ4</v>
      </c>
      <c r="AG2132" s="80" t="str">
        <f t="shared" si="353"/>
        <v/>
      </c>
      <c r="AH2132" s="80" t="str">
        <f t="shared" si="354"/>
        <v/>
      </c>
    </row>
    <row r="2133" spans="25:34" x14ac:dyDescent="0.35">
      <c r="Y2133" s="74">
        <f t="shared" si="345"/>
        <v>45536</v>
      </c>
      <c r="Z2133" s="74" t="e">
        <f t="shared" ca="1" si="346"/>
        <v>#N/A</v>
      </c>
      <c r="AA2133" s="80" t="e">
        <f t="shared" ca="1" si="347"/>
        <v>#N/A</v>
      </c>
      <c r="AB2133" s="74" t="e">
        <f t="shared" si="349"/>
        <v>#N/A</v>
      </c>
      <c r="AC2133" s="80" t="str">
        <f t="shared" si="348"/>
        <v>LCOX4</v>
      </c>
      <c r="AD2133" s="80" t="str">
        <f t="shared" si="350"/>
        <v>CLX4</v>
      </c>
      <c r="AE2133" s="80" t="str">
        <f t="shared" si="351"/>
        <v>LCOZ4</v>
      </c>
      <c r="AF2133" s="80" t="str">
        <f t="shared" si="352"/>
        <v>CLZ4</v>
      </c>
      <c r="AG2133" s="80" t="str">
        <f t="shared" si="353"/>
        <v/>
      </c>
      <c r="AH2133" s="80" t="str">
        <f t="shared" si="354"/>
        <v/>
      </c>
    </row>
    <row r="2134" spans="25:34" x14ac:dyDescent="0.35">
      <c r="Y2134" s="74">
        <f t="shared" si="345"/>
        <v>45537</v>
      </c>
      <c r="Z2134" s="74" t="e">
        <f t="shared" ca="1" si="346"/>
        <v>#N/A</v>
      </c>
      <c r="AA2134" s="80" t="e">
        <f t="shared" ca="1" si="347"/>
        <v>#N/A</v>
      </c>
      <c r="AB2134" s="74" t="e">
        <f t="shared" si="349"/>
        <v>#N/A</v>
      </c>
      <c r="AC2134" s="80" t="str">
        <f t="shared" si="348"/>
        <v>LCOX4</v>
      </c>
      <c r="AD2134" s="80" t="str">
        <f t="shared" si="350"/>
        <v>CLX4</v>
      </c>
      <c r="AE2134" s="80" t="str">
        <f t="shared" si="351"/>
        <v>LCOZ4</v>
      </c>
      <c r="AF2134" s="80" t="str">
        <f t="shared" si="352"/>
        <v>CLZ4</v>
      </c>
      <c r="AG2134" s="80" t="str">
        <f t="shared" si="353"/>
        <v/>
      </c>
      <c r="AH2134" s="80" t="str">
        <f t="shared" si="354"/>
        <v/>
      </c>
    </row>
    <row r="2135" spans="25:34" x14ac:dyDescent="0.35">
      <c r="Y2135" s="74">
        <f t="shared" si="345"/>
        <v>45538</v>
      </c>
      <c r="Z2135" s="74" t="e">
        <f t="shared" ca="1" si="346"/>
        <v>#N/A</v>
      </c>
      <c r="AA2135" s="80" t="e">
        <f t="shared" ca="1" si="347"/>
        <v>#N/A</v>
      </c>
      <c r="AB2135" s="74" t="e">
        <f t="shared" si="349"/>
        <v>#N/A</v>
      </c>
      <c r="AC2135" s="80" t="str">
        <f t="shared" si="348"/>
        <v>LCOX4</v>
      </c>
      <c r="AD2135" s="80" t="str">
        <f t="shared" si="350"/>
        <v>CLX4</v>
      </c>
      <c r="AE2135" s="80" t="str">
        <f t="shared" si="351"/>
        <v>LCOZ4</v>
      </c>
      <c r="AF2135" s="80" t="str">
        <f t="shared" si="352"/>
        <v>CLZ4</v>
      </c>
      <c r="AG2135" s="80" t="str">
        <f t="shared" si="353"/>
        <v/>
      </c>
      <c r="AH2135" s="80" t="str">
        <f t="shared" si="354"/>
        <v/>
      </c>
    </row>
    <row r="2136" spans="25:34" x14ac:dyDescent="0.35">
      <c r="Y2136" s="74">
        <f t="shared" si="345"/>
        <v>45539</v>
      </c>
      <c r="Z2136" s="74" t="e">
        <f t="shared" ca="1" si="346"/>
        <v>#N/A</v>
      </c>
      <c r="AA2136" s="80" t="e">
        <f t="shared" ca="1" si="347"/>
        <v>#N/A</v>
      </c>
      <c r="AB2136" s="74" t="e">
        <f t="shared" si="349"/>
        <v>#N/A</v>
      </c>
      <c r="AC2136" s="80" t="str">
        <f t="shared" si="348"/>
        <v>LCOX4</v>
      </c>
      <c r="AD2136" s="80" t="str">
        <f t="shared" si="350"/>
        <v>CLX4</v>
      </c>
      <c r="AE2136" s="80" t="str">
        <f t="shared" si="351"/>
        <v>LCOZ4</v>
      </c>
      <c r="AF2136" s="80" t="str">
        <f t="shared" si="352"/>
        <v>CLZ4</v>
      </c>
      <c r="AG2136" s="80" t="str">
        <f t="shared" si="353"/>
        <v/>
      </c>
      <c r="AH2136" s="80" t="str">
        <f t="shared" si="354"/>
        <v/>
      </c>
    </row>
    <row r="2137" spans="25:34" x14ac:dyDescent="0.35">
      <c r="Y2137" s="74">
        <f t="shared" si="345"/>
        <v>45540</v>
      </c>
      <c r="Z2137" s="74" t="e">
        <f t="shared" ca="1" si="346"/>
        <v>#N/A</v>
      </c>
      <c r="AA2137" s="80" t="e">
        <f t="shared" ca="1" si="347"/>
        <v>#N/A</v>
      </c>
      <c r="AB2137" s="74" t="e">
        <f t="shared" si="349"/>
        <v>#N/A</v>
      </c>
      <c r="AC2137" s="80" t="str">
        <f t="shared" si="348"/>
        <v>LCOX4</v>
      </c>
      <c r="AD2137" s="80" t="str">
        <f t="shared" si="350"/>
        <v>CLX4</v>
      </c>
      <c r="AE2137" s="80" t="str">
        <f t="shared" si="351"/>
        <v>LCOZ4</v>
      </c>
      <c r="AF2137" s="80" t="str">
        <f t="shared" si="352"/>
        <v>CLZ4</v>
      </c>
      <c r="AG2137" s="80" t="str">
        <f t="shared" si="353"/>
        <v/>
      </c>
      <c r="AH2137" s="80" t="str">
        <f t="shared" si="354"/>
        <v/>
      </c>
    </row>
    <row r="2138" spans="25:34" x14ac:dyDescent="0.35">
      <c r="Y2138" s="74">
        <f t="shared" si="345"/>
        <v>45541</v>
      </c>
      <c r="Z2138" s="74" t="e">
        <f t="shared" ca="1" si="346"/>
        <v>#N/A</v>
      </c>
      <c r="AA2138" s="80" t="e">
        <f t="shared" ca="1" si="347"/>
        <v>#N/A</v>
      </c>
      <c r="AB2138" s="74" t="e">
        <f t="shared" si="349"/>
        <v>#N/A</v>
      </c>
      <c r="AC2138" s="80" t="str">
        <f t="shared" si="348"/>
        <v>LCOX4</v>
      </c>
      <c r="AD2138" s="80" t="str">
        <f t="shared" si="350"/>
        <v>CLX4</v>
      </c>
      <c r="AE2138" s="80" t="str">
        <f t="shared" si="351"/>
        <v>LCOZ4</v>
      </c>
      <c r="AF2138" s="80" t="str">
        <f t="shared" si="352"/>
        <v>CLZ4</v>
      </c>
      <c r="AG2138" s="80" t="str">
        <f t="shared" si="353"/>
        <v/>
      </c>
      <c r="AH2138" s="80" t="str">
        <f t="shared" si="354"/>
        <v/>
      </c>
    </row>
    <row r="2139" spans="25:34" x14ac:dyDescent="0.35">
      <c r="Y2139" s="74">
        <f t="shared" si="345"/>
        <v>45542</v>
      </c>
      <c r="Z2139" s="74" t="e">
        <f t="shared" ca="1" si="346"/>
        <v>#N/A</v>
      </c>
      <c r="AA2139" s="80" t="e">
        <f t="shared" ca="1" si="347"/>
        <v>#N/A</v>
      </c>
      <c r="AB2139" s="74" t="e">
        <f t="shared" si="349"/>
        <v>#N/A</v>
      </c>
      <c r="AC2139" s="80" t="str">
        <f t="shared" si="348"/>
        <v>LCOX4</v>
      </c>
      <c r="AD2139" s="80" t="str">
        <f t="shared" si="350"/>
        <v>CLX4</v>
      </c>
      <c r="AE2139" s="80" t="str">
        <f t="shared" si="351"/>
        <v>LCOZ4</v>
      </c>
      <c r="AF2139" s="80" t="str">
        <f t="shared" si="352"/>
        <v>CLZ4</v>
      </c>
      <c r="AG2139" s="80" t="str">
        <f t="shared" si="353"/>
        <v/>
      </c>
      <c r="AH2139" s="80" t="str">
        <f t="shared" si="354"/>
        <v/>
      </c>
    </row>
    <row r="2140" spans="25:34" x14ac:dyDescent="0.35">
      <c r="Y2140" s="74">
        <f t="shared" si="345"/>
        <v>45543</v>
      </c>
      <c r="Z2140" s="74" t="e">
        <f t="shared" ca="1" si="346"/>
        <v>#N/A</v>
      </c>
      <c r="AA2140" s="80" t="e">
        <f t="shared" ca="1" si="347"/>
        <v>#N/A</v>
      </c>
      <c r="AB2140" s="74" t="e">
        <f t="shared" si="349"/>
        <v>#N/A</v>
      </c>
      <c r="AC2140" s="80" t="str">
        <f t="shared" si="348"/>
        <v>LCOX4</v>
      </c>
      <c r="AD2140" s="80" t="str">
        <f t="shared" si="350"/>
        <v>CLX4</v>
      </c>
      <c r="AE2140" s="80" t="str">
        <f t="shared" si="351"/>
        <v>LCOZ4</v>
      </c>
      <c r="AF2140" s="80" t="str">
        <f t="shared" si="352"/>
        <v>CLZ4</v>
      </c>
      <c r="AG2140" s="80" t="str">
        <f t="shared" si="353"/>
        <v/>
      </c>
      <c r="AH2140" s="80" t="str">
        <f t="shared" si="354"/>
        <v/>
      </c>
    </row>
    <row r="2141" spans="25:34" x14ac:dyDescent="0.35">
      <c r="Y2141" s="74">
        <f t="shared" si="345"/>
        <v>45544</v>
      </c>
      <c r="Z2141" s="74" t="e">
        <f t="shared" ca="1" si="346"/>
        <v>#N/A</v>
      </c>
      <c r="AA2141" s="80" t="e">
        <f t="shared" ca="1" si="347"/>
        <v>#N/A</v>
      </c>
      <c r="AB2141" s="74" t="e">
        <f t="shared" si="349"/>
        <v>#N/A</v>
      </c>
      <c r="AC2141" s="80" t="str">
        <f t="shared" si="348"/>
        <v>LCOX4</v>
      </c>
      <c r="AD2141" s="80" t="str">
        <f t="shared" si="350"/>
        <v>CLX4</v>
      </c>
      <c r="AE2141" s="80" t="str">
        <f t="shared" si="351"/>
        <v>LCOZ4</v>
      </c>
      <c r="AF2141" s="80" t="str">
        <f t="shared" si="352"/>
        <v>CLZ4</v>
      </c>
      <c r="AG2141" s="80" t="str">
        <f t="shared" si="353"/>
        <v/>
      </c>
      <c r="AH2141" s="80" t="str">
        <f t="shared" si="354"/>
        <v/>
      </c>
    </row>
    <row r="2142" spans="25:34" x14ac:dyDescent="0.35">
      <c r="Y2142" s="74">
        <f t="shared" si="345"/>
        <v>45545</v>
      </c>
      <c r="Z2142" s="74" t="e">
        <f t="shared" ca="1" si="346"/>
        <v>#N/A</v>
      </c>
      <c r="AA2142" s="80" t="e">
        <f t="shared" ca="1" si="347"/>
        <v>#N/A</v>
      </c>
      <c r="AB2142" s="74" t="e">
        <f t="shared" si="349"/>
        <v>#N/A</v>
      </c>
      <c r="AC2142" s="80" t="str">
        <f t="shared" si="348"/>
        <v>LCOX4</v>
      </c>
      <c r="AD2142" s="80" t="str">
        <f t="shared" si="350"/>
        <v>CLX4</v>
      </c>
      <c r="AE2142" s="80" t="str">
        <f t="shared" si="351"/>
        <v>LCOZ4</v>
      </c>
      <c r="AF2142" s="80" t="str">
        <f t="shared" si="352"/>
        <v>CLZ4</v>
      </c>
      <c r="AG2142" s="80" t="str">
        <f t="shared" si="353"/>
        <v/>
      </c>
      <c r="AH2142" s="80" t="str">
        <f t="shared" si="354"/>
        <v/>
      </c>
    </row>
    <row r="2143" spans="25:34" x14ac:dyDescent="0.35">
      <c r="Y2143" s="74">
        <f t="shared" si="345"/>
        <v>45546</v>
      </c>
      <c r="Z2143" s="74" t="e">
        <f t="shared" ca="1" si="346"/>
        <v>#N/A</v>
      </c>
      <c r="AA2143" s="80" t="e">
        <f t="shared" ca="1" si="347"/>
        <v>#N/A</v>
      </c>
      <c r="AB2143" s="74" t="e">
        <f t="shared" si="349"/>
        <v>#N/A</v>
      </c>
      <c r="AC2143" s="80" t="str">
        <f t="shared" si="348"/>
        <v>LCOX4</v>
      </c>
      <c r="AD2143" s="80" t="str">
        <f t="shared" si="350"/>
        <v>CLX4</v>
      </c>
      <c r="AE2143" s="80" t="str">
        <f t="shared" si="351"/>
        <v>LCOZ4</v>
      </c>
      <c r="AF2143" s="80" t="str">
        <f t="shared" si="352"/>
        <v>CLZ4</v>
      </c>
      <c r="AG2143" s="80" t="str">
        <f t="shared" si="353"/>
        <v/>
      </c>
      <c r="AH2143" s="80" t="str">
        <f t="shared" si="354"/>
        <v/>
      </c>
    </row>
    <row r="2144" spans="25:34" x14ac:dyDescent="0.35">
      <c r="Y2144" s="74">
        <f t="shared" si="345"/>
        <v>45547</v>
      </c>
      <c r="Z2144" s="74" t="e">
        <f t="shared" ca="1" si="346"/>
        <v>#N/A</v>
      </c>
      <c r="AA2144" s="80" t="e">
        <f t="shared" ca="1" si="347"/>
        <v>#N/A</v>
      </c>
      <c r="AB2144" s="74" t="e">
        <f t="shared" si="349"/>
        <v>#N/A</v>
      </c>
      <c r="AC2144" s="80" t="str">
        <f t="shared" si="348"/>
        <v>LCOX4</v>
      </c>
      <c r="AD2144" s="80" t="str">
        <f t="shared" si="350"/>
        <v>CLX4</v>
      </c>
      <c r="AE2144" s="80" t="str">
        <f t="shared" si="351"/>
        <v>LCOZ4</v>
      </c>
      <c r="AF2144" s="80" t="str">
        <f t="shared" si="352"/>
        <v>CLZ4</v>
      </c>
      <c r="AG2144" s="80" t="str">
        <f t="shared" si="353"/>
        <v/>
      </c>
      <c r="AH2144" s="80" t="str">
        <f t="shared" si="354"/>
        <v/>
      </c>
    </row>
    <row r="2145" spans="25:34" x14ac:dyDescent="0.35">
      <c r="Y2145" s="74">
        <f t="shared" ref="Y2145:Y2208" si="355">Y2144+1</f>
        <v>45548</v>
      </c>
      <c r="Z2145" s="74" t="e">
        <f t="shared" ca="1" si="346"/>
        <v>#N/A</v>
      </c>
      <c r="AA2145" s="80" t="e">
        <f t="shared" ca="1" si="347"/>
        <v>#N/A</v>
      </c>
      <c r="AB2145" s="74" t="e">
        <f t="shared" si="349"/>
        <v>#N/A</v>
      </c>
      <c r="AC2145" s="80" t="str">
        <f t="shared" si="348"/>
        <v>LCOX4</v>
      </c>
      <c r="AD2145" s="80" t="str">
        <f t="shared" si="350"/>
        <v>CLX4</v>
      </c>
      <c r="AE2145" s="80" t="str">
        <f t="shared" si="351"/>
        <v>LCOZ4</v>
      </c>
      <c r="AF2145" s="80" t="str">
        <f t="shared" si="352"/>
        <v>CLZ4</v>
      </c>
      <c r="AG2145" s="80" t="str">
        <f t="shared" si="353"/>
        <v/>
      </c>
      <c r="AH2145" s="80" t="str">
        <f t="shared" si="354"/>
        <v/>
      </c>
    </row>
    <row r="2146" spans="25:34" x14ac:dyDescent="0.35">
      <c r="Y2146" s="74">
        <f t="shared" si="355"/>
        <v>45549</v>
      </c>
      <c r="Z2146" s="74" t="e">
        <f t="shared" ca="1" si="346"/>
        <v>#N/A</v>
      </c>
      <c r="AA2146" s="80" t="e">
        <f t="shared" ca="1" si="347"/>
        <v>#N/A</v>
      </c>
      <c r="AB2146" s="74" t="e">
        <f t="shared" si="349"/>
        <v>#N/A</v>
      </c>
      <c r="AC2146" s="80" t="str">
        <f t="shared" si="348"/>
        <v>LCOX4</v>
      </c>
      <c r="AD2146" s="80" t="str">
        <f t="shared" si="350"/>
        <v>CLX4</v>
      </c>
      <c r="AE2146" s="80" t="str">
        <f t="shared" si="351"/>
        <v>LCOZ4</v>
      </c>
      <c r="AF2146" s="80" t="str">
        <f t="shared" si="352"/>
        <v>CLZ4</v>
      </c>
      <c r="AG2146" s="80" t="str">
        <f t="shared" si="353"/>
        <v/>
      </c>
      <c r="AH2146" s="80" t="str">
        <f t="shared" si="354"/>
        <v/>
      </c>
    </row>
    <row r="2147" spans="25:34" x14ac:dyDescent="0.35">
      <c r="Y2147" s="74">
        <f t="shared" si="355"/>
        <v>45550</v>
      </c>
      <c r="Z2147" s="74" t="e">
        <f t="shared" ca="1" si="346"/>
        <v>#N/A</v>
      </c>
      <c r="AA2147" s="80" t="e">
        <f t="shared" ca="1" si="347"/>
        <v>#N/A</v>
      </c>
      <c r="AB2147" s="74" t="e">
        <f t="shared" si="349"/>
        <v>#N/A</v>
      </c>
      <c r="AC2147" s="80" t="str">
        <f t="shared" si="348"/>
        <v>LCOX4</v>
      </c>
      <c r="AD2147" s="80" t="str">
        <f t="shared" si="350"/>
        <v>CLX4</v>
      </c>
      <c r="AE2147" s="80" t="str">
        <f t="shared" si="351"/>
        <v>LCOZ4</v>
      </c>
      <c r="AF2147" s="80" t="str">
        <f t="shared" si="352"/>
        <v>CLZ4</v>
      </c>
      <c r="AG2147" s="80" t="str">
        <f t="shared" si="353"/>
        <v/>
      </c>
      <c r="AH2147" s="80" t="str">
        <f t="shared" si="354"/>
        <v/>
      </c>
    </row>
    <row r="2148" spans="25:34" x14ac:dyDescent="0.35">
      <c r="Y2148" s="74">
        <f t="shared" si="355"/>
        <v>45551</v>
      </c>
      <c r="Z2148" s="74" t="e">
        <f t="shared" ca="1" si="346"/>
        <v>#N/A</v>
      </c>
      <c r="AA2148" s="80" t="e">
        <f t="shared" ca="1" si="347"/>
        <v>#N/A</v>
      </c>
      <c r="AB2148" s="74" t="e">
        <f t="shared" si="349"/>
        <v>#N/A</v>
      </c>
      <c r="AC2148" s="80" t="str">
        <f t="shared" si="348"/>
        <v>LCOX4</v>
      </c>
      <c r="AD2148" s="80" t="str">
        <f t="shared" si="350"/>
        <v>CLX4</v>
      </c>
      <c r="AE2148" s="80" t="str">
        <f t="shared" si="351"/>
        <v>LCOZ4</v>
      </c>
      <c r="AF2148" s="80" t="str">
        <f t="shared" si="352"/>
        <v>CLZ4</v>
      </c>
      <c r="AG2148" s="80" t="str">
        <f t="shared" si="353"/>
        <v/>
      </c>
      <c r="AH2148" s="80" t="str">
        <f t="shared" si="354"/>
        <v/>
      </c>
    </row>
    <row r="2149" spans="25:34" x14ac:dyDescent="0.35">
      <c r="Y2149" s="74">
        <f t="shared" si="355"/>
        <v>45552</v>
      </c>
      <c r="Z2149" s="74" t="e">
        <f t="shared" ca="1" si="346"/>
        <v>#N/A</v>
      </c>
      <c r="AA2149" s="80" t="e">
        <f t="shared" ca="1" si="347"/>
        <v>#N/A</v>
      </c>
      <c r="AB2149" s="74" t="e">
        <f t="shared" si="349"/>
        <v>#N/A</v>
      </c>
      <c r="AC2149" s="80" t="str">
        <f t="shared" si="348"/>
        <v>LCOX4</v>
      </c>
      <c r="AD2149" s="80" t="str">
        <f t="shared" si="350"/>
        <v>CLX4</v>
      </c>
      <c r="AE2149" s="80" t="str">
        <f t="shared" si="351"/>
        <v>LCOZ4</v>
      </c>
      <c r="AF2149" s="80" t="str">
        <f t="shared" si="352"/>
        <v>CLZ4</v>
      </c>
      <c r="AG2149" s="80" t="str">
        <f t="shared" si="353"/>
        <v/>
      </c>
      <c r="AH2149" s="80" t="str">
        <f t="shared" si="354"/>
        <v/>
      </c>
    </row>
    <row r="2150" spans="25:34" x14ac:dyDescent="0.35">
      <c r="Y2150" s="74">
        <f t="shared" si="355"/>
        <v>45553</v>
      </c>
      <c r="Z2150" s="74" t="e">
        <f t="shared" ca="1" si="346"/>
        <v>#N/A</v>
      </c>
      <c r="AA2150" s="80" t="e">
        <f t="shared" ca="1" si="347"/>
        <v>#N/A</v>
      </c>
      <c r="AB2150" s="74" t="e">
        <f t="shared" si="349"/>
        <v>#N/A</v>
      </c>
      <c r="AC2150" s="80" t="str">
        <f t="shared" si="348"/>
        <v>LCOX4</v>
      </c>
      <c r="AD2150" s="80" t="str">
        <f t="shared" si="350"/>
        <v>CLX4</v>
      </c>
      <c r="AE2150" s="80" t="str">
        <f t="shared" si="351"/>
        <v>LCOZ4</v>
      </c>
      <c r="AF2150" s="80" t="str">
        <f t="shared" si="352"/>
        <v>CLZ4</v>
      </c>
      <c r="AG2150" s="80" t="str">
        <f t="shared" si="353"/>
        <v/>
      </c>
      <c r="AH2150" s="80" t="str">
        <f t="shared" si="354"/>
        <v/>
      </c>
    </row>
    <row r="2151" spans="25:34" x14ac:dyDescent="0.35">
      <c r="Y2151" s="74">
        <f t="shared" si="355"/>
        <v>45554</v>
      </c>
      <c r="Z2151" s="74" t="e">
        <f t="shared" ca="1" si="346"/>
        <v>#N/A</v>
      </c>
      <c r="AA2151" s="80" t="e">
        <f t="shared" ca="1" si="347"/>
        <v>#N/A</v>
      </c>
      <c r="AB2151" s="74" t="e">
        <f t="shared" si="349"/>
        <v>#N/A</v>
      </c>
      <c r="AC2151" s="80" t="str">
        <f t="shared" si="348"/>
        <v>LCOX4</v>
      </c>
      <c r="AD2151" s="80" t="str">
        <f t="shared" si="350"/>
        <v>CLX4</v>
      </c>
      <c r="AE2151" s="80" t="str">
        <f t="shared" si="351"/>
        <v>LCOZ4</v>
      </c>
      <c r="AF2151" s="80" t="str">
        <f t="shared" si="352"/>
        <v>CLZ4</v>
      </c>
      <c r="AG2151" s="80" t="str">
        <f t="shared" si="353"/>
        <v/>
      </c>
      <c r="AH2151" s="80" t="str">
        <f t="shared" si="354"/>
        <v/>
      </c>
    </row>
    <row r="2152" spans="25:34" x14ac:dyDescent="0.35">
      <c r="Y2152" s="74">
        <f t="shared" si="355"/>
        <v>45555</v>
      </c>
      <c r="Z2152" s="74" t="e">
        <f t="shared" ca="1" si="346"/>
        <v>#N/A</v>
      </c>
      <c r="AA2152" s="80" t="e">
        <f t="shared" ca="1" si="347"/>
        <v>#N/A</v>
      </c>
      <c r="AB2152" s="74" t="e">
        <f t="shared" si="349"/>
        <v>#N/A</v>
      </c>
      <c r="AC2152" s="80" t="str">
        <f t="shared" si="348"/>
        <v>LCOX4</v>
      </c>
      <c r="AD2152" s="80" t="str">
        <f t="shared" si="350"/>
        <v>CLX4</v>
      </c>
      <c r="AE2152" s="80" t="str">
        <f t="shared" si="351"/>
        <v>LCOZ4</v>
      </c>
      <c r="AF2152" s="80" t="str">
        <f t="shared" si="352"/>
        <v>CLZ4</v>
      </c>
      <c r="AG2152" s="80" t="str">
        <f t="shared" si="353"/>
        <v/>
      </c>
      <c r="AH2152" s="80" t="str">
        <f t="shared" si="354"/>
        <v/>
      </c>
    </row>
    <row r="2153" spans="25:34" x14ac:dyDescent="0.35">
      <c r="Y2153" s="74">
        <f t="shared" si="355"/>
        <v>45556</v>
      </c>
      <c r="Z2153" s="74" t="e">
        <f t="shared" ca="1" si="346"/>
        <v>#N/A</v>
      </c>
      <c r="AA2153" s="80" t="e">
        <f t="shared" ca="1" si="347"/>
        <v>#N/A</v>
      </c>
      <c r="AB2153" s="74" t="e">
        <f t="shared" si="349"/>
        <v>#N/A</v>
      </c>
      <c r="AC2153" s="80" t="str">
        <f t="shared" si="348"/>
        <v>LCOX4</v>
      </c>
      <c r="AD2153" s="80" t="str">
        <f t="shared" si="350"/>
        <v>CLX4</v>
      </c>
      <c r="AE2153" s="80" t="str">
        <f t="shared" si="351"/>
        <v>LCOZ4</v>
      </c>
      <c r="AF2153" s="80" t="str">
        <f t="shared" si="352"/>
        <v>CLZ4</v>
      </c>
      <c r="AG2153" s="80" t="str">
        <f t="shared" si="353"/>
        <v/>
      </c>
      <c r="AH2153" s="80" t="str">
        <f t="shared" si="354"/>
        <v/>
      </c>
    </row>
    <row r="2154" spans="25:34" x14ac:dyDescent="0.35">
      <c r="Y2154" s="74">
        <f t="shared" si="355"/>
        <v>45557</v>
      </c>
      <c r="Z2154" s="74" t="e">
        <f t="shared" ca="1" si="346"/>
        <v>#N/A</v>
      </c>
      <c r="AA2154" s="80" t="e">
        <f t="shared" ca="1" si="347"/>
        <v>#N/A</v>
      </c>
      <c r="AB2154" s="74" t="e">
        <f t="shared" si="349"/>
        <v>#N/A</v>
      </c>
      <c r="AC2154" s="80" t="str">
        <f t="shared" si="348"/>
        <v>LCOX4</v>
      </c>
      <c r="AD2154" s="80" t="str">
        <f t="shared" si="350"/>
        <v>CLX4</v>
      </c>
      <c r="AE2154" s="80" t="str">
        <f t="shared" si="351"/>
        <v>LCOZ4</v>
      </c>
      <c r="AF2154" s="80" t="str">
        <f t="shared" si="352"/>
        <v>CLZ4</v>
      </c>
      <c r="AG2154" s="80" t="str">
        <f t="shared" si="353"/>
        <v/>
      </c>
      <c r="AH2154" s="80" t="str">
        <f t="shared" si="354"/>
        <v/>
      </c>
    </row>
    <row r="2155" spans="25:34" x14ac:dyDescent="0.35">
      <c r="Y2155" s="74">
        <f t="shared" si="355"/>
        <v>45558</v>
      </c>
      <c r="Z2155" s="74" t="e">
        <f t="shared" ca="1" si="346"/>
        <v>#N/A</v>
      </c>
      <c r="AA2155" s="80" t="e">
        <f t="shared" ca="1" si="347"/>
        <v>#N/A</v>
      </c>
      <c r="AB2155" s="74" t="e">
        <f t="shared" si="349"/>
        <v>#N/A</v>
      </c>
      <c r="AC2155" s="80" t="str">
        <f t="shared" si="348"/>
        <v>LCOX4</v>
      </c>
      <c r="AD2155" s="80" t="str">
        <f t="shared" si="350"/>
        <v>CLX4</v>
      </c>
      <c r="AE2155" s="80" t="str">
        <f t="shared" si="351"/>
        <v>LCOZ4</v>
      </c>
      <c r="AF2155" s="80" t="str">
        <f t="shared" si="352"/>
        <v>CLZ4</v>
      </c>
      <c r="AG2155" s="80" t="str">
        <f t="shared" si="353"/>
        <v/>
      </c>
      <c r="AH2155" s="80" t="str">
        <f t="shared" si="354"/>
        <v/>
      </c>
    </row>
    <row r="2156" spans="25:34" x14ac:dyDescent="0.35">
      <c r="Y2156" s="74">
        <f t="shared" si="355"/>
        <v>45559</v>
      </c>
      <c r="Z2156" s="74" t="e">
        <f t="shared" ca="1" si="346"/>
        <v>#N/A</v>
      </c>
      <c r="AA2156" s="80" t="e">
        <f t="shared" ca="1" si="347"/>
        <v>#N/A</v>
      </c>
      <c r="AB2156" s="74" t="e">
        <f t="shared" si="349"/>
        <v>#N/A</v>
      </c>
      <c r="AC2156" s="80" t="str">
        <f t="shared" si="348"/>
        <v>LCOX4</v>
      </c>
      <c r="AD2156" s="80" t="str">
        <f t="shared" si="350"/>
        <v>CLX4</v>
      </c>
      <c r="AE2156" s="80" t="str">
        <f t="shared" si="351"/>
        <v>LCOZ4</v>
      </c>
      <c r="AF2156" s="80" t="str">
        <f t="shared" si="352"/>
        <v>CLZ4</v>
      </c>
      <c r="AG2156" s="80" t="str">
        <f t="shared" si="353"/>
        <v/>
      </c>
      <c r="AH2156" s="80" t="str">
        <f t="shared" si="354"/>
        <v/>
      </c>
    </row>
    <row r="2157" spans="25:34" x14ac:dyDescent="0.35">
      <c r="Y2157" s="74">
        <f t="shared" si="355"/>
        <v>45560</v>
      </c>
      <c r="Z2157" s="74" t="e">
        <f t="shared" ca="1" si="346"/>
        <v>#N/A</v>
      </c>
      <c r="AA2157" s="80" t="e">
        <f t="shared" ca="1" si="347"/>
        <v>#N/A</v>
      </c>
      <c r="AB2157" s="74" t="e">
        <f t="shared" si="349"/>
        <v>#N/A</v>
      </c>
      <c r="AC2157" s="80" t="str">
        <f t="shared" si="348"/>
        <v>LCOX4</v>
      </c>
      <c r="AD2157" s="80" t="str">
        <f t="shared" si="350"/>
        <v>CLX4</v>
      </c>
      <c r="AE2157" s="80" t="str">
        <f t="shared" si="351"/>
        <v>LCOZ4</v>
      </c>
      <c r="AF2157" s="80" t="str">
        <f t="shared" si="352"/>
        <v>CLZ4</v>
      </c>
      <c r="AG2157" s="80" t="str">
        <f t="shared" si="353"/>
        <v/>
      </c>
      <c r="AH2157" s="80" t="str">
        <f t="shared" si="354"/>
        <v/>
      </c>
    </row>
    <row r="2158" spans="25:34" x14ac:dyDescent="0.35">
      <c r="Y2158" s="74">
        <f t="shared" si="355"/>
        <v>45561</v>
      </c>
      <c r="Z2158" s="74" t="e">
        <f t="shared" ca="1" si="346"/>
        <v>#N/A</v>
      </c>
      <c r="AA2158" s="80" t="e">
        <f t="shared" ca="1" si="347"/>
        <v>#N/A</v>
      </c>
      <c r="AB2158" s="74" t="e">
        <f t="shared" si="349"/>
        <v>#N/A</v>
      </c>
      <c r="AC2158" s="80" t="str">
        <f t="shared" si="348"/>
        <v>LCOX4</v>
      </c>
      <c r="AD2158" s="80" t="str">
        <f t="shared" si="350"/>
        <v>CLX4</v>
      </c>
      <c r="AE2158" s="80" t="str">
        <f t="shared" si="351"/>
        <v>LCOZ4</v>
      </c>
      <c r="AF2158" s="80" t="str">
        <f t="shared" si="352"/>
        <v>CLZ4</v>
      </c>
      <c r="AG2158" s="80" t="str">
        <f t="shared" si="353"/>
        <v/>
      </c>
      <c r="AH2158" s="80" t="str">
        <f t="shared" si="354"/>
        <v/>
      </c>
    </row>
    <row r="2159" spans="25:34" x14ac:dyDescent="0.35">
      <c r="Y2159" s="74">
        <f t="shared" si="355"/>
        <v>45562</v>
      </c>
      <c r="Z2159" s="74" t="e">
        <f t="shared" ca="1" si="346"/>
        <v>#N/A</v>
      </c>
      <c r="AA2159" s="80" t="e">
        <f t="shared" ca="1" si="347"/>
        <v>#N/A</v>
      </c>
      <c r="AB2159" s="74" t="e">
        <f t="shared" si="349"/>
        <v>#N/A</v>
      </c>
      <c r="AC2159" s="80" t="str">
        <f t="shared" si="348"/>
        <v>LCOX4</v>
      </c>
      <c r="AD2159" s="80" t="str">
        <f t="shared" si="350"/>
        <v>CLX4</v>
      </c>
      <c r="AE2159" s="80" t="str">
        <f t="shared" si="351"/>
        <v>LCOZ4</v>
      </c>
      <c r="AF2159" s="80" t="str">
        <f t="shared" si="352"/>
        <v>CLZ4</v>
      </c>
      <c r="AG2159" s="80" t="str">
        <f t="shared" si="353"/>
        <v/>
      </c>
      <c r="AH2159" s="80" t="str">
        <f t="shared" si="354"/>
        <v/>
      </c>
    </row>
    <row r="2160" spans="25:34" x14ac:dyDescent="0.35">
      <c r="Y2160" s="74">
        <f t="shared" si="355"/>
        <v>45563</v>
      </c>
      <c r="Z2160" s="74" t="e">
        <f t="shared" ca="1" si="346"/>
        <v>#N/A</v>
      </c>
      <c r="AA2160" s="80" t="e">
        <f t="shared" ca="1" si="347"/>
        <v>#N/A</v>
      </c>
      <c r="AB2160" s="74" t="e">
        <f t="shared" si="349"/>
        <v>#N/A</v>
      </c>
      <c r="AC2160" s="80" t="str">
        <f t="shared" si="348"/>
        <v>LCOX4</v>
      </c>
      <c r="AD2160" s="80" t="str">
        <f t="shared" si="350"/>
        <v>CLX4</v>
      </c>
      <c r="AE2160" s="80" t="str">
        <f t="shared" si="351"/>
        <v>LCOZ4</v>
      </c>
      <c r="AF2160" s="80" t="str">
        <f t="shared" si="352"/>
        <v>CLZ4</v>
      </c>
      <c r="AG2160" s="80" t="str">
        <f t="shared" si="353"/>
        <v/>
      </c>
      <c r="AH2160" s="80" t="str">
        <f t="shared" si="354"/>
        <v/>
      </c>
    </row>
    <row r="2161" spans="25:34" x14ac:dyDescent="0.35">
      <c r="Y2161" s="74">
        <f t="shared" si="355"/>
        <v>45564</v>
      </c>
      <c r="Z2161" s="74" t="e">
        <f t="shared" ca="1" si="346"/>
        <v>#N/A</v>
      </c>
      <c r="AA2161" s="80" t="e">
        <f t="shared" ca="1" si="347"/>
        <v>#N/A</v>
      </c>
      <c r="AB2161" s="74" t="e">
        <f t="shared" si="349"/>
        <v>#N/A</v>
      </c>
      <c r="AC2161" s="80" t="str">
        <f t="shared" si="348"/>
        <v>LCOX4</v>
      </c>
      <c r="AD2161" s="80" t="str">
        <f t="shared" si="350"/>
        <v>CLX4</v>
      </c>
      <c r="AE2161" s="80" t="str">
        <f t="shared" si="351"/>
        <v>LCOZ4</v>
      </c>
      <c r="AF2161" s="80" t="str">
        <f t="shared" si="352"/>
        <v>CLZ4</v>
      </c>
      <c r="AG2161" s="80" t="str">
        <f t="shared" si="353"/>
        <v/>
      </c>
      <c r="AH2161" s="80" t="str">
        <f t="shared" si="354"/>
        <v/>
      </c>
    </row>
    <row r="2162" spans="25:34" x14ac:dyDescent="0.35">
      <c r="Y2162" s="74">
        <f t="shared" si="355"/>
        <v>45565</v>
      </c>
      <c r="Z2162" s="74" t="e">
        <f t="shared" ca="1" si="346"/>
        <v>#N/A</v>
      </c>
      <c r="AA2162" s="80" t="e">
        <f t="shared" ca="1" si="347"/>
        <v>#N/A</v>
      </c>
      <c r="AB2162" s="74" t="e">
        <f t="shared" si="349"/>
        <v>#N/A</v>
      </c>
      <c r="AC2162" s="80" t="str">
        <f t="shared" si="348"/>
        <v>LCOX4</v>
      </c>
      <c r="AD2162" s="80" t="str">
        <f t="shared" si="350"/>
        <v>CLX4</v>
      </c>
      <c r="AE2162" s="80" t="str">
        <f t="shared" si="351"/>
        <v>LCOZ4</v>
      </c>
      <c r="AF2162" s="80" t="str">
        <f t="shared" si="352"/>
        <v>CLZ4</v>
      </c>
      <c r="AG2162" s="80" t="str">
        <f t="shared" si="353"/>
        <v/>
      </c>
      <c r="AH2162" s="80" t="str">
        <f t="shared" si="354"/>
        <v/>
      </c>
    </row>
    <row r="2163" spans="25:34" x14ac:dyDescent="0.35">
      <c r="Y2163" s="74">
        <f t="shared" si="355"/>
        <v>45566</v>
      </c>
      <c r="Z2163" s="74" t="e">
        <f t="shared" ca="1" si="346"/>
        <v>#N/A</v>
      </c>
      <c r="AA2163" s="80" t="e">
        <f t="shared" ca="1" si="347"/>
        <v>#N/A</v>
      </c>
      <c r="AB2163" s="74" t="e">
        <f t="shared" si="349"/>
        <v>#N/A</v>
      </c>
      <c r="AC2163" s="80" t="str">
        <f t="shared" si="348"/>
        <v>LCOZ4</v>
      </c>
      <c r="AD2163" s="80" t="str">
        <f t="shared" si="350"/>
        <v>CLZ4</v>
      </c>
      <c r="AE2163" s="80" t="str">
        <f t="shared" si="351"/>
        <v/>
      </c>
      <c r="AF2163" s="80" t="str">
        <f t="shared" si="352"/>
        <v>CL</v>
      </c>
      <c r="AG2163" s="80" t="str">
        <f t="shared" si="353"/>
        <v/>
      </c>
      <c r="AH2163" s="80" t="str">
        <f t="shared" si="354"/>
        <v/>
      </c>
    </row>
    <row r="2164" spans="25:34" x14ac:dyDescent="0.35">
      <c r="Y2164" s="74">
        <f t="shared" si="355"/>
        <v>45567</v>
      </c>
      <c r="Z2164" s="74" t="e">
        <f t="shared" ca="1" si="346"/>
        <v>#N/A</v>
      </c>
      <c r="AA2164" s="80" t="e">
        <f t="shared" ca="1" si="347"/>
        <v>#N/A</v>
      </c>
      <c r="AB2164" s="74" t="e">
        <f t="shared" si="349"/>
        <v>#N/A</v>
      </c>
      <c r="AC2164" s="80" t="str">
        <f t="shared" si="348"/>
        <v>LCOZ4</v>
      </c>
      <c r="AD2164" s="80" t="str">
        <f t="shared" si="350"/>
        <v>CLZ4</v>
      </c>
      <c r="AE2164" s="80" t="str">
        <f t="shared" si="351"/>
        <v/>
      </c>
      <c r="AF2164" s="80" t="str">
        <f t="shared" si="352"/>
        <v>CL</v>
      </c>
      <c r="AG2164" s="80" t="str">
        <f t="shared" si="353"/>
        <v/>
      </c>
      <c r="AH2164" s="80" t="str">
        <f t="shared" si="354"/>
        <v/>
      </c>
    </row>
    <row r="2165" spans="25:34" x14ac:dyDescent="0.35">
      <c r="Y2165" s="74">
        <f t="shared" si="355"/>
        <v>45568</v>
      </c>
      <c r="Z2165" s="74" t="e">
        <f t="shared" ca="1" si="346"/>
        <v>#N/A</v>
      </c>
      <c r="AA2165" s="80" t="e">
        <f t="shared" ca="1" si="347"/>
        <v>#N/A</v>
      </c>
      <c r="AB2165" s="74" t="e">
        <f t="shared" si="349"/>
        <v>#N/A</v>
      </c>
      <c r="AC2165" s="80" t="str">
        <f t="shared" si="348"/>
        <v>LCOZ4</v>
      </c>
      <c r="AD2165" s="80" t="str">
        <f t="shared" si="350"/>
        <v>CLZ4</v>
      </c>
      <c r="AE2165" s="80" t="str">
        <f t="shared" si="351"/>
        <v/>
      </c>
      <c r="AF2165" s="80" t="str">
        <f t="shared" si="352"/>
        <v>CL</v>
      </c>
      <c r="AG2165" s="80" t="str">
        <f t="shared" si="353"/>
        <v/>
      </c>
      <c r="AH2165" s="80" t="str">
        <f t="shared" si="354"/>
        <v/>
      </c>
    </row>
    <row r="2166" spans="25:34" x14ac:dyDescent="0.35">
      <c r="Y2166" s="74">
        <f t="shared" si="355"/>
        <v>45569</v>
      </c>
      <c r="Z2166" s="74" t="e">
        <f t="shared" ca="1" si="346"/>
        <v>#N/A</v>
      </c>
      <c r="AA2166" s="80" t="e">
        <f t="shared" ca="1" si="347"/>
        <v>#N/A</v>
      </c>
      <c r="AB2166" s="74" t="e">
        <f t="shared" si="349"/>
        <v>#N/A</v>
      </c>
      <c r="AC2166" s="80" t="str">
        <f t="shared" si="348"/>
        <v>LCOZ4</v>
      </c>
      <c r="AD2166" s="80" t="str">
        <f t="shared" si="350"/>
        <v>CLZ4</v>
      </c>
      <c r="AE2166" s="80" t="str">
        <f t="shared" si="351"/>
        <v/>
      </c>
      <c r="AF2166" s="80" t="str">
        <f t="shared" si="352"/>
        <v>CL</v>
      </c>
      <c r="AG2166" s="80" t="str">
        <f t="shared" si="353"/>
        <v/>
      </c>
      <c r="AH2166" s="80" t="str">
        <f t="shared" si="354"/>
        <v/>
      </c>
    </row>
    <row r="2167" spans="25:34" x14ac:dyDescent="0.35">
      <c r="Y2167" s="74">
        <f t="shared" si="355"/>
        <v>45570</v>
      </c>
      <c r="Z2167" s="74" t="e">
        <f t="shared" ca="1" si="346"/>
        <v>#N/A</v>
      </c>
      <c r="AA2167" s="80" t="e">
        <f t="shared" ca="1" si="347"/>
        <v>#N/A</v>
      </c>
      <c r="AB2167" s="74" t="e">
        <f t="shared" si="349"/>
        <v>#N/A</v>
      </c>
      <c r="AC2167" s="80" t="str">
        <f t="shared" si="348"/>
        <v>LCOZ4</v>
      </c>
      <c r="AD2167" s="80" t="str">
        <f t="shared" si="350"/>
        <v>CLZ4</v>
      </c>
      <c r="AE2167" s="80" t="str">
        <f t="shared" si="351"/>
        <v/>
      </c>
      <c r="AF2167" s="80" t="str">
        <f t="shared" si="352"/>
        <v>CL</v>
      </c>
      <c r="AG2167" s="80" t="str">
        <f t="shared" si="353"/>
        <v/>
      </c>
      <c r="AH2167" s="80" t="str">
        <f t="shared" si="354"/>
        <v/>
      </c>
    </row>
    <row r="2168" spans="25:34" x14ac:dyDescent="0.35">
      <c r="Y2168" s="74">
        <f t="shared" si="355"/>
        <v>45571</v>
      </c>
      <c r="Z2168" s="74" t="e">
        <f t="shared" ca="1" si="346"/>
        <v>#N/A</v>
      </c>
      <c r="AA2168" s="80" t="e">
        <f t="shared" ca="1" si="347"/>
        <v>#N/A</v>
      </c>
      <c r="AB2168" s="74" t="e">
        <f t="shared" si="349"/>
        <v>#N/A</v>
      </c>
      <c r="AC2168" s="80" t="str">
        <f t="shared" si="348"/>
        <v>LCOZ4</v>
      </c>
      <c r="AD2168" s="80" t="str">
        <f t="shared" si="350"/>
        <v>CLZ4</v>
      </c>
      <c r="AE2168" s="80" t="str">
        <f t="shared" si="351"/>
        <v/>
      </c>
      <c r="AF2168" s="80" t="str">
        <f t="shared" si="352"/>
        <v>CL</v>
      </c>
      <c r="AG2168" s="80" t="str">
        <f t="shared" si="353"/>
        <v/>
      </c>
      <c r="AH2168" s="80" t="str">
        <f t="shared" si="354"/>
        <v/>
      </c>
    </row>
    <row r="2169" spans="25:34" x14ac:dyDescent="0.35">
      <c r="Y2169" s="74">
        <f t="shared" si="355"/>
        <v>45572</v>
      </c>
      <c r="Z2169" s="74" t="e">
        <f t="shared" ca="1" si="346"/>
        <v>#N/A</v>
      </c>
      <c r="AA2169" s="80" t="e">
        <f t="shared" ca="1" si="347"/>
        <v>#N/A</v>
      </c>
      <c r="AB2169" s="74" t="e">
        <f t="shared" si="349"/>
        <v>#N/A</v>
      </c>
      <c r="AC2169" s="80" t="str">
        <f t="shared" si="348"/>
        <v>LCOZ4</v>
      </c>
      <c r="AD2169" s="80" t="str">
        <f t="shared" si="350"/>
        <v>CLZ4</v>
      </c>
      <c r="AE2169" s="80" t="str">
        <f t="shared" si="351"/>
        <v/>
      </c>
      <c r="AF2169" s="80" t="str">
        <f t="shared" si="352"/>
        <v>CL</v>
      </c>
      <c r="AG2169" s="80" t="str">
        <f t="shared" si="353"/>
        <v/>
      </c>
      <c r="AH2169" s="80" t="str">
        <f t="shared" si="354"/>
        <v/>
      </c>
    </row>
    <row r="2170" spans="25:34" x14ac:dyDescent="0.35">
      <c r="Y2170" s="74">
        <f t="shared" si="355"/>
        <v>45573</v>
      </c>
      <c r="Z2170" s="74" t="e">
        <f t="shared" ca="1" si="346"/>
        <v>#N/A</v>
      </c>
      <c r="AA2170" s="80" t="e">
        <f t="shared" ca="1" si="347"/>
        <v>#N/A</v>
      </c>
      <c r="AB2170" s="74" t="e">
        <f t="shared" si="349"/>
        <v>#N/A</v>
      </c>
      <c r="AC2170" s="80" t="str">
        <f t="shared" si="348"/>
        <v>LCOZ4</v>
      </c>
      <c r="AD2170" s="80" t="str">
        <f t="shared" si="350"/>
        <v>CLZ4</v>
      </c>
      <c r="AE2170" s="80" t="str">
        <f t="shared" si="351"/>
        <v/>
      </c>
      <c r="AF2170" s="80" t="str">
        <f t="shared" si="352"/>
        <v>CL</v>
      </c>
      <c r="AG2170" s="80" t="str">
        <f t="shared" si="353"/>
        <v/>
      </c>
      <c r="AH2170" s="80" t="str">
        <f t="shared" si="354"/>
        <v/>
      </c>
    </row>
    <row r="2171" spans="25:34" x14ac:dyDescent="0.35">
      <c r="Y2171" s="74">
        <f t="shared" si="355"/>
        <v>45574</v>
      </c>
      <c r="Z2171" s="74" t="e">
        <f t="shared" ca="1" si="346"/>
        <v>#N/A</v>
      </c>
      <c r="AA2171" s="80" t="e">
        <f t="shared" ca="1" si="347"/>
        <v>#N/A</v>
      </c>
      <c r="AB2171" s="74" t="e">
        <f t="shared" si="349"/>
        <v>#N/A</v>
      </c>
      <c r="AC2171" s="80" t="str">
        <f t="shared" si="348"/>
        <v>LCOZ4</v>
      </c>
      <c r="AD2171" s="80" t="str">
        <f t="shared" si="350"/>
        <v>CLZ4</v>
      </c>
      <c r="AE2171" s="80" t="str">
        <f t="shared" si="351"/>
        <v/>
      </c>
      <c r="AF2171" s="80" t="str">
        <f t="shared" si="352"/>
        <v>CL</v>
      </c>
      <c r="AG2171" s="80" t="str">
        <f t="shared" si="353"/>
        <v/>
      </c>
      <c r="AH2171" s="80" t="str">
        <f t="shared" si="354"/>
        <v/>
      </c>
    </row>
    <row r="2172" spans="25:34" x14ac:dyDescent="0.35">
      <c r="Y2172" s="74">
        <f t="shared" si="355"/>
        <v>45575</v>
      </c>
      <c r="Z2172" s="74" t="e">
        <f t="shared" ca="1" si="346"/>
        <v>#N/A</v>
      </c>
      <c r="AA2172" s="80" t="e">
        <f t="shared" ca="1" si="347"/>
        <v>#N/A</v>
      </c>
      <c r="AB2172" s="74" t="e">
        <f t="shared" si="349"/>
        <v>#N/A</v>
      </c>
      <c r="AC2172" s="80" t="str">
        <f t="shared" si="348"/>
        <v>LCOZ4</v>
      </c>
      <c r="AD2172" s="80" t="str">
        <f t="shared" si="350"/>
        <v>CLZ4</v>
      </c>
      <c r="AE2172" s="80" t="str">
        <f t="shared" si="351"/>
        <v/>
      </c>
      <c r="AF2172" s="80" t="str">
        <f t="shared" si="352"/>
        <v>CL</v>
      </c>
      <c r="AG2172" s="80" t="str">
        <f t="shared" si="353"/>
        <v/>
      </c>
      <c r="AH2172" s="80" t="str">
        <f t="shared" si="354"/>
        <v/>
      </c>
    </row>
    <row r="2173" spans="25:34" x14ac:dyDescent="0.35">
      <c r="Y2173" s="74">
        <f t="shared" si="355"/>
        <v>45576</v>
      </c>
      <c r="Z2173" s="74" t="e">
        <f t="shared" ca="1" si="346"/>
        <v>#N/A</v>
      </c>
      <c r="AA2173" s="80" t="e">
        <f t="shared" ca="1" si="347"/>
        <v>#N/A</v>
      </c>
      <c r="AB2173" s="74" t="e">
        <f t="shared" si="349"/>
        <v>#N/A</v>
      </c>
      <c r="AC2173" s="80" t="str">
        <f t="shared" si="348"/>
        <v>LCOZ4</v>
      </c>
      <c r="AD2173" s="80" t="str">
        <f t="shared" si="350"/>
        <v>CLZ4</v>
      </c>
      <c r="AE2173" s="80" t="str">
        <f t="shared" si="351"/>
        <v/>
      </c>
      <c r="AF2173" s="80" t="str">
        <f t="shared" si="352"/>
        <v>CL</v>
      </c>
      <c r="AG2173" s="80" t="str">
        <f t="shared" si="353"/>
        <v/>
      </c>
      <c r="AH2173" s="80" t="str">
        <f t="shared" si="354"/>
        <v/>
      </c>
    </row>
    <row r="2174" spans="25:34" x14ac:dyDescent="0.35">
      <c r="Y2174" s="74">
        <f t="shared" si="355"/>
        <v>45577</v>
      </c>
      <c r="Z2174" s="74" t="e">
        <f t="shared" ca="1" si="346"/>
        <v>#N/A</v>
      </c>
      <c r="AA2174" s="80" t="e">
        <f t="shared" ca="1" si="347"/>
        <v>#N/A</v>
      </c>
      <c r="AB2174" s="74" t="e">
        <f t="shared" si="349"/>
        <v>#N/A</v>
      </c>
      <c r="AC2174" s="80" t="str">
        <f t="shared" si="348"/>
        <v>LCOZ4</v>
      </c>
      <c r="AD2174" s="80" t="str">
        <f t="shared" si="350"/>
        <v>CLZ4</v>
      </c>
      <c r="AE2174" s="80" t="str">
        <f t="shared" si="351"/>
        <v/>
      </c>
      <c r="AF2174" s="80" t="str">
        <f t="shared" si="352"/>
        <v>CL</v>
      </c>
      <c r="AG2174" s="80" t="str">
        <f t="shared" si="353"/>
        <v/>
      </c>
      <c r="AH2174" s="80" t="str">
        <f t="shared" si="354"/>
        <v/>
      </c>
    </row>
    <row r="2175" spans="25:34" x14ac:dyDescent="0.35">
      <c r="Y2175" s="74">
        <f t="shared" si="355"/>
        <v>45578</v>
      </c>
      <c r="Z2175" s="74" t="e">
        <f t="shared" ca="1" si="346"/>
        <v>#N/A</v>
      </c>
      <c r="AA2175" s="80" t="e">
        <f t="shared" ca="1" si="347"/>
        <v>#N/A</v>
      </c>
      <c r="AB2175" s="74" t="e">
        <f t="shared" si="349"/>
        <v>#N/A</v>
      </c>
      <c r="AC2175" s="80" t="str">
        <f t="shared" si="348"/>
        <v>LCOZ4</v>
      </c>
      <c r="AD2175" s="80" t="str">
        <f t="shared" si="350"/>
        <v>CLZ4</v>
      </c>
      <c r="AE2175" s="80" t="str">
        <f t="shared" si="351"/>
        <v/>
      </c>
      <c r="AF2175" s="80" t="str">
        <f t="shared" si="352"/>
        <v>CL</v>
      </c>
      <c r="AG2175" s="80" t="str">
        <f t="shared" si="353"/>
        <v/>
      </c>
      <c r="AH2175" s="80" t="str">
        <f t="shared" si="354"/>
        <v/>
      </c>
    </row>
    <row r="2176" spans="25:34" x14ac:dyDescent="0.35">
      <c r="Y2176" s="74">
        <f t="shared" si="355"/>
        <v>45579</v>
      </c>
      <c r="Z2176" s="74" t="e">
        <f t="shared" ca="1" si="346"/>
        <v>#N/A</v>
      </c>
      <c r="AA2176" s="80" t="e">
        <f t="shared" ca="1" si="347"/>
        <v>#N/A</v>
      </c>
      <c r="AB2176" s="74" t="e">
        <f t="shared" si="349"/>
        <v>#N/A</v>
      </c>
      <c r="AC2176" s="80" t="str">
        <f t="shared" si="348"/>
        <v>LCOZ4</v>
      </c>
      <c r="AD2176" s="80" t="str">
        <f t="shared" si="350"/>
        <v>CLZ4</v>
      </c>
      <c r="AE2176" s="80" t="str">
        <f t="shared" si="351"/>
        <v/>
      </c>
      <c r="AF2176" s="80" t="str">
        <f t="shared" si="352"/>
        <v>CL</v>
      </c>
      <c r="AG2176" s="80" t="str">
        <f t="shared" si="353"/>
        <v/>
      </c>
      <c r="AH2176" s="80" t="str">
        <f t="shared" si="354"/>
        <v/>
      </c>
    </row>
    <row r="2177" spans="25:34" x14ac:dyDescent="0.35">
      <c r="Y2177" s="74">
        <f t="shared" si="355"/>
        <v>45580</v>
      </c>
      <c r="Z2177" s="74" t="e">
        <f t="shared" ca="1" si="346"/>
        <v>#N/A</v>
      </c>
      <c r="AA2177" s="80" t="e">
        <f t="shared" ca="1" si="347"/>
        <v>#N/A</v>
      </c>
      <c r="AB2177" s="74" t="e">
        <f t="shared" si="349"/>
        <v>#N/A</v>
      </c>
      <c r="AC2177" s="80" t="str">
        <f t="shared" si="348"/>
        <v>LCOZ4</v>
      </c>
      <c r="AD2177" s="80" t="str">
        <f t="shared" si="350"/>
        <v>CLZ4</v>
      </c>
      <c r="AE2177" s="80" t="str">
        <f t="shared" si="351"/>
        <v/>
      </c>
      <c r="AF2177" s="80" t="str">
        <f t="shared" si="352"/>
        <v>CL</v>
      </c>
      <c r="AG2177" s="80" t="str">
        <f t="shared" si="353"/>
        <v/>
      </c>
      <c r="AH2177" s="80" t="str">
        <f t="shared" si="354"/>
        <v/>
      </c>
    </row>
    <row r="2178" spans="25:34" x14ac:dyDescent="0.35">
      <c r="Y2178" s="74">
        <f t="shared" si="355"/>
        <v>45581</v>
      </c>
      <c r="Z2178" s="74" t="e">
        <f t="shared" ref="Z2178:Z2241" ca="1" si="356">VLOOKUP(AA2178,$I$2:$K$39,3,FALSE)</f>
        <v>#N/A</v>
      </c>
      <c r="AA2178" s="80" t="e">
        <f t="shared" ref="AA2178:AA2241" ca="1" si="357">LOOKUP(2,1/($J$2:$J$700&lt;=$Y2178)/($K$2:$K$700&gt;=$Y2178),$L$2:$L$700)</f>
        <v>#N/A</v>
      </c>
      <c r="AB2178" s="74" t="e">
        <f t="shared" si="349"/>
        <v>#N/A</v>
      </c>
      <c r="AC2178" s="80" t="str">
        <f t="shared" ref="AC2178:AC2241" si="358">LOOKUP(2,1/($R$2:$R$700&lt;=$Y2178)/($S$2:$S$700&gt;=$Y2178),$T$2:$T$700)</f>
        <v>LCOZ4</v>
      </c>
      <c r="AD2178" s="80" t="str">
        <f t="shared" si="350"/>
        <v>CLZ4</v>
      </c>
      <c r="AE2178" s="80" t="str">
        <f t="shared" si="351"/>
        <v/>
      </c>
      <c r="AF2178" s="80" t="str">
        <f t="shared" si="352"/>
        <v>CL</v>
      </c>
      <c r="AG2178" s="80" t="str">
        <f t="shared" si="353"/>
        <v/>
      </c>
      <c r="AH2178" s="80" t="str">
        <f t="shared" si="354"/>
        <v/>
      </c>
    </row>
    <row r="2179" spans="25:34" x14ac:dyDescent="0.35">
      <c r="Y2179" s="74">
        <f t="shared" si="355"/>
        <v>45582</v>
      </c>
      <c r="Z2179" s="74" t="e">
        <f t="shared" ca="1" si="356"/>
        <v>#N/A</v>
      </c>
      <c r="AA2179" s="80" t="e">
        <f t="shared" ca="1" si="357"/>
        <v>#N/A</v>
      </c>
      <c r="AB2179" s="74" t="e">
        <f t="shared" ref="AB2179:AB2242" si="359">VLOOKUP(AC2179,$Q$2:$S$39,3,FALSE)</f>
        <v>#N/A</v>
      </c>
      <c r="AC2179" s="80" t="str">
        <f t="shared" si="358"/>
        <v>LCOZ4</v>
      </c>
      <c r="AD2179" s="80" t="str">
        <f t="shared" ref="AD2179:AD2242" si="360">CONCATENATE("CL",RIGHT(AC2179,2))</f>
        <v>CLZ4</v>
      </c>
      <c r="AE2179" s="80" t="str">
        <f t="shared" ref="AE2179:AE2242" si="361">LOOKUP(2,1/($R$2:$R$700&lt;=$Y2179)/($S$2:$S$700&gt;=$Y2179),$U$2:$U$700)</f>
        <v/>
      </c>
      <c r="AF2179" s="80" t="str">
        <f t="shared" ref="AF2179:AF2242" si="362">CONCATENATE("CL",RIGHT(AE2179,2))</f>
        <v>CL</v>
      </c>
      <c r="AG2179" s="80" t="str">
        <f t="shared" ref="AG2179:AG2242" si="363">LOOKUP(2,1/($R$2:$R$700&lt;=$Y2179)/($S$2:$S$700&gt;=$Y2179),$V$2:$V$700)</f>
        <v/>
      </c>
      <c r="AH2179" s="80" t="str">
        <f t="shared" ref="AH2179:AH2242" si="364">LOOKUP(2,1/($R$2:$R$700&lt;=$Y2179)/($S$2:$S$700&gt;=$Y2179),$W$2:$W$700)</f>
        <v/>
      </c>
    </row>
    <row r="2180" spans="25:34" x14ac:dyDescent="0.35">
      <c r="Y2180" s="74">
        <f t="shared" si="355"/>
        <v>45583</v>
      </c>
      <c r="Z2180" s="74" t="e">
        <f t="shared" ca="1" si="356"/>
        <v>#N/A</v>
      </c>
      <c r="AA2180" s="80" t="e">
        <f t="shared" ca="1" si="357"/>
        <v>#N/A</v>
      </c>
      <c r="AB2180" s="74" t="e">
        <f t="shared" si="359"/>
        <v>#N/A</v>
      </c>
      <c r="AC2180" s="80" t="str">
        <f t="shared" si="358"/>
        <v>LCOZ4</v>
      </c>
      <c r="AD2180" s="80" t="str">
        <f t="shared" si="360"/>
        <v>CLZ4</v>
      </c>
      <c r="AE2180" s="80" t="str">
        <f t="shared" si="361"/>
        <v/>
      </c>
      <c r="AF2180" s="80" t="str">
        <f t="shared" si="362"/>
        <v>CL</v>
      </c>
      <c r="AG2180" s="80" t="str">
        <f t="shared" si="363"/>
        <v/>
      </c>
      <c r="AH2180" s="80" t="str">
        <f t="shared" si="364"/>
        <v/>
      </c>
    </row>
    <row r="2181" spans="25:34" x14ac:dyDescent="0.35">
      <c r="Y2181" s="74">
        <f t="shared" si="355"/>
        <v>45584</v>
      </c>
      <c r="Z2181" s="74" t="e">
        <f t="shared" ca="1" si="356"/>
        <v>#N/A</v>
      </c>
      <c r="AA2181" s="80" t="e">
        <f t="shared" ca="1" si="357"/>
        <v>#N/A</v>
      </c>
      <c r="AB2181" s="74" t="e">
        <f t="shared" si="359"/>
        <v>#N/A</v>
      </c>
      <c r="AC2181" s="80" t="str">
        <f t="shared" si="358"/>
        <v>LCOZ4</v>
      </c>
      <c r="AD2181" s="80" t="str">
        <f t="shared" si="360"/>
        <v>CLZ4</v>
      </c>
      <c r="AE2181" s="80" t="str">
        <f t="shared" si="361"/>
        <v/>
      </c>
      <c r="AF2181" s="80" t="str">
        <f t="shared" si="362"/>
        <v>CL</v>
      </c>
      <c r="AG2181" s="80" t="str">
        <f t="shared" si="363"/>
        <v/>
      </c>
      <c r="AH2181" s="80" t="str">
        <f t="shared" si="364"/>
        <v/>
      </c>
    </row>
    <row r="2182" spans="25:34" x14ac:dyDescent="0.35">
      <c r="Y2182" s="74">
        <f t="shared" si="355"/>
        <v>45585</v>
      </c>
      <c r="Z2182" s="74" t="e">
        <f t="shared" ca="1" si="356"/>
        <v>#N/A</v>
      </c>
      <c r="AA2182" s="80" t="e">
        <f t="shared" ca="1" si="357"/>
        <v>#N/A</v>
      </c>
      <c r="AB2182" s="74" t="e">
        <f t="shared" si="359"/>
        <v>#N/A</v>
      </c>
      <c r="AC2182" s="80" t="str">
        <f t="shared" si="358"/>
        <v>LCOZ4</v>
      </c>
      <c r="AD2182" s="80" t="str">
        <f t="shared" si="360"/>
        <v>CLZ4</v>
      </c>
      <c r="AE2182" s="80" t="str">
        <f t="shared" si="361"/>
        <v/>
      </c>
      <c r="AF2182" s="80" t="str">
        <f t="shared" si="362"/>
        <v>CL</v>
      </c>
      <c r="AG2182" s="80" t="str">
        <f t="shared" si="363"/>
        <v/>
      </c>
      <c r="AH2182" s="80" t="str">
        <f t="shared" si="364"/>
        <v/>
      </c>
    </row>
    <row r="2183" spans="25:34" x14ac:dyDescent="0.35">
      <c r="Y2183" s="74">
        <f t="shared" si="355"/>
        <v>45586</v>
      </c>
      <c r="Z2183" s="74" t="e">
        <f t="shared" ca="1" si="356"/>
        <v>#N/A</v>
      </c>
      <c r="AA2183" s="80" t="e">
        <f t="shared" ca="1" si="357"/>
        <v>#N/A</v>
      </c>
      <c r="AB2183" s="74" t="e">
        <f t="shared" si="359"/>
        <v>#N/A</v>
      </c>
      <c r="AC2183" s="80" t="str">
        <f t="shared" si="358"/>
        <v>LCOZ4</v>
      </c>
      <c r="AD2183" s="80" t="str">
        <f t="shared" si="360"/>
        <v>CLZ4</v>
      </c>
      <c r="AE2183" s="80" t="str">
        <f t="shared" si="361"/>
        <v/>
      </c>
      <c r="AF2183" s="80" t="str">
        <f t="shared" si="362"/>
        <v>CL</v>
      </c>
      <c r="AG2183" s="80" t="str">
        <f t="shared" si="363"/>
        <v/>
      </c>
      <c r="AH2183" s="80" t="str">
        <f t="shared" si="364"/>
        <v/>
      </c>
    </row>
    <row r="2184" spans="25:34" x14ac:dyDescent="0.35">
      <c r="Y2184" s="74">
        <f t="shared" si="355"/>
        <v>45587</v>
      </c>
      <c r="Z2184" s="74" t="e">
        <f t="shared" ca="1" si="356"/>
        <v>#N/A</v>
      </c>
      <c r="AA2184" s="80" t="e">
        <f t="shared" ca="1" si="357"/>
        <v>#N/A</v>
      </c>
      <c r="AB2184" s="74" t="e">
        <f t="shared" si="359"/>
        <v>#N/A</v>
      </c>
      <c r="AC2184" s="80" t="str">
        <f t="shared" si="358"/>
        <v>LCOZ4</v>
      </c>
      <c r="AD2184" s="80" t="str">
        <f t="shared" si="360"/>
        <v>CLZ4</v>
      </c>
      <c r="AE2184" s="80" t="str">
        <f t="shared" si="361"/>
        <v/>
      </c>
      <c r="AF2184" s="80" t="str">
        <f t="shared" si="362"/>
        <v>CL</v>
      </c>
      <c r="AG2184" s="80" t="str">
        <f t="shared" si="363"/>
        <v/>
      </c>
      <c r="AH2184" s="80" t="str">
        <f t="shared" si="364"/>
        <v/>
      </c>
    </row>
    <row r="2185" spans="25:34" x14ac:dyDescent="0.35">
      <c r="Y2185" s="74">
        <f t="shared" si="355"/>
        <v>45588</v>
      </c>
      <c r="Z2185" s="74" t="e">
        <f t="shared" ca="1" si="356"/>
        <v>#N/A</v>
      </c>
      <c r="AA2185" s="80" t="e">
        <f t="shared" ca="1" si="357"/>
        <v>#N/A</v>
      </c>
      <c r="AB2185" s="74" t="e">
        <f t="shared" si="359"/>
        <v>#N/A</v>
      </c>
      <c r="AC2185" s="80" t="str">
        <f t="shared" si="358"/>
        <v>LCOZ4</v>
      </c>
      <c r="AD2185" s="80" t="str">
        <f t="shared" si="360"/>
        <v>CLZ4</v>
      </c>
      <c r="AE2185" s="80" t="str">
        <f t="shared" si="361"/>
        <v/>
      </c>
      <c r="AF2185" s="80" t="str">
        <f t="shared" si="362"/>
        <v>CL</v>
      </c>
      <c r="AG2185" s="80" t="str">
        <f t="shared" si="363"/>
        <v/>
      </c>
      <c r="AH2185" s="80" t="str">
        <f t="shared" si="364"/>
        <v/>
      </c>
    </row>
    <row r="2186" spans="25:34" x14ac:dyDescent="0.35">
      <c r="Y2186" s="74">
        <f t="shared" si="355"/>
        <v>45589</v>
      </c>
      <c r="Z2186" s="74" t="e">
        <f t="shared" ca="1" si="356"/>
        <v>#N/A</v>
      </c>
      <c r="AA2186" s="80" t="e">
        <f t="shared" ca="1" si="357"/>
        <v>#N/A</v>
      </c>
      <c r="AB2186" s="74" t="e">
        <f t="shared" si="359"/>
        <v>#N/A</v>
      </c>
      <c r="AC2186" s="80" t="str">
        <f t="shared" si="358"/>
        <v>LCOZ4</v>
      </c>
      <c r="AD2186" s="80" t="str">
        <f t="shared" si="360"/>
        <v>CLZ4</v>
      </c>
      <c r="AE2186" s="80" t="str">
        <f t="shared" si="361"/>
        <v/>
      </c>
      <c r="AF2186" s="80" t="str">
        <f t="shared" si="362"/>
        <v>CL</v>
      </c>
      <c r="AG2186" s="80" t="str">
        <f t="shared" si="363"/>
        <v/>
      </c>
      <c r="AH2186" s="80" t="str">
        <f t="shared" si="364"/>
        <v/>
      </c>
    </row>
    <row r="2187" spans="25:34" x14ac:dyDescent="0.35">
      <c r="Y2187" s="74">
        <f t="shared" si="355"/>
        <v>45590</v>
      </c>
      <c r="Z2187" s="74" t="e">
        <f t="shared" ca="1" si="356"/>
        <v>#N/A</v>
      </c>
      <c r="AA2187" s="80" t="e">
        <f t="shared" ca="1" si="357"/>
        <v>#N/A</v>
      </c>
      <c r="AB2187" s="74" t="e">
        <f t="shared" si="359"/>
        <v>#N/A</v>
      </c>
      <c r="AC2187" s="80" t="str">
        <f t="shared" si="358"/>
        <v>LCOZ4</v>
      </c>
      <c r="AD2187" s="80" t="str">
        <f t="shared" si="360"/>
        <v>CLZ4</v>
      </c>
      <c r="AE2187" s="80" t="str">
        <f t="shared" si="361"/>
        <v/>
      </c>
      <c r="AF2187" s="80" t="str">
        <f t="shared" si="362"/>
        <v>CL</v>
      </c>
      <c r="AG2187" s="80" t="str">
        <f t="shared" si="363"/>
        <v/>
      </c>
      <c r="AH2187" s="80" t="str">
        <f t="shared" si="364"/>
        <v/>
      </c>
    </row>
    <row r="2188" spans="25:34" x14ac:dyDescent="0.35">
      <c r="Y2188" s="74">
        <f t="shared" si="355"/>
        <v>45591</v>
      </c>
      <c r="Z2188" s="74" t="e">
        <f t="shared" ca="1" si="356"/>
        <v>#N/A</v>
      </c>
      <c r="AA2188" s="80" t="e">
        <f t="shared" ca="1" si="357"/>
        <v>#N/A</v>
      </c>
      <c r="AB2188" s="74" t="e">
        <f t="shared" si="359"/>
        <v>#N/A</v>
      </c>
      <c r="AC2188" s="80" t="str">
        <f t="shared" si="358"/>
        <v>LCOZ4</v>
      </c>
      <c r="AD2188" s="80" t="str">
        <f t="shared" si="360"/>
        <v>CLZ4</v>
      </c>
      <c r="AE2188" s="80" t="str">
        <f t="shared" si="361"/>
        <v/>
      </c>
      <c r="AF2188" s="80" t="str">
        <f t="shared" si="362"/>
        <v>CL</v>
      </c>
      <c r="AG2188" s="80" t="str">
        <f t="shared" si="363"/>
        <v/>
      </c>
      <c r="AH2188" s="80" t="str">
        <f t="shared" si="364"/>
        <v/>
      </c>
    </row>
    <row r="2189" spans="25:34" x14ac:dyDescent="0.35">
      <c r="Y2189" s="74">
        <f t="shared" si="355"/>
        <v>45592</v>
      </c>
      <c r="Z2189" s="74" t="e">
        <f t="shared" ca="1" si="356"/>
        <v>#N/A</v>
      </c>
      <c r="AA2189" s="80" t="e">
        <f t="shared" ca="1" si="357"/>
        <v>#N/A</v>
      </c>
      <c r="AB2189" s="74" t="e">
        <f t="shared" si="359"/>
        <v>#N/A</v>
      </c>
      <c r="AC2189" s="80" t="str">
        <f t="shared" si="358"/>
        <v>LCOZ4</v>
      </c>
      <c r="AD2189" s="80" t="str">
        <f t="shared" si="360"/>
        <v>CLZ4</v>
      </c>
      <c r="AE2189" s="80" t="str">
        <f t="shared" si="361"/>
        <v/>
      </c>
      <c r="AF2189" s="80" t="str">
        <f t="shared" si="362"/>
        <v>CL</v>
      </c>
      <c r="AG2189" s="80" t="str">
        <f t="shared" si="363"/>
        <v/>
      </c>
      <c r="AH2189" s="80" t="str">
        <f t="shared" si="364"/>
        <v/>
      </c>
    </row>
    <row r="2190" spans="25:34" x14ac:dyDescent="0.35">
      <c r="Y2190" s="74">
        <f t="shared" si="355"/>
        <v>45593</v>
      </c>
      <c r="Z2190" s="74" t="e">
        <f t="shared" ca="1" si="356"/>
        <v>#N/A</v>
      </c>
      <c r="AA2190" s="80" t="e">
        <f t="shared" ca="1" si="357"/>
        <v>#N/A</v>
      </c>
      <c r="AB2190" s="74" t="e">
        <f t="shared" si="359"/>
        <v>#N/A</v>
      </c>
      <c r="AC2190" s="80" t="str">
        <f t="shared" si="358"/>
        <v>LCOZ4</v>
      </c>
      <c r="AD2190" s="80" t="str">
        <f t="shared" si="360"/>
        <v>CLZ4</v>
      </c>
      <c r="AE2190" s="80" t="str">
        <f t="shared" si="361"/>
        <v/>
      </c>
      <c r="AF2190" s="80" t="str">
        <f t="shared" si="362"/>
        <v>CL</v>
      </c>
      <c r="AG2190" s="80" t="str">
        <f t="shared" si="363"/>
        <v/>
      </c>
      <c r="AH2190" s="80" t="str">
        <f t="shared" si="364"/>
        <v/>
      </c>
    </row>
    <row r="2191" spans="25:34" x14ac:dyDescent="0.35">
      <c r="Y2191" s="74">
        <f t="shared" si="355"/>
        <v>45594</v>
      </c>
      <c r="Z2191" s="74" t="e">
        <f t="shared" ca="1" si="356"/>
        <v>#N/A</v>
      </c>
      <c r="AA2191" s="80" t="e">
        <f t="shared" ca="1" si="357"/>
        <v>#N/A</v>
      </c>
      <c r="AB2191" s="74" t="e">
        <f t="shared" si="359"/>
        <v>#N/A</v>
      </c>
      <c r="AC2191" s="80" t="str">
        <f t="shared" si="358"/>
        <v>LCOZ4</v>
      </c>
      <c r="AD2191" s="80" t="str">
        <f t="shared" si="360"/>
        <v>CLZ4</v>
      </c>
      <c r="AE2191" s="80" t="str">
        <f t="shared" si="361"/>
        <v/>
      </c>
      <c r="AF2191" s="80" t="str">
        <f t="shared" si="362"/>
        <v>CL</v>
      </c>
      <c r="AG2191" s="80" t="str">
        <f t="shared" si="363"/>
        <v/>
      </c>
      <c r="AH2191" s="80" t="str">
        <f t="shared" si="364"/>
        <v/>
      </c>
    </row>
    <row r="2192" spans="25:34" x14ac:dyDescent="0.35">
      <c r="Y2192" s="74">
        <f t="shared" si="355"/>
        <v>45595</v>
      </c>
      <c r="Z2192" s="74" t="e">
        <f t="shared" ca="1" si="356"/>
        <v>#N/A</v>
      </c>
      <c r="AA2192" s="80" t="e">
        <f t="shared" ca="1" si="357"/>
        <v>#N/A</v>
      </c>
      <c r="AB2192" s="74" t="e">
        <f t="shared" si="359"/>
        <v>#N/A</v>
      </c>
      <c r="AC2192" s="80" t="str">
        <f t="shared" si="358"/>
        <v>LCOZ4</v>
      </c>
      <c r="AD2192" s="80" t="str">
        <f t="shared" si="360"/>
        <v>CLZ4</v>
      </c>
      <c r="AE2192" s="80" t="str">
        <f t="shared" si="361"/>
        <v/>
      </c>
      <c r="AF2192" s="80" t="str">
        <f t="shared" si="362"/>
        <v>CL</v>
      </c>
      <c r="AG2192" s="80" t="str">
        <f t="shared" si="363"/>
        <v/>
      </c>
      <c r="AH2192" s="80" t="str">
        <f t="shared" si="364"/>
        <v/>
      </c>
    </row>
    <row r="2193" spans="25:34" x14ac:dyDescent="0.35">
      <c r="Y2193" s="74">
        <f t="shared" si="355"/>
        <v>45596</v>
      </c>
      <c r="Z2193" s="74" t="e">
        <f t="shared" ca="1" si="356"/>
        <v>#N/A</v>
      </c>
      <c r="AA2193" s="80" t="e">
        <f t="shared" ca="1" si="357"/>
        <v>#N/A</v>
      </c>
      <c r="AB2193" s="74" t="e">
        <f t="shared" si="359"/>
        <v>#N/A</v>
      </c>
      <c r="AC2193" s="80" t="str">
        <f t="shared" si="358"/>
        <v>LCOZ4</v>
      </c>
      <c r="AD2193" s="80" t="str">
        <f t="shared" si="360"/>
        <v>CLZ4</v>
      </c>
      <c r="AE2193" s="80" t="str">
        <f t="shared" si="361"/>
        <v/>
      </c>
      <c r="AF2193" s="80" t="str">
        <f t="shared" si="362"/>
        <v>CL</v>
      </c>
      <c r="AG2193" s="80" t="str">
        <f t="shared" si="363"/>
        <v/>
      </c>
      <c r="AH2193" s="80" t="str">
        <f t="shared" si="364"/>
        <v/>
      </c>
    </row>
    <row r="2194" spans="25:34" x14ac:dyDescent="0.35">
      <c r="Y2194" s="74">
        <f t="shared" si="355"/>
        <v>45597</v>
      </c>
      <c r="Z2194" s="74" t="e">
        <f t="shared" ca="1" si="356"/>
        <v>#N/A</v>
      </c>
      <c r="AA2194" s="80" t="e">
        <f t="shared" ca="1" si="357"/>
        <v>#N/A</v>
      </c>
      <c r="AB2194" s="74" t="e">
        <f t="shared" si="359"/>
        <v>#N/A</v>
      </c>
      <c r="AC2194" s="80" t="e">
        <f t="shared" si="358"/>
        <v>#N/A</v>
      </c>
      <c r="AD2194" s="80" t="e">
        <f t="shared" si="360"/>
        <v>#N/A</v>
      </c>
      <c r="AE2194" s="80" t="e">
        <f t="shared" si="361"/>
        <v>#N/A</v>
      </c>
      <c r="AF2194" s="80" t="e">
        <f t="shared" si="362"/>
        <v>#N/A</v>
      </c>
      <c r="AG2194" s="80" t="e">
        <f t="shared" si="363"/>
        <v>#N/A</v>
      </c>
      <c r="AH2194" s="80" t="e">
        <f t="shared" si="364"/>
        <v>#N/A</v>
      </c>
    </row>
    <row r="2195" spans="25:34" x14ac:dyDescent="0.35">
      <c r="Y2195" s="74">
        <f t="shared" si="355"/>
        <v>45598</v>
      </c>
      <c r="Z2195" s="74" t="e">
        <f t="shared" ca="1" si="356"/>
        <v>#N/A</v>
      </c>
      <c r="AA2195" s="80" t="e">
        <f t="shared" ca="1" si="357"/>
        <v>#N/A</v>
      </c>
      <c r="AB2195" s="74" t="e">
        <f t="shared" si="359"/>
        <v>#N/A</v>
      </c>
      <c r="AC2195" s="80" t="e">
        <f t="shared" si="358"/>
        <v>#N/A</v>
      </c>
      <c r="AD2195" s="80" t="e">
        <f t="shared" si="360"/>
        <v>#N/A</v>
      </c>
      <c r="AE2195" s="80" t="e">
        <f t="shared" si="361"/>
        <v>#N/A</v>
      </c>
      <c r="AF2195" s="80" t="e">
        <f t="shared" si="362"/>
        <v>#N/A</v>
      </c>
      <c r="AG2195" s="80" t="e">
        <f t="shared" si="363"/>
        <v>#N/A</v>
      </c>
      <c r="AH2195" s="80" t="e">
        <f t="shared" si="364"/>
        <v>#N/A</v>
      </c>
    </row>
    <row r="2196" spans="25:34" x14ac:dyDescent="0.35">
      <c r="Y2196" s="74">
        <f t="shared" si="355"/>
        <v>45599</v>
      </c>
      <c r="Z2196" s="74" t="e">
        <f t="shared" ca="1" si="356"/>
        <v>#N/A</v>
      </c>
      <c r="AA2196" s="80" t="e">
        <f t="shared" ca="1" si="357"/>
        <v>#N/A</v>
      </c>
      <c r="AB2196" s="74" t="e">
        <f t="shared" si="359"/>
        <v>#N/A</v>
      </c>
      <c r="AC2196" s="80" t="e">
        <f t="shared" si="358"/>
        <v>#N/A</v>
      </c>
      <c r="AD2196" s="80" t="e">
        <f t="shared" si="360"/>
        <v>#N/A</v>
      </c>
      <c r="AE2196" s="80" t="e">
        <f t="shared" si="361"/>
        <v>#N/A</v>
      </c>
      <c r="AF2196" s="80" t="e">
        <f t="shared" si="362"/>
        <v>#N/A</v>
      </c>
      <c r="AG2196" s="80" t="e">
        <f t="shared" si="363"/>
        <v>#N/A</v>
      </c>
      <c r="AH2196" s="80" t="e">
        <f t="shared" si="364"/>
        <v>#N/A</v>
      </c>
    </row>
    <row r="2197" spans="25:34" x14ac:dyDescent="0.35">
      <c r="Y2197" s="74">
        <f t="shared" si="355"/>
        <v>45600</v>
      </c>
      <c r="Z2197" s="74" t="e">
        <f t="shared" ca="1" si="356"/>
        <v>#N/A</v>
      </c>
      <c r="AA2197" s="80" t="e">
        <f t="shared" ca="1" si="357"/>
        <v>#N/A</v>
      </c>
      <c r="AB2197" s="74" t="e">
        <f t="shared" si="359"/>
        <v>#N/A</v>
      </c>
      <c r="AC2197" s="80" t="e">
        <f t="shared" si="358"/>
        <v>#N/A</v>
      </c>
      <c r="AD2197" s="80" t="e">
        <f t="shared" si="360"/>
        <v>#N/A</v>
      </c>
      <c r="AE2197" s="80" t="e">
        <f t="shared" si="361"/>
        <v>#N/A</v>
      </c>
      <c r="AF2197" s="80" t="e">
        <f t="shared" si="362"/>
        <v>#N/A</v>
      </c>
      <c r="AG2197" s="80" t="e">
        <f t="shared" si="363"/>
        <v>#N/A</v>
      </c>
      <c r="AH2197" s="80" t="e">
        <f t="shared" si="364"/>
        <v>#N/A</v>
      </c>
    </row>
    <row r="2198" spans="25:34" x14ac:dyDescent="0.35">
      <c r="Y2198" s="74">
        <f t="shared" si="355"/>
        <v>45601</v>
      </c>
      <c r="Z2198" s="74" t="e">
        <f t="shared" ca="1" si="356"/>
        <v>#N/A</v>
      </c>
      <c r="AA2198" s="80" t="e">
        <f t="shared" ca="1" si="357"/>
        <v>#N/A</v>
      </c>
      <c r="AB2198" s="74" t="e">
        <f t="shared" si="359"/>
        <v>#N/A</v>
      </c>
      <c r="AC2198" s="80" t="e">
        <f t="shared" si="358"/>
        <v>#N/A</v>
      </c>
      <c r="AD2198" s="80" t="e">
        <f t="shared" si="360"/>
        <v>#N/A</v>
      </c>
      <c r="AE2198" s="80" t="e">
        <f t="shared" si="361"/>
        <v>#N/A</v>
      </c>
      <c r="AF2198" s="80" t="e">
        <f t="shared" si="362"/>
        <v>#N/A</v>
      </c>
      <c r="AG2198" s="80" t="e">
        <f t="shared" si="363"/>
        <v>#N/A</v>
      </c>
      <c r="AH2198" s="80" t="e">
        <f t="shared" si="364"/>
        <v>#N/A</v>
      </c>
    </row>
    <row r="2199" spans="25:34" x14ac:dyDescent="0.35">
      <c r="Y2199" s="74">
        <f t="shared" si="355"/>
        <v>45602</v>
      </c>
      <c r="Z2199" s="74" t="e">
        <f t="shared" ca="1" si="356"/>
        <v>#N/A</v>
      </c>
      <c r="AA2199" s="80" t="e">
        <f t="shared" ca="1" si="357"/>
        <v>#N/A</v>
      </c>
      <c r="AB2199" s="74" t="e">
        <f t="shared" si="359"/>
        <v>#N/A</v>
      </c>
      <c r="AC2199" s="80" t="e">
        <f t="shared" si="358"/>
        <v>#N/A</v>
      </c>
      <c r="AD2199" s="80" t="e">
        <f t="shared" si="360"/>
        <v>#N/A</v>
      </c>
      <c r="AE2199" s="80" t="e">
        <f t="shared" si="361"/>
        <v>#N/A</v>
      </c>
      <c r="AF2199" s="80" t="e">
        <f t="shared" si="362"/>
        <v>#N/A</v>
      </c>
      <c r="AG2199" s="80" t="e">
        <f t="shared" si="363"/>
        <v>#N/A</v>
      </c>
      <c r="AH2199" s="80" t="e">
        <f t="shared" si="364"/>
        <v>#N/A</v>
      </c>
    </row>
    <row r="2200" spans="25:34" x14ac:dyDescent="0.35">
      <c r="Y2200" s="74">
        <f t="shared" si="355"/>
        <v>45603</v>
      </c>
      <c r="Z2200" s="74" t="e">
        <f t="shared" ca="1" si="356"/>
        <v>#N/A</v>
      </c>
      <c r="AA2200" s="80" t="e">
        <f t="shared" ca="1" si="357"/>
        <v>#N/A</v>
      </c>
      <c r="AB2200" s="74" t="e">
        <f t="shared" si="359"/>
        <v>#N/A</v>
      </c>
      <c r="AC2200" s="80" t="e">
        <f t="shared" si="358"/>
        <v>#N/A</v>
      </c>
      <c r="AD2200" s="80" t="e">
        <f t="shared" si="360"/>
        <v>#N/A</v>
      </c>
      <c r="AE2200" s="80" t="e">
        <f t="shared" si="361"/>
        <v>#N/A</v>
      </c>
      <c r="AF2200" s="80" t="e">
        <f t="shared" si="362"/>
        <v>#N/A</v>
      </c>
      <c r="AG2200" s="80" t="e">
        <f t="shared" si="363"/>
        <v>#N/A</v>
      </c>
      <c r="AH2200" s="80" t="e">
        <f t="shared" si="364"/>
        <v>#N/A</v>
      </c>
    </row>
    <row r="2201" spans="25:34" x14ac:dyDescent="0.35">
      <c r="Y2201" s="74">
        <f t="shared" si="355"/>
        <v>45604</v>
      </c>
      <c r="Z2201" s="74" t="e">
        <f t="shared" ca="1" si="356"/>
        <v>#N/A</v>
      </c>
      <c r="AA2201" s="80" t="e">
        <f t="shared" ca="1" si="357"/>
        <v>#N/A</v>
      </c>
      <c r="AB2201" s="74" t="e">
        <f t="shared" si="359"/>
        <v>#N/A</v>
      </c>
      <c r="AC2201" s="80" t="e">
        <f t="shared" si="358"/>
        <v>#N/A</v>
      </c>
      <c r="AD2201" s="80" t="e">
        <f t="shared" si="360"/>
        <v>#N/A</v>
      </c>
      <c r="AE2201" s="80" t="e">
        <f t="shared" si="361"/>
        <v>#N/A</v>
      </c>
      <c r="AF2201" s="80" t="e">
        <f t="shared" si="362"/>
        <v>#N/A</v>
      </c>
      <c r="AG2201" s="80" t="e">
        <f t="shared" si="363"/>
        <v>#N/A</v>
      </c>
      <c r="AH2201" s="80" t="e">
        <f t="shared" si="364"/>
        <v>#N/A</v>
      </c>
    </row>
    <row r="2202" spans="25:34" x14ac:dyDescent="0.35">
      <c r="Y2202" s="74">
        <f t="shared" si="355"/>
        <v>45605</v>
      </c>
      <c r="Z2202" s="74" t="e">
        <f t="shared" ca="1" si="356"/>
        <v>#N/A</v>
      </c>
      <c r="AA2202" s="80" t="e">
        <f t="shared" ca="1" si="357"/>
        <v>#N/A</v>
      </c>
      <c r="AB2202" s="74" t="e">
        <f t="shared" si="359"/>
        <v>#N/A</v>
      </c>
      <c r="AC2202" s="80" t="e">
        <f t="shared" si="358"/>
        <v>#N/A</v>
      </c>
      <c r="AD2202" s="80" t="e">
        <f t="shared" si="360"/>
        <v>#N/A</v>
      </c>
      <c r="AE2202" s="80" t="e">
        <f t="shared" si="361"/>
        <v>#N/A</v>
      </c>
      <c r="AF2202" s="80" t="e">
        <f t="shared" si="362"/>
        <v>#N/A</v>
      </c>
      <c r="AG2202" s="80" t="e">
        <f t="shared" si="363"/>
        <v>#N/A</v>
      </c>
      <c r="AH2202" s="80" t="e">
        <f t="shared" si="364"/>
        <v>#N/A</v>
      </c>
    </row>
    <row r="2203" spans="25:34" x14ac:dyDescent="0.35">
      <c r="Y2203" s="74">
        <f t="shared" si="355"/>
        <v>45606</v>
      </c>
      <c r="Z2203" s="74" t="e">
        <f t="shared" ca="1" si="356"/>
        <v>#N/A</v>
      </c>
      <c r="AA2203" s="80" t="e">
        <f t="shared" ca="1" si="357"/>
        <v>#N/A</v>
      </c>
      <c r="AB2203" s="74" t="e">
        <f t="shared" si="359"/>
        <v>#N/A</v>
      </c>
      <c r="AC2203" s="80" t="e">
        <f t="shared" si="358"/>
        <v>#N/A</v>
      </c>
      <c r="AD2203" s="80" t="e">
        <f t="shared" si="360"/>
        <v>#N/A</v>
      </c>
      <c r="AE2203" s="80" t="e">
        <f t="shared" si="361"/>
        <v>#N/A</v>
      </c>
      <c r="AF2203" s="80" t="e">
        <f t="shared" si="362"/>
        <v>#N/A</v>
      </c>
      <c r="AG2203" s="80" t="e">
        <f t="shared" si="363"/>
        <v>#N/A</v>
      </c>
      <c r="AH2203" s="80" t="e">
        <f t="shared" si="364"/>
        <v>#N/A</v>
      </c>
    </row>
    <row r="2204" spans="25:34" x14ac:dyDescent="0.35">
      <c r="Y2204" s="74">
        <f t="shared" si="355"/>
        <v>45607</v>
      </c>
      <c r="Z2204" s="74" t="e">
        <f t="shared" ca="1" si="356"/>
        <v>#N/A</v>
      </c>
      <c r="AA2204" s="80" t="e">
        <f t="shared" ca="1" si="357"/>
        <v>#N/A</v>
      </c>
      <c r="AB2204" s="74" t="e">
        <f t="shared" si="359"/>
        <v>#N/A</v>
      </c>
      <c r="AC2204" s="80" t="e">
        <f t="shared" si="358"/>
        <v>#N/A</v>
      </c>
      <c r="AD2204" s="80" t="e">
        <f t="shared" si="360"/>
        <v>#N/A</v>
      </c>
      <c r="AE2204" s="80" t="e">
        <f t="shared" si="361"/>
        <v>#N/A</v>
      </c>
      <c r="AF2204" s="80" t="e">
        <f t="shared" si="362"/>
        <v>#N/A</v>
      </c>
      <c r="AG2204" s="80" t="e">
        <f t="shared" si="363"/>
        <v>#N/A</v>
      </c>
      <c r="AH2204" s="80" t="e">
        <f t="shared" si="364"/>
        <v>#N/A</v>
      </c>
    </row>
    <row r="2205" spans="25:34" x14ac:dyDescent="0.35">
      <c r="Y2205" s="74">
        <f t="shared" si="355"/>
        <v>45608</v>
      </c>
      <c r="Z2205" s="74" t="e">
        <f t="shared" ca="1" si="356"/>
        <v>#N/A</v>
      </c>
      <c r="AA2205" s="80" t="e">
        <f t="shared" ca="1" si="357"/>
        <v>#N/A</v>
      </c>
      <c r="AB2205" s="74" t="e">
        <f t="shared" si="359"/>
        <v>#N/A</v>
      </c>
      <c r="AC2205" s="80" t="e">
        <f t="shared" si="358"/>
        <v>#N/A</v>
      </c>
      <c r="AD2205" s="80" t="e">
        <f t="shared" si="360"/>
        <v>#N/A</v>
      </c>
      <c r="AE2205" s="80" t="e">
        <f t="shared" si="361"/>
        <v>#N/A</v>
      </c>
      <c r="AF2205" s="80" t="e">
        <f t="shared" si="362"/>
        <v>#N/A</v>
      </c>
      <c r="AG2205" s="80" t="e">
        <f t="shared" si="363"/>
        <v>#N/A</v>
      </c>
      <c r="AH2205" s="80" t="e">
        <f t="shared" si="364"/>
        <v>#N/A</v>
      </c>
    </row>
    <row r="2206" spans="25:34" x14ac:dyDescent="0.35">
      <c r="Y2206" s="74">
        <f t="shared" si="355"/>
        <v>45609</v>
      </c>
      <c r="Z2206" s="74" t="e">
        <f t="shared" ca="1" si="356"/>
        <v>#N/A</v>
      </c>
      <c r="AA2206" s="80" t="e">
        <f t="shared" ca="1" si="357"/>
        <v>#N/A</v>
      </c>
      <c r="AB2206" s="74" t="e">
        <f t="shared" si="359"/>
        <v>#N/A</v>
      </c>
      <c r="AC2206" s="80" t="e">
        <f t="shared" si="358"/>
        <v>#N/A</v>
      </c>
      <c r="AD2206" s="80" t="e">
        <f t="shared" si="360"/>
        <v>#N/A</v>
      </c>
      <c r="AE2206" s="80" t="e">
        <f t="shared" si="361"/>
        <v>#N/A</v>
      </c>
      <c r="AF2206" s="80" t="e">
        <f t="shared" si="362"/>
        <v>#N/A</v>
      </c>
      <c r="AG2206" s="80" t="e">
        <f t="shared" si="363"/>
        <v>#N/A</v>
      </c>
      <c r="AH2206" s="80" t="e">
        <f t="shared" si="364"/>
        <v>#N/A</v>
      </c>
    </row>
    <row r="2207" spans="25:34" x14ac:dyDescent="0.35">
      <c r="Y2207" s="74">
        <f t="shared" si="355"/>
        <v>45610</v>
      </c>
      <c r="Z2207" s="74" t="e">
        <f t="shared" ca="1" si="356"/>
        <v>#N/A</v>
      </c>
      <c r="AA2207" s="80" t="e">
        <f t="shared" ca="1" si="357"/>
        <v>#N/A</v>
      </c>
      <c r="AB2207" s="74" t="e">
        <f t="shared" si="359"/>
        <v>#N/A</v>
      </c>
      <c r="AC2207" s="80" t="e">
        <f t="shared" si="358"/>
        <v>#N/A</v>
      </c>
      <c r="AD2207" s="80" t="e">
        <f t="shared" si="360"/>
        <v>#N/A</v>
      </c>
      <c r="AE2207" s="80" t="e">
        <f t="shared" si="361"/>
        <v>#N/A</v>
      </c>
      <c r="AF2207" s="80" t="e">
        <f t="shared" si="362"/>
        <v>#N/A</v>
      </c>
      <c r="AG2207" s="80" t="e">
        <f t="shared" si="363"/>
        <v>#N/A</v>
      </c>
      <c r="AH2207" s="80" t="e">
        <f t="shared" si="364"/>
        <v>#N/A</v>
      </c>
    </row>
    <row r="2208" spans="25:34" x14ac:dyDescent="0.35">
      <c r="Y2208" s="74">
        <f t="shared" si="355"/>
        <v>45611</v>
      </c>
      <c r="Z2208" s="74" t="e">
        <f t="shared" ca="1" si="356"/>
        <v>#N/A</v>
      </c>
      <c r="AA2208" s="80" t="e">
        <f t="shared" ca="1" si="357"/>
        <v>#N/A</v>
      </c>
      <c r="AB2208" s="74" t="e">
        <f t="shared" si="359"/>
        <v>#N/A</v>
      </c>
      <c r="AC2208" s="80" t="e">
        <f t="shared" si="358"/>
        <v>#N/A</v>
      </c>
      <c r="AD2208" s="80" t="e">
        <f t="shared" si="360"/>
        <v>#N/A</v>
      </c>
      <c r="AE2208" s="80" t="e">
        <f t="shared" si="361"/>
        <v>#N/A</v>
      </c>
      <c r="AF2208" s="80" t="e">
        <f t="shared" si="362"/>
        <v>#N/A</v>
      </c>
      <c r="AG2208" s="80" t="e">
        <f t="shared" si="363"/>
        <v>#N/A</v>
      </c>
      <c r="AH2208" s="80" t="e">
        <f t="shared" si="364"/>
        <v>#N/A</v>
      </c>
    </row>
    <row r="2209" spans="25:34" x14ac:dyDescent="0.35">
      <c r="Y2209" s="74">
        <f t="shared" ref="Y2209:Y2254" si="365">Y2208+1</f>
        <v>45612</v>
      </c>
      <c r="Z2209" s="74" t="e">
        <f t="shared" ca="1" si="356"/>
        <v>#N/A</v>
      </c>
      <c r="AA2209" s="80" t="e">
        <f t="shared" ca="1" si="357"/>
        <v>#N/A</v>
      </c>
      <c r="AB2209" s="74" t="e">
        <f t="shared" si="359"/>
        <v>#N/A</v>
      </c>
      <c r="AC2209" s="80" t="e">
        <f t="shared" si="358"/>
        <v>#N/A</v>
      </c>
      <c r="AD2209" s="80" t="e">
        <f t="shared" si="360"/>
        <v>#N/A</v>
      </c>
      <c r="AE2209" s="80" t="e">
        <f t="shared" si="361"/>
        <v>#N/A</v>
      </c>
      <c r="AF2209" s="80" t="e">
        <f t="shared" si="362"/>
        <v>#N/A</v>
      </c>
      <c r="AG2209" s="80" t="e">
        <f t="shared" si="363"/>
        <v>#N/A</v>
      </c>
      <c r="AH2209" s="80" t="e">
        <f t="shared" si="364"/>
        <v>#N/A</v>
      </c>
    </row>
    <row r="2210" spans="25:34" x14ac:dyDescent="0.35">
      <c r="Y2210" s="74">
        <f t="shared" si="365"/>
        <v>45613</v>
      </c>
      <c r="Z2210" s="74" t="e">
        <f t="shared" ca="1" si="356"/>
        <v>#N/A</v>
      </c>
      <c r="AA2210" s="80" t="e">
        <f t="shared" ca="1" si="357"/>
        <v>#N/A</v>
      </c>
      <c r="AB2210" s="74" t="e">
        <f t="shared" si="359"/>
        <v>#N/A</v>
      </c>
      <c r="AC2210" s="80" t="e">
        <f t="shared" si="358"/>
        <v>#N/A</v>
      </c>
      <c r="AD2210" s="80" t="e">
        <f t="shared" si="360"/>
        <v>#N/A</v>
      </c>
      <c r="AE2210" s="80" t="e">
        <f t="shared" si="361"/>
        <v>#N/A</v>
      </c>
      <c r="AF2210" s="80" t="e">
        <f t="shared" si="362"/>
        <v>#N/A</v>
      </c>
      <c r="AG2210" s="80" t="e">
        <f t="shared" si="363"/>
        <v>#N/A</v>
      </c>
      <c r="AH2210" s="80" t="e">
        <f t="shared" si="364"/>
        <v>#N/A</v>
      </c>
    </row>
    <row r="2211" spans="25:34" x14ac:dyDescent="0.35">
      <c r="Y2211" s="74">
        <f t="shared" si="365"/>
        <v>45614</v>
      </c>
      <c r="Z2211" s="74" t="e">
        <f t="shared" ca="1" si="356"/>
        <v>#N/A</v>
      </c>
      <c r="AA2211" s="80" t="e">
        <f t="shared" ca="1" si="357"/>
        <v>#N/A</v>
      </c>
      <c r="AB2211" s="74" t="e">
        <f t="shared" si="359"/>
        <v>#N/A</v>
      </c>
      <c r="AC2211" s="80" t="e">
        <f t="shared" si="358"/>
        <v>#N/A</v>
      </c>
      <c r="AD2211" s="80" t="e">
        <f t="shared" si="360"/>
        <v>#N/A</v>
      </c>
      <c r="AE2211" s="80" t="e">
        <f t="shared" si="361"/>
        <v>#N/A</v>
      </c>
      <c r="AF2211" s="80" t="e">
        <f t="shared" si="362"/>
        <v>#N/A</v>
      </c>
      <c r="AG2211" s="80" t="e">
        <f t="shared" si="363"/>
        <v>#N/A</v>
      </c>
      <c r="AH2211" s="80" t="e">
        <f t="shared" si="364"/>
        <v>#N/A</v>
      </c>
    </row>
    <row r="2212" spans="25:34" x14ac:dyDescent="0.35">
      <c r="Y2212" s="74">
        <f t="shared" si="365"/>
        <v>45615</v>
      </c>
      <c r="Z2212" s="74" t="e">
        <f t="shared" ca="1" si="356"/>
        <v>#N/A</v>
      </c>
      <c r="AA2212" s="80" t="e">
        <f t="shared" ca="1" si="357"/>
        <v>#N/A</v>
      </c>
      <c r="AB2212" s="74" t="e">
        <f t="shared" si="359"/>
        <v>#N/A</v>
      </c>
      <c r="AC2212" s="80" t="e">
        <f t="shared" si="358"/>
        <v>#N/A</v>
      </c>
      <c r="AD2212" s="80" t="e">
        <f t="shared" si="360"/>
        <v>#N/A</v>
      </c>
      <c r="AE2212" s="80" t="e">
        <f t="shared" si="361"/>
        <v>#N/A</v>
      </c>
      <c r="AF2212" s="80" t="e">
        <f t="shared" si="362"/>
        <v>#N/A</v>
      </c>
      <c r="AG2212" s="80" t="e">
        <f t="shared" si="363"/>
        <v>#N/A</v>
      </c>
      <c r="AH2212" s="80" t="e">
        <f t="shared" si="364"/>
        <v>#N/A</v>
      </c>
    </row>
    <row r="2213" spans="25:34" x14ac:dyDescent="0.35">
      <c r="Y2213" s="74">
        <f t="shared" si="365"/>
        <v>45616</v>
      </c>
      <c r="Z2213" s="74" t="e">
        <f t="shared" ca="1" si="356"/>
        <v>#N/A</v>
      </c>
      <c r="AA2213" s="80" t="e">
        <f t="shared" ca="1" si="357"/>
        <v>#N/A</v>
      </c>
      <c r="AB2213" s="74" t="e">
        <f t="shared" si="359"/>
        <v>#N/A</v>
      </c>
      <c r="AC2213" s="80" t="e">
        <f t="shared" si="358"/>
        <v>#N/A</v>
      </c>
      <c r="AD2213" s="80" t="e">
        <f t="shared" si="360"/>
        <v>#N/A</v>
      </c>
      <c r="AE2213" s="80" t="e">
        <f t="shared" si="361"/>
        <v>#N/A</v>
      </c>
      <c r="AF2213" s="80" t="e">
        <f t="shared" si="362"/>
        <v>#N/A</v>
      </c>
      <c r="AG2213" s="80" t="e">
        <f t="shared" si="363"/>
        <v>#N/A</v>
      </c>
      <c r="AH2213" s="80" t="e">
        <f t="shared" si="364"/>
        <v>#N/A</v>
      </c>
    </row>
    <row r="2214" spans="25:34" x14ac:dyDescent="0.35">
      <c r="Y2214" s="74">
        <f t="shared" si="365"/>
        <v>45617</v>
      </c>
      <c r="Z2214" s="74" t="e">
        <f t="shared" ca="1" si="356"/>
        <v>#N/A</v>
      </c>
      <c r="AA2214" s="80" t="e">
        <f t="shared" ca="1" si="357"/>
        <v>#N/A</v>
      </c>
      <c r="AB2214" s="74" t="e">
        <f t="shared" si="359"/>
        <v>#N/A</v>
      </c>
      <c r="AC2214" s="80" t="e">
        <f t="shared" si="358"/>
        <v>#N/A</v>
      </c>
      <c r="AD2214" s="80" t="e">
        <f t="shared" si="360"/>
        <v>#N/A</v>
      </c>
      <c r="AE2214" s="80" t="e">
        <f t="shared" si="361"/>
        <v>#N/A</v>
      </c>
      <c r="AF2214" s="80" t="e">
        <f t="shared" si="362"/>
        <v>#N/A</v>
      </c>
      <c r="AG2214" s="80" t="e">
        <f t="shared" si="363"/>
        <v>#N/A</v>
      </c>
      <c r="AH2214" s="80" t="e">
        <f t="shared" si="364"/>
        <v>#N/A</v>
      </c>
    </row>
    <row r="2215" spans="25:34" x14ac:dyDescent="0.35">
      <c r="Y2215" s="74">
        <f t="shared" si="365"/>
        <v>45618</v>
      </c>
      <c r="Z2215" s="74" t="e">
        <f t="shared" ca="1" si="356"/>
        <v>#N/A</v>
      </c>
      <c r="AA2215" s="80" t="e">
        <f t="shared" ca="1" si="357"/>
        <v>#N/A</v>
      </c>
      <c r="AB2215" s="74" t="e">
        <f t="shared" si="359"/>
        <v>#N/A</v>
      </c>
      <c r="AC2215" s="80" t="e">
        <f t="shared" si="358"/>
        <v>#N/A</v>
      </c>
      <c r="AD2215" s="80" t="e">
        <f t="shared" si="360"/>
        <v>#N/A</v>
      </c>
      <c r="AE2215" s="80" t="e">
        <f t="shared" si="361"/>
        <v>#N/A</v>
      </c>
      <c r="AF2215" s="80" t="e">
        <f t="shared" si="362"/>
        <v>#N/A</v>
      </c>
      <c r="AG2215" s="80" t="e">
        <f t="shared" si="363"/>
        <v>#N/A</v>
      </c>
      <c r="AH2215" s="80" t="e">
        <f t="shared" si="364"/>
        <v>#N/A</v>
      </c>
    </row>
    <row r="2216" spans="25:34" x14ac:dyDescent="0.35">
      <c r="Y2216" s="74">
        <f t="shared" si="365"/>
        <v>45619</v>
      </c>
      <c r="Z2216" s="74" t="e">
        <f t="shared" ca="1" si="356"/>
        <v>#N/A</v>
      </c>
      <c r="AA2216" s="80" t="e">
        <f t="shared" ca="1" si="357"/>
        <v>#N/A</v>
      </c>
      <c r="AB2216" s="74" t="e">
        <f t="shared" si="359"/>
        <v>#N/A</v>
      </c>
      <c r="AC2216" s="80" t="e">
        <f t="shared" si="358"/>
        <v>#N/A</v>
      </c>
      <c r="AD2216" s="80" t="e">
        <f t="shared" si="360"/>
        <v>#N/A</v>
      </c>
      <c r="AE2216" s="80" t="e">
        <f t="shared" si="361"/>
        <v>#N/A</v>
      </c>
      <c r="AF2216" s="80" t="e">
        <f t="shared" si="362"/>
        <v>#N/A</v>
      </c>
      <c r="AG2216" s="80" t="e">
        <f t="shared" si="363"/>
        <v>#N/A</v>
      </c>
      <c r="AH2216" s="80" t="e">
        <f t="shared" si="364"/>
        <v>#N/A</v>
      </c>
    </row>
    <row r="2217" spans="25:34" x14ac:dyDescent="0.35">
      <c r="Y2217" s="74">
        <f t="shared" si="365"/>
        <v>45620</v>
      </c>
      <c r="Z2217" s="74" t="e">
        <f t="shared" ca="1" si="356"/>
        <v>#N/A</v>
      </c>
      <c r="AA2217" s="80" t="e">
        <f t="shared" ca="1" si="357"/>
        <v>#N/A</v>
      </c>
      <c r="AB2217" s="74" t="e">
        <f t="shared" si="359"/>
        <v>#N/A</v>
      </c>
      <c r="AC2217" s="80" t="e">
        <f t="shared" si="358"/>
        <v>#N/A</v>
      </c>
      <c r="AD2217" s="80" t="e">
        <f t="shared" si="360"/>
        <v>#N/A</v>
      </c>
      <c r="AE2217" s="80" t="e">
        <f t="shared" si="361"/>
        <v>#N/A</v>
      </c>
      <c r="AF2217" s="80" t="e">
        <f t="shared" si="362"/>
        <v>#N/A</v>
      </c>
      <c r="AG2217" s="80" t="e">
        <f t="shared" si="363"/>
        <v>#N/A</v>
      </c>
      <c r="AH2217" s="80" t="e">
        <f t="shared" si="364"/>
        <v>#N/A</v>
      </c>
    </row>
    <row r="2218" spans="25:34" x14ac:dyDescent="0.35">
      <c r="Y2218" s="74">
        <f t="shared" si="365"/>
        <v>45621</v>
      </c>
      <c r="Z2218" s="74" t="e">
        <f t="shared" ca="1" si="356"/>
        <v>#N/A</v>
      </c>
      <c r="AA2218" s="80" t="e">
        <f t="shared" ca="1" si="357"/>
        <v>#N/A</v>
      </c>
      <c r="AB2218" s="74" t="e">
        <f t="shared" si="359"/>
        <v>#N/A</v>
      </c>
      <c r="AC2218" s="80" t="e">
        <f t="shared" si="358"/>
        <v>#N/A</v>
      </c>
      <c r="AD2218" s="80" t="e">
        <f t="shared" si="360"/>
        <v>#N/A</v>
      </c>
      <c r="AE2218" s="80" t="e">
        <f t="shared" si="361"/>
        <v>#N/A</v>
      </c>
      <c r="AF2218" s="80" t="e">
        <f t="shared" si="362"/>
        <v>#N/A</v>
      </c>
      <c r="AG2218" s="80" t="e">
        <f t="shared" si="363"/>
        <v>#N/A</v>
      </c>
      <c r="AH2218" s="80" t="e">
        <f t="shared" si="364"/>
        <v>#N/A</v>
      </c>
    </row>
    <row r="2219" spans="25:34" x14ac:dyDescent="0.35">
      <c r="Y2219" s="74">
        <f t="shared" si="365"/>
        <v>45622</v>
      </c>
      <c r="Z2219" s="74" t="e">
        <f t="shared" ca="1" si="356"/>
        <v>#N/A</v>
      </c>
      <c r="AA2219" s="80" t="e">
        <f t="shared" ca="1" si="357"/>
        <v>#N/A</v>
      </c>
      <c r="AB2219" s="74" t="e">
        <f t="shared" si="359"/>
        <v>#N/A</v>
      </c>
      <c r="AC2219" s="80" t="e">
        <f t="shared" si="358"/>
        <v>#N/A</v>
      </c>
      <c r="AD2219" s="80" t="e">
        <f t="shared" si="360"/>
        <v>#N/A</v>
      </c>
      <c r="AE2219" s="80" t="e">
        <f t="shared" si="361"/>
        <v>#N/A</v>
      </c>
      <c r="AF2219" s="80" t="e">
        <f t="shared" si="362"/>
        <v>#N/A</v>
      </c>
      <c r="AG2219" s="80" t="e">
        <f t="shared" si="363"/>
        <v>#N/A</v>
      </c>
      <c r="AH2219" s="80" t="e">
        <f t="shared" si="364"/>
        <v>#N/A</v>
      </c>
    </row>
    <row r="2220" spans="25:34" x14ac:dyDescent="0.35">
      <c r="Y2220" s="74">
        <f t="shared" si="365"/>
        <v>45623</v>
      </c>
      <c r="Z2220" s="74" t="e">
        <f t="shared" ca="1" si="356"/>
        <v>#N/A</v>
      </c>
      <c r="AA2220" s="80" t="e">
        <f t="shared" ca="1" si="357"/>
        <v>#N/A</v>
      </c>
      <c r="AB2220" s="74" t="e">
        <f t="shared" si="359"/>
        <v>#N/A</v>
      </c>
      <c r="AC2220" s="80" t="e">
        <f t="shared" si="358"/>
        <v>#N/A</v>
      </c>
      <c r="AD2220" s="80" t="e">
        <f t="shared" si="360"/>
        <v>#N/A</v>
      </c>
      <c r="AE2220" s="80" t="e">
        <f t="shared" si="361"/>
        <v>#N/A</v>
      </c>
      <c r="AF2220" s="80" t="e">
        <f t="shared" si="362"/>
        <v>#N/A</v>
      </c>
      <c r="AG2220" s="80" t="e">
        <f t="shared" si="363"/>
        <v>#N/A</v>
      </c>
      <c r="AH2220" s="80" t="e">
        <f t="shared" si="364"/>
        <v>#N/A</v>
      </c>
    </row>
    <row r="2221" spans="25:34" x14ac:dyDescent="0.35">
      <c r="Y2221" s="74">
        <f t="shared" si="365"/>
        <v>45624</v>
      </c>
      <c r="Z2221" s="74" t="e">
        <f t="shared" ca="1" si="356"/>
        <v>#N/A</v>
      </c>
      <c r="AA2221" s="80" t="e">
        <f t="shared" ca="1" si="357"/>
        <v>#N/A</v>
      </c>
      <c r="AB2221" s="74" t="e">
        <f t="shared" si="359"/>
        <v>#N/A</v>
      </c>
      <c r="AC2221" s="80" t="e">
        <f t="shared" si="358"/>
        <v>#N/A</v>
      </c>
      <c r="AD2221" s="80" t="e">
        <f t="shared" si="360"/>
        <v>#N/A</v>
      </c>
      <c r="AE2221" s="80" t="e">
        <f t="shared" si="361"/>
        <v>#N/A</v>
      </c>
      <c r="AF2221" s="80" t="e">
        <f t="shared" si="362"/>
        <v>#N/A</v>
      </c>
      <c r="AG2221" s="80" t="e">
        <f t="shared" si="363"/>
        <v>#N/A</v>
      </c>
      <c r="AH2221" s="80" t="e">
        <f t="shared" si="364"/>
        <v>#N/A</v>
      </c>
    </row>
    <row r="2222" spans="25:34" x14ac:dyDescent="0.35">
      <c r="Y2222" s="74">
        <f t="shared" si="365"/>
        <v>45625</v>
      </c>
      <c r="Z2222" s="74" t="e">
        <f t="shared" ca="1" si="356"/>
        <v>#N/A</v>
      </c>
      <c r="AA2222" s="80" t="e">
        <f t="shared" ca="1" si="357"/>
        <v>#N/A</v>
      </c>
      <c r="AB2222" s="74" t="e">
        <f t="shared" si="359"/>
        <v>#N/A</v>
      </c>
      <c r="AC2222" s="80" t="e">
        <f t="shared" si="358"/>
        <v>#N/A</v>
      </c>
      <c r="AD2222" s="80" t="e">
        <f t="shared" si="360"/>
        <v>#N/A</v>
      </c>
      <c r="AE2222" s="80" t="e">
        <f t="shared" si="361"/>
        <v>#N/A</v>
      </c>
      <c r="AF2222" s="80" t="e">
        <f t="shared" si="362"/>
        <v>#N/A</v>
      </c>
      <c r="AG2222" s="80" t="e">
        <f t="shared" si="363"/>
        <v>#N/A</v>
      </c>
      <c r="AH2222" s="80" t="e">
        <f t="shared" si="364"/>
        <v>#N/A</v>
      </c>
    </row>
    <row r="2223" spans="25:34" x14ac:dyDescent="0.35">
      <c r="Y2223" s="74">
        <f t="shared" si="365"/>
        <v>45626</v>
      </c>
      <c r="Z2223" s="74" t="e">
        <f t="shared" ca="1" si="356"/>
        <v>#N/A</v>
      </c>
      <c r="AA2223" s="80" t="e">
        <f t="shared" ca="1" si="357"/>
        <v>#N/A</v>
      </c>
      <c r="AB2223" s="74" t="e">
        <f t="shared" si="359"/>
        <v>#N/A</v>
      </c>
      <c r="AC2223" s="80" t="e">
        <f t="shared" si="358"/>
        <v>#N/A</v>
      </c>
      <c r="AD2223" s="80" t="e">
        <f t="shared" si="360"/>
        <v>#N/A</v>
      </c>
      <c r="AE2223" s="80" t="e">
        <f t="shared" si="361"/>
        <v>#N/A</v>
      </c>
      <c r="AF2223" s="80" t="e">
        <f t="shared" si="362"/>
        <v>#N/A</v>
      </c>
      <c r="AG2223" s="80" t="e">
        <f t="shared" si="363"/>
        <v>#N/A</v>
      </c>
      <c r="AH2223" s="80" t="e">
        <f t="shared" si="364"/>
        <v>#N/A</v>
      </c>
    </row>
    <row r="2224" spans="25:34" x14ac:dyDescent="0.35">
      <c r="Y2224" s="74">
        <f t="shared" si="365"/>
        <v>45627</v>
      </c>
      <c r="Z2224" s="74" t="e">
        <f t="shared" ca="1" si="356"/>
        <v>#N/A</v>
      </c>
      <c r="AA2224" s="80" t="e">
        <f t="shared" ca="1" si="357"/>
        <v>#N/A</v>
      </c>
      <c r="AB2224" s="74" t="e">
        <f t="shared" si="359"/>
        <v>#N/A</v>
      </c>
      <c r="AC2224" s="80" t="e">
        <f t="shared" si="358"/>
        <v>#N/A</v>
      </c>
      <c r="AD2224" s="80" t="e">
        <f t="shared" si="360"/>
        <v>#N/A</v>
      </c>
      <c r="AE2224" s="80" t="e">
        <f t="shared" si="361"/>
        <v>#N/A</v>
      </c>
      <c r="AF2224" s="80" t="e">
        <f t="shared" si="362"/>
        <v>#N/A</v>
      </c>
      <c r="AG2224" s="80" t="e">
        <f t="shared" si="363"/>
        <v>#N/A</v>
      </c>
      <c r="AH2224" s="80" t="e">
        <f t="shared" si="364"/>
        <v>#N/A</v>
      </c>
    </row>
    <row r="2225" spans="25:34" x14ac:dyDescent="0.35">
      <c r="Y2225" s="74">
        <f t="shared" si="365"/>
        <v>45628</v>
      </c>
      <c r="Z2225" s="74" t="e">
        <f t="shared" ca="1" si="356"/>
        <v>#N/A</v>
      </c>
      <c r="AA2225" s="80" t="e">
        <f t="shared" ca="1" si="357"/>
        <v>#N/A</v>
      </c>
      <c r="AB2225" s="74" t="e">
        <f t="shared" si="359"/>
        <v>#N/A</v>
      </c>
      <c r="AC2225" s="80" t="e">
        <f t="shared" si="358"/>
        <v>#N/A</v>
      </c>
      <c r="AD2225" s="80" t="e">
        <f t="shared" si="360"/>
        <v>#N/A</v>
      </c>
      <c r="AE2225" s="80" t="e">
        <f t="shared" si="361"/>
        <v>#N/A</v>
      </c>
      <c r="AF2225" s="80" t="e">
        <f t="shared" si="362"/>
        <v>#N/A</v>
      </c>
      <c r="AG2225" s="80" t="e">
        <f t="shared" si="363"/>
        <v>#N/A</v>
      </c>
      <c r="AH2225" s="80" t="e">
        <f t="shared" si="364"/>
        <v>#N/A</v>
      </c>
    </row>
    <row r="2226" spans="25:34" x14ac:dyDescent="0.35">
      <c r="Y2226" s="74">
        <f t="shared" si="365"/>
        <v>45629</v>
      </c>
      <c r="Z2226" s="74" t="e">
        <f t="shared" ca="1" si="356"/>
        <v>#N/A</v>
      </c>
      <c r="AA2226" s="80" t="e">
        <f t="shared" ca="1" si="357"/>
        <v>#N/A</v>
      </c>
      <c r="AB2226" s="74" t="e">
        <f t="shared" si="359"/>
        <v>#N/A</v>
      </c>
      <c r="AC2226" s="80" t="e">
        <f t="shared" si="358"/>
        <v>#N/A</v>
      </c>
      <c r="AD2226" s="80" t="e">
        <f t="shared" si="360"/>
        <v>#N/A</v>
      </c>
      <c r="AE2226" s="80" t="e">
        <f t="shared" si="361"/>
        <v>#N/A</v>
      </c>
      <c r="AF2226" s="80" t="e">
        <f t="shared" si="362"/>
        <v>#N/A</v>
      </c>
      <c r="AG2226" s="80" t="e">
        <f t="shared" si="363"/>
        <v>#N/A</v>
      </c>
      <c r="AH2226" s="80" t="e">
        <f t="shared" si="364"/>
        <v>#N/A</v>
      </c>
    </row>
    <row r="2227" spans="25:34" x14ac:dyDescent="0.35">
      <c r="Y2227" s="74">
        <f t="shared" si="365"/>
        <v>45630</v>
      </c>
      <c r="Z2227" s="74" t="e">
        <f t="shared" ca="1" si="356"/>
        <v>#N/A</v>
      </c>
      <c r="AA2227" s="80" t="e">
        <f t="shared" ca="1" si="357"/>
        <v>#N/A</v>
      </c>
      <c r="AB2227" s="74" t="e">
        <f t="shared" si="359"/>
        <v>#N/A</v>
      </c>
      <c r="AC2227" s="80" t="e">
        <f t="shared" si="358"/>
        <v>#N/A</v>
      </c>
      <c r="AD2227" s="80" t="e">
        <f t="shared" si="360"/>
        <v>#N/A</v>
      </c>
      <c r="AE2227" s="80" t="e">
        <f t="shared" si="361"/>
        <v>#N/A</v>
      </c>
      <c r="AF2227" s="80" t="e">
        <f t="shared" si="362"/>
        <v>#N/A</v>
      </c>
      <c r="AG2227" s="80" t="e">
        <f t="shared" si="363"/>
        <v>#N/A</v>
      </c>
      <c r="AH2227" s="80" t="e">
        <f t="shared" si="364"/>
        <v>#N/A</v>
      </c>
    </row>
    <row r="2228" spans="25:34" x14ac:dyDescent="0.35">
      <c r="Y2228" s="74">
        <f t="shared" si="365"/>
        <v>45631</v>
      </c>
      <c r="Z2228" s="74" t="e">
        <f t="shared" ca="1" si="356"/>
        <v>#N/A</v>
      </c>
      <c r="AA2228" s="80" t="e">
        <f t="shared" ca="1" si="357"/>
        <v>#N/A</v>
      </c>
      <c r="AB2228" s="74" t="e">
        <f t="shared" si="359"/>
        <v>#N/A</v>
      </c>
      <c r="AC2228" s="80" t="e">
        <f t="shared" si="358"/>
        <v>#N/A</v>
      </c>
      <c r="AD2228" s="80" t="e">
        <f t="shared" si="360"/>
        <v>#N/A</v>
      </c>
      <c r="AE2228" s="80" t="e">
        <f t="shared" si="361"/>
        <v>#N/A</v>
      </c>
      <c r="AF2228" s="80" t="e">
        <f t="shared" si="362"/>
        <v>#N/A</v>
      </c>
      <c r="AG2228" s="80" t="e">
        <f t="shared" si="363"/>
        <v>#N/A</v>
      </c>
      <c r="AH2228" s="80" t="e">
        <f t="shared" si="364"/>
        <v>#N/A</v>
      </c>
    </row>
    <row r="2229" spans="25:34" x14ac:dyDescent="0.35">
      <c r="Y2229" s="74">
        <f t="shared" si="365"/>
        <v>45632</v>
      </c>
      <c r="Z2229" s="74" t="e">
        <f t="shared" ca="1" si="356"/>
        <v>#N/A</v>
      </c>
      <c r="AA2229" s="80" t="e">
        <f t="shared" ca="1" si="357"/>
        <v>#N/A</v>
      </c>
      <c r="AB2229" s="74" t="e">
        <f t="shared" si="359"/>
        <v>#N/A</v>
      </c>
      <c r="AC2229" s="80" t="e">
        <f t="shared" si="358"/>
        <v>#N/A</v>
      </c>
      <c r="AD2229" s="80" t="e">
        <f t="shared" si="360"/>
        <v>#N/A</v>
      </c>
      <c r="AE2229" s="80" t="e">
        <f t="shared" si="361"/>
        <v>#N/A</v>
      </c>
      <c r="AF2229" s="80" t="e">
        <f t="shared" si="362"/>
        <v>#N/A</v>
      </c>
      <c r="AG2229" s="80" t="e">
        <f t="shared" si="363"/>
        <v>#N/A</v>
      </c>
      <c r="AH2229" s="80" t="e">
        <f t="shared" si="364"/>
        <v>#N/A</v>
      </c>
    </row>
    <row r="2230" spans="25:34" x14ac:dyDescent="0.35">
      <c r="Y2230" s="74">
        <f t="shared" si="365"/>
        <v>45633</v>
      </c>
      <c r="Z2230" s="74" t="e">
        <f t="shared" ca="1" si="356"/>
        <v>#N/A</v>
      </c>
      <c r="AA2230" s="80" t="e">
        <f t="shared" ca="1" si="357"/>
        <v>#N/A</v>
      </c>
      <c r="AB2230" s="74" t="e">
        <f t="shared" si="359"/>
        <v>#N/A</v>
      </c>
      <c r="AC2230" s="80" t="e">
        <f t="shared" si="358"/>
        <v>#N/A</v>
      </c>
      <c r="AD2230" s="80" t="e">
        <f t="shared" si="360"/>
        <v>#N/A</v>
      </c>
      <c r="AE2230" s="80" t="e">
        <f t="shared" si="361"/>
        <v>#N/A</v>
      </c>
      <c r="AF2230" s="80" t="e">
        <f t="shared" si="362"/>
        <v>#N/A</v>
      </c>
      <c r="AG2230" s="80" t="e">
        <f t="shared" si="363"/>
        <v>#N/A</v>
      </c>
      <c r="AH2230" s="80" t="e">
        <f t="shared" si="364"/>
        <v>#N/A</v>
      </c>
    </row>
    <row r="2231" spans="25:34" x14ac:dyDescent="0.35">
      <c r="Y2231" s="74">
        <f t="shared" si="365"/>
        <v>45634</v>
      </c>
      <c r="Z2231" s="74" t="e">
        <f t="shared" ca="1" si="356"/>
        <v>#N/A</v>
      </c>
      <c r="AA2231" s="80" t="e">
        <f t="shared" ca="1" si="357"/>
        <v>#N/A</v>
      </c>
      <c r="AB2231" s="74" t="e">
        <f t="shared" si="359"/>
        <v>#N/A</v>
      </c>
      <c r="AC2231" s="80" t="e">
        <f t="shared" si="358"/>
        <v>#N/A</v>
      </c>
      <c r="AD2231" s="80" t="e">
        <f t="shared" si="360"/>
        <v>#N/A</v>
      </c>
      <c r="AE2231" s="80" t="e">
        <f t="shared" si="361"/>
        <v>#N/A</v>
      </c>
      <c r="AF2231" s="80" t="e">
        <f t="shared" si="362"/>
        <v>#N/A</v>
      </c>
      <c r="AG2231" s="80" t="e">
        <f t="shared" si="363"/>
        <v>#N/A</v>
      </c>
      <c r="AH2231" s="80" t="e">
        <f t="shared" si="364"/>
        <v>#N/A</v>
      </c>
    </row>
    <row r="2232" spans="25:34" x14ac:dyDescent="0.35">
      <c r="Y2232" s="74">
        <f t="shared" si="365"/>
        <v>45635</v>
      </c>
      <c r="Z2232" s="74" t="e">
        <f t="shared" ca="1" si="356"/>
        <v>#N/A</v>
      </c>
      <c r="AA2232" s="80" t="e">
        <f t="shared" ca="1" si="357"/>
        <v>#N/A</v>
      </c>
      <c r="AB2232" s="74" t="e">
        <f t="shared" si="359"/>
        <v>#N/A</v>
      </c>
      <c r="AC2232" s="80" t="e">
        <f t="shared" si="358"/>
        <v>#N/A</v>
      </c>
      <c r="AD2232" s="80" t="e">
        <f t="shared" si="360"/>
        <v>#N/A</v>
      </c>
      <c r="AE2232" s="80" t="e">
        <f t="shared" si="361"/>
        <v>#N/A</v>
      </c>
      <c r="AF2232" s="80" t="e">
        <f t="shared" si="362"/>
        <v>#N/A</v>
      </c>
      <c r="AG2232" s="80" t="e">
        <f t="shared" si="363"/>
        <v>#N/A</v>
      </c>
      <c r="AH2232" s="80" t="e">
        <f t="shared" si="364"/>
        <v>#N/A</v>
      </c>
    </row>
    <row r="2233" spans="25:34" x14ac:dyDescent="0.35">
      <c r="Y2233" s="74">
        <f t="shared" si="365"/>
        <v>45636</v>
      </c>
      <c r="Z2233" s="74" t="e">
        <f t="shared" ca="1" si="356"/>
        <v>#N/A</v>
      </c>
      <c r="AA2233" s="80" t="e">
        <f t="shared" ca="1" si="357"/>
        <v>#N/A</v>
      </c>
      <c r="AB2233" s="74" t="e">
        <f t="shared" si="359"/>
        <v>#N/A</v>
      </c>
      <c r="AC2233" s="80" t="e">
        <f t="shared" si="358"/>
        <v>#N/A</v>
      </c>
      <c r="AD2233" s="80" t="e">
        <f t="shared" si="360"/>
        <v>#N/A</v>
      </c>
      <c r="AE2233" s="80" t="e">
        <f t="shared" si="361"/>
        <v>#N/A</v>
      </c>
      <c r="AF2233" s="80" t="e">
        <f t="shared" si="362"/>
        <v>#N/A</v>
      </c>
      <c r="AG2233" s="80" t="e">
        <f t="shared" si="363"/>
        <v>#N/A</v>
      </c>
      <c r="AH2233" s="80" t="e">
        <f t="shared" si="364"/>
        <v>#N/A</v>
      </c>
    </row>
    <row r="2234" spans="25:34" x14ac:dyDescent="0.35">
      <c r="Y2234" s="74">
        <f t="shared" si="365"/>
        <v>45637</v>
      </c>
      <c r="Z2234" s="74" t="e">
        <f t="shared" ca="1" si="356"/>
        <v>#N/A</v>
      </c>
      <c r="AA2234" s="80" t="e">
        <f t="shared" ca="1" si="357"/>
        <v>#N/A</v>
      </c>
      <c r="AB2234" s="74" t="e">
        <f t="shared" si="359"/>
        <v>#N/A</v>
      </c>
      <c r="AC2234" s="80" t="e">
        <f t="shared" si="358"/>
        <v>#N/A</v>
      </c>
      <c r="AD2234" s="80" t="e">
        <f t="shared" si="360"/>
        <v>#N/A</v>
      </c>
      <c r="AE2234" s="80" t="e">
        <f t="shared" si="361"/>
        <v>#N/A</v>
      </c>
      <c r="AF2234" s="80" t="e">
        <f t="shared" si="362"/>
        <v>#N/A</v>
      </c>
      <c r="AG2234" s="80" t="e">
        <f t="shared" si="363"/>
        <v>#N/A</v>
      </c>
      <c r="AH2234" s="80" t="e">
        <f t="shared" si="364"/>
        <v>#N/A</v>
      </c>
    </row>
    <row r="2235" spans="25:34" x14ac:dyDescent="0.35">
      <c r="Y2235" s="74">
        <f t="shared" si="365"/>
        <v>45638</v>
      </c>
      <c r="Z2235" s="74" t="e">
        <f t="shared" ca="1" si="356"/>
        <v>#N/A</v>
      </c>
      <c r="AA2235" s="80" t="e">
        <f t="shared" ca="1" si="357"/>
        <v>#N/A</v>
      </c>
      <c r="AB2235" s="74" t="e">
        <f t="shared" si="359"/>
        <v>#N/A</v>
      </c>
      <c r="AC2235" s="80" t="e">
        <f t="shared" si="358"/>
        <v>#N/A</v>
      </c>
      <c r="AD2235" s="80" t="e">
        <f t="shared" si="360"/>
        <v>#N/A</v>
      </c>
      <c r="AE2235" s="80" t="e">
        <f t="shared" si="361"/>
        <v>#N/A</v>
      </c>
      <c r="AF2235" s="80" t="e">
        <f t="shared" si="362"/>
        <v>#N/A</v>
      </c>
      <c r="AG2235" s="80" t="e">
        <f t="shared" si="363"/>
        <v>#N/A</v>
      </c>
      <c r="AH2235" s="80" t="e">
        <f t="shared" si="364"/>
        <v>#N/A</v>
      </c>
    </row>
    <row r="2236" spans="25:34" x14ac:dyDescent="0.35">
      <c r="Y2236" s="74">
        <f t="shared" si="365"/>
        <v>45639</v>
      </c>
      <c r="Z2236" s="74" t="e">
        <f t="shared" ca="1" si="356"/>
        <v>#N/A</v>
      </c>
      <c r="AA2236" s="80" t="e">
        <f t="shared" ca="1" si="357"/>
        <v>#N/A</v>
      </c>
      <c r="AB2236" s="74" t="e">
        <f t="shared" si="359"/>
        <v>#N/A</v>
      </c>
      <c r="AC2236" s="80" t="e">
        <f t="shared" si="358"/>
        <v>#N/A</v>
      </c>
      <c r="AD2236" s="80" t="e">
        <f t="shared" si="360"/>
        <v>#N/A</v>
      </c>
      <c r="AE2236" s="80" t="e">
        <f t="shared" si="361"/>
        <v>#N/A</v>
      </c>
      <c r="AF2236" s="80" t="e">
        <f t="shared" si="362"/>
        <v>#N/A</v>
      </c>
      <c r="AG2236" s="80" t="e">
        <f t="shared" si="363"/>
        <v>#N/A</v>
      </c>
      <c r="AH2236" s="80" t="e">
        <f t="shared" si="364"/>
        <v>#N/A</v>
      </c>
    </row>
    <row r="2237" spans="25:34" x14ac:dyDescent="0.35">
      <c r="Y2237" s="74">
        <f t="shared" si="365"/>
        <v>45640</v>
      </c>
      <c r="Z2237" s="74" t="e">
        <f t="shared" ca="1" si="356"/>
        <v>#N/A</v>
      </c>
      <c r="AA2237" s="80" t="e">
        <f t="shared" ca="1" si="357"/>
        <v>#N/A</v>
      </c>
      <c r="AB2237" s="74" t="e">
        <f t="shared" si="359"/>
        <v>#N/A</v>
      </c>
      <c r="AC2237" s="80" t="e">
        <f t="shared" si="358"/>
        <v>#N/A</v>
      </c>
      <c r="AD2237" s="80" t="e">
        <f t="shared" si="360"/>
        <v>#N/A</v>
      </c>
      <c r="AE2237" s="80" t="e">
        <f t="shared" si="361"/>
        <v>#N/A</v>
      </c>
      <c r="AF2237" s="80" t="e">
        <f t="shared" si="362"/>
        <v>#N/A</v>
      </c>
      <c r="AG2237" s="80" t="e">
        <f t="shared" si="363"/>
        <v>#N/A</v>
      </c>
      <c r="AH2237" s="80" t="e">
        <f t="shared" si="364"/>
        <v>#N/A</v>
      </c>
    </row>
    <row r="2238" spans="25:34" x14ac:dyDescent="0.35">
      <c r="Y2238" s="74">
        <f t="shared" si="365"/>
        <v>45641</v>
      </c>
      <c r="Z2238" s="74" t="e">
        <f t="shared" ca="1" si="356"/>
        <v>#N/A</v>
      </c>
      <c r="AA2238" s="80" t="e">
        <f t="shared" ca="1" si="357"/>
        <v>#N/A</v>
      </c>
      <c r="AB2238" s="74" t="e">
        <f t="shared" si="359"/>
        <v>#N/A</v>
      </c>
      <c r="AC2238" s="80" t="e">
        <f t="shared" si="358"/>
        <v>#N/A</v>
      </c>
      <c r="AD2238" s="80" t="e">
        <f t="shared" si="360"/>
        <v>#N/A</v>
      </c>
      <c r="AE2238" s="80" t="e">
        <f t="shared" si="361"/>
        <v>#N/A</v>
      </c>
      <c r="AF2238" s="80" t="e">
        <f t="shared" si="362"/>
        <v>#N/A</v>
      </c>
      <c r="AG2238" s="80" t="e">
        <f t="shared" si="363"/>
        <v>#N/A</v>
      </c>
      <c r="AH2238" s="80" t="e">
        <f t="shared" si="364"/>
        <v>#N/A</v>
      </c>
    </row>
    <row r="2239" spans="25:34" x14ac:dyDescent="0.35">
      <c r="Y2239" s="74">
        <f t="shared" si="365"/>
        <v>45642</v>
      </c>
      <c r="Z2239" s="74" t="e">
        <f t="shared" ca="1" si="356"/>
        <v>#N/A</v>
      </c>
      <c r="AA2239" s="80" t="e">
        <f t="shared" ca="1" si="357"/>
        <v>#N/A</v>
      </c>
      <c r="AB2239" s="74" t="e">
        <f t="shared" si="359"/>
        <v>#N/A</v>
      </c>
      <c r="AC2239" s="80" t="e">
        <f t="shared" si="358"/>
        <v>#N/A</v>
      </c>
      <c r="AD2239" s="80" t="e">
        <f t="shared" si="360"/>
        <v>#N/A</v>
      </c>
      <c r="AE2239" s="80" t="e">
        <f t="shared" si="361"/>
        <v>#N/A</v>
      </c>
      <c r="AF2239" s="80" t="e">
        <f t="shared" si="362"/>
        <v>#N/A</v>
      </c>
      <c r="AG2239" s="80" t="e">
        <f t="shared" si="363"/>
        <v>#N/A</v>
      </c>
      <c r="AH2239" s="80" t="e">
        <f t="shared" si="364"/>
        <v>#N/A</v>
      </c>
    </row>
    <row r="2240" spans="25:34" x14ac:dyDescent="0.35">
      <c r="Y2240" s="74">
        <f t="shared" si="365"/>
        <v>45643</v>
      </c>
      <c r="Z2240" s="74" t="e">
        <f t="shared" ca="1" si="356"/>
        <v>#N/A</v>
      </c>
      <c r="AA2240" s="80" t="e">
        <f t="shared" ca="1" si="357"/>
        <v>#N/A</v>
      </c>
      <c r="AB2240" s="74" t="e">
        <f t="shared" si="359"/>
        <v>#N/A</v>
      </c>
      <c r="AC2240" s="80" t="e">
        <f t="shared" si="358"/>
        <v>#N/A</v>
      </c>
      <c r="AD2240" s="80" t="e">
        <f t="shared" si="360"/>
        <v>#N/A</v>
      </c>
      <c r="AE2240" s="80" t="e">
        <f t="shared" si="361"/>
        <v>#N/A</v>
      </c>
      <c r="AF2240" s="80" t="e">
        <f t="shared" si="362"/>
        <v>#N/A</v>
      </c>
      <c r="AG2240" s="80" t="e">
        <f t="shared" si="363"/>
        <v>#N/A</v>
      </c>
      <c r="AH2240" s="80" t="e">
        <f t="shared" si="364"/>
        <v>#N/A</v>
      </c>
    </row>
    <row r="2241" spans="25:34" x14ac:dyDescent="0.35">
      <c r="Y2241" s="74">
        <f t="shared" si="365"/>
        <v>45644</v>
      </c>
      <c r="Z2241" s="74" t="e">
        <f t="shared" ca="1" si="356"/>
        <v>#N/A</v>
      </c>
      <c r="AA2241" s="80" t="e">
        <f t="shared" ca="1" si="357"/>
        <v>#N/A</v>
      </c>
      <c r="AB2241" s="74" t="e">
        <f t="shared" si="359"/>
        <v>#N/A</v>
      </c>
      <c r="AC2241" s="80" t="e">
        <f t="shared" si="358"/>
        <v>#N/A</v>
      </c>
      <c r="AD2241" s="80" t="e">
        <f t="shared" si="360"/>
        <v>#N/A</v>
      </c>
      <c r="AE2241" s="80" t="e">
        <f t="shared" si="361"/>
        <v>#N/A</v>
      </c>
      <c r="AF2241" s="80" t="e">
        <f t="shared" si="362"/>
        <v>#N/A</v>
      </c>
      <c r="AG2241" s="80" t="e">
        <f t="shared" si="363"/>
        <v>#N/A</v>
      </c>
      <c r="AH2241" s="80" t="e">
        <f t="shared" si="364"/>
        <v>#N/A</v>
      </c>
    </row>
    <row r="2242" spans="25:34" x14ac:dyDescent="0.35">
      <c r="Y2242" s="74">
        <f t="shared" si="365"/>
        <v>45645</v>
      </c>
      <c r="Z2242" s="74" t="e">
        <f t="shared" ref="Z2242:Z2254" ca="1" si="366">VLOOKUP(AA2242,$I$2:$K$39,3,FALSE)</f>
        <v>#N/A</v>
      </c>
      <c r="AA2242" s="80" t="e">
        <f t="shared" ref="AA2242:AA2254" ca="1" si="367">LOOKUP(2,1/($J$2:$J$700&lt;=$Y2242)/($K$2:$K$700&gt;=$Y2242),$L$2:$L$700)</f>
        <v>#N/A</v>
      </c>
      <c r="AB2242" s="74" t="e">
        <f t="shared" si="359"/>
        <v>#N/A</v>
      </c>
      <c r="AC2242" s="80" t="e">
        <f t="shared" ref="AC2242:AC2254" si="368">LOOKUP(2,1/($R$2:$R$700&lt;=$Y2242)/($S$2:$S$700&gt;=$Y2242),$T$2:$T$700)</f>
        <v>#N/A</v>
      </c>
      <c r="AD2242" s="80" t="e">
        <f t="shared" si="360"/>
        <v>#N/A</v>
      </c>
      <c r="AE2242" s="80" t="e">
        <f t="shared" si="361"/>
        <v>#N/A</v>
      </c>
      <c r="AF2242" s="80" t="e">
        <f t="shared" si="362"/>
        <v>#N/A</v>
      </c>
      <c r="AG2242" s="80" t="e">
        <f t="shared" si="363"/>
        <v>#N/A</v>
      </c>
      <c r="AH2242" s="80" t="e">
        <f t="shared" si="364"/>
        <v>#N/A</v>
      </c>
    </row>
    <row r="2243" spans="25:34" x14ac:dyDescent="0.35">
      <c r="Y2243" s="74">
        <f t="shared" si="365"/>
        <v>45646</v>
      </c>
      <c r="Z2243" s="74" t="e">
        <f t="shared" ca="1" si="366"/>
        <v>#N/A</v>
      </c>
      <c r="AA2243" s="80" t="e">
        <f t="shared" ca="1" si="367"/>
        <v>#N/A</v>
      </c>
      <c r="AB2243" s="74" t="e">
        <f t="shared" ref="AB2243:AB2254" si="369">VLOOKUP(AC2243,$Q$2:$S$39,3,FALSE)</f>
        <v>#N/A</v>
      </c>
      <c r="AC2243" s="80" t="e">
        <f t="shared" si="368"/>
        <v>#N/A</v>
      </c>
      <c r="AD2243" s="80" t="e">
        <f t="shared" ref="AD2243:AD2254" si="370">CONCATENATE("CL",RIGHT(AC2243,2))</f>
        <v>#N/A</v>
      </c>
      <c r="AE2243" s="80" t="e">
        <f t="shared" ref="AE2243:AE2254" si="371">LOOKUP(2,1/($R$2:$R$700&lt;=$Y2243)/($S$2:$S$700&gt;=$Y2243),$U$2:$U$700)</f>
        <v>#N/A</v>
      </c>
      <c r="AF2243" s="80" t="e">
        <f t="shared" ref="AF2243:AF2254" si="372">CONCATENATE("CL",RIGHT(AE2243,2))</f>
        <v>#N/A</v>
      </c>
      <c r="AG2243" s="80" t="e">
        <f t="shared" ref="AG2243:AG2254" si="373">LOOKUP(2,1/($R$2:$R$700&lt;=$Y2243)/($S$2:$S$700&gt;=$Y2243),$V$2:$V$700)</f>
        <v>#N/A</v>
      </c>
      <c r="AH2243" s="80" t="e">
        <f t="shared" ref="AH2243:AH2254" si="374">LOOKUP(2,1/($R$2:$R$700&lt;=$Y2243)/($S$2:$S$700&gt;=$Y2243),$W$2:$W$700)</f>
        <v>#N/A</v>
      </c>
    </row>
    <row r="2244" spans="25:34" x14ac:dyDescent="0.35">
      <c r="Y2244" s="74">
        <f t="shared" si="365"/>
        <v>45647</v>
      </c>
      <c r="Z2244" s="74" t="e">
        <f t="shared" ca="1" si="366"/>
        <v>#N/A</v>
      </c>
      <c r="AA2244" s="80" t="e">
        <f t="shared" ca="1" si="367"/>
        <v>#N/A</v>
      </c>
      <c r="AB2244" s="74" t="e">
        <f t="shared" si="369"/>
        <v>#N/A</v>
      </c>
      <c r="AC2244" s="80" t="e">
        <f t="shared" si="368"/>
        <v>#N/A</v>
      </c>
      <c r="AD2244" s="80" t="e">
        <f t="shared" si="370"/>
        <v>#N/A</v>
      </c>
      <c r="AE2244" s="80" t="e">
        <f t="shared" si="371"/>
        <v>#N/A</v>
      </c>
      <c r="AF2244" s="80" t="e">
        <f t="shared" si="372"/>
        <v>#N/A</v>
      </c>
      <c r="AG2244" s="80" t="e">
        <f t="shared" si="373"/>
        <v>#N/A</v>
      </c>
      <c r="AH2244" s="80" t="e">
        <f t="shared" si="374"/>
        <v>#N/A</v>
      </c>
    </row>
    <row r="2245" spans="25:34" x14ac:dyDescent="0.35">
      <c r="Y2245" s="74">
        <f t="shared" si="365"/>
        <v>45648</v>
      </c>
      <c r="Z2245" s="74" t="e">
        <f t="shared" ca="1" si="366"/>
        <v>#N/A</v>
      </c>
      <c r="AA2245" s="80" t="e">
        <f t="shared" ca="1" si="367"/>
        <v>#N/A</v>
      </c>
      <c r="AB2245" s="74" t="e">
        <f t="shared" si="369"/>
        <v>#N/A</v>
      </c>
      <c r="AC2245" s="80" t="e">
        <f t="shared" si="368"/>
        <v>#N/A</v>
      </c>
      <c r="AD2245" s="80" t="e">
        <f t="shared" si="370"/>
        <v>#N/A</v>
      </c>
      <c r="AE2245" s="80" t="e">
        <f t="shared" si="371"/>
        <v>#N/A</v>
      </c>
      <c r="AF2245" s="80" t="e">
        <f t="shared" si="372"/>
        <v>#N/A</v>
      </c>
      <c r="AG2245" s="80" t="e">
        <f t="shared" si="373"/>
        <v>#N/A</v>
      </c>
      <c r="AH2245" s="80" t="e">
        <f t="shared" si="374"/>
        <v>#N/A</v>
      </c>
    </row>
    <row r="2246" spans="25:34" x14ac:dyDescent="0.35">
      <c r="Y2246" s="74">
        <f t="shared" si="365"/>
        <v>45649</v>
      </c>
      <c r="Z2246" s="74" t="e">
        <f t="shared" ca="1" si="366"/>
        <v>#N/A</v>
      </c>
      <c r="AA2246" s="80" t="e">
        <f t="shared" ca="1" si="367"/>
        <v>#N/A</v>
      </c>
      <c r="AB2246" s="74" t="e">
        <f t="shared" si="369"/>
        <v>#N/A</v>
      </c>
      <c r="AC2246" s="80" t="e">
        <f t="shared" si="368"/>
        <v>#N/A</v>
      </c>
      <c r="AD2246" s="80" t="e">
        <f t="shared" si="370"/>
        <v>#N/A</v>
      </c>
      <c r="AE2246" s="80" t="e">
        <f t="shared" si="371"/>
        <v>#N/A</v>
      </c>
      <c r="AF2246" s="80" t="e">
        <f t="shared" si="372"/>
        <v>#N/A</v>
      </c>
      <c r="AG2246" s="80" t="e">
        <f t="shared" si="373"/>
        <v>#N/A</v>
      </c>
      <c r="AH2246" s="80" t="e">
        <f t="shared" si="374"/>
        <v>#N/A</v>
      </c>
    </row>
    <row r="2247" spans="25:34" x14ac:dyDescent="0.35">
      <c r="Y2247" s="74">
        <f t="shared" si="365"/>
        <v>45650</v>
      </c>
      <c r="Z2247" s="74" t="e">
        <f t="shared" ca="1" si="366"/>
        <v>#N/A</v>
      </c>
      <c r="AA2247" s="80" t="e">
        <f t="shared" ca="1" si="367"/>
        <v>#N/A</v>
      </c>
      <c r="AB2247" s="74" t="e">
        <f t="shared" si="369"/>
        <v>#N/A</v>
      </c>
      <c r="AC2247" s="80" t="e">
        <f t="shared" si="368"/>
        <v>#N/A</v>
      </c>
      <c r="AD2247" s="80" t="e">
        <f t="shared" si="370"/>
        <v>#N/A</v>
      </c>
      <c r="AE2247" s="80" t="e">
        <f t="shared" si="371"/>
        <v>#N/A</v>
      </c>
      <c r="AF2247" s="80" t="e">
        <f t="shared" si="372"/>
        <v>#N/A</v>
      </c>
      <c r="AG2247" s="80" t="e">
        <f t="shared" si="373"/>
        <v>#N/A</v>
      </c>
      <c r="AH2247" s="80" t="e">
        <f t="shared" si="374"/>
        <v>#N/A</v>
      </c>
    </row>
    <row r="2248" spans="25:34" x14ac:dyDescent="0.35">
      <c r="Y2248" s="74">
        <f t="shared" si="365"/>
        <v>45651</v>
      </c>
      <c r="Z2248" s="74" t="e">
        <f t="shared" ca="1" si="366"/>
        <v>#N/A</v>
      </c>
      <c r="AA2248" s="80" t="e">
        <f t="shared" ca="1" si="367"/>
        <v>#N/A</v>
      </c>
      <c r="AB2248" s="74" t="e">
        <f t="shared" si="369"/>
        <v>#N/A</v>
      </c>
      <c r="AC2248" s="80" t="e">
        <f t="shared" si="368"/>
        <v>#N/A</v>
      </c>
      <c r="AD2248" s="80" t="e">
        <f t="shared" si="370"/>
        <v>#N/A</v>
      </c>
      <c r="AE2248" s="80" t="e">
        <f t="shared" si="371"/>
        <v>#N/A</v>
      </c>
      <c r="AF2248" s="80" t="e">
        <f t="shared" si="372"/>
        <v>#N/A</v>
      </c>
      <c r="AG2248" s="80" t="e">
        <f t="shared" si="373"/>
        <v>#N/A</v>
      </c>
      <c r="AH2248" s="80" t="e">
        <f t="shared" si="374"/>
        <v>#N/A</v>
      </c>
    </row>
    <row r="2249" spans="25:34" x14ac:dyDescent="0.35">
      <c r="Y2249" s="74">
        <f t="shared" si="365"/>
        <v>45652</v>
      </c>
      <c r="Z2249" s="74" t="e">
        <f t="shared" ca="1" si="366"/>
        <v>#N/A</v>
      </c>
      <c r="AA2249" s="80" t="e">
        <f t="shared" ca="1" si="367"/>
        <v>#N/A</v>
      </c>
      <c r="AB2249" s="74" t="e">
        <f t="shared" si="369"/>
        <v>#N/A</v>
      </c>
      <c r="AC2249" s="80" t="e">
        <f t="shared" si="368"/>
        <v>#N/A</v>
      </c>
      <c r="AD2249" s="80" t="e">
        <f t="shared" si="370"/>
        <v>#N/A</v>
      </c>
      <c r="AE2249" s="80" t="e">
        <f t="shared" si="371"/>
        <v>#N/A</v>
      </c>
      <c r="AF2249" s="80" t="e">
        <f t="shared" si="372"/>
        <v>#N/A</v>
      </c>
      <c r="AG2249" s="80" t="e">
        <f t="shared" si="373"/>
        <v>#N/A</v>
      </c>
      <c r="AH2249" s="80" t="e">
        <f t="shared" si="374"/>
        <v>#N/A</v>
      </c>
    </row>
    <row r="2250" spans="25:34" x14ac:dyDescent="0.35">
      <c r="Y2250" s="74">
        <f t="shared" si="365"/>
        <v>45653</v>
      </c>
      <c r="Z2250" s="74" t="e">
        <f t="shared" ca="1" si="366"/>
        <v>#N/A</v>
      </c>
      <c r="AA2250" s="80" t="e">
        <f t="shared" ca="1" si="367"/>
        <v>#N/A</v>
      </c>
      <c r="AB2250" s="74" t="e">
        <f t="shared" si="369"/>
        <v>#N/A</v>
      </c>
      <c r="AC2250" s="80" t="e">
        <f t="shared" si="368"/>
        <v>#N/A</v>
      </c>
      <c r="AD2250" s="80" t="e">
        <f t="shared" si="370"/>
        <v>#N/A</v>
      </c>
      <c r="AE2250" s="80" t="e">
        <f t="shared" si="371"/>
        <v>#N/A</v>
      </c>
      <c r="AF2250" s="80" t="e">
        <f t="shared" si="372"/>
        <v>#N/A</v>
      </c>
      <c r="AG2250" s="80" t="e">
        <f t="shared" si="373"/>
        <v>#N/A</v>
      </c>
      <c r="AH2250" s="80" t="e">
        <f t="shared" si="374"/>
        <v>#N/A</v>
      </c>
    </row>
    <row r="2251" spans="25:34" x14ac:dyDescent="0.35">
      <c r="Y2251" s="74">
        <f t="shared" si="365"/>
        <v>45654</v>
      </c>
      <c r="Z2251" s="74" t="e">
        <f t="shared" ca="1" si="366"/>
        <v>#N/A</v>
      </c>
      <c r="AA2251" s="80" t="e">
        <f t="shared" ca="1" si="367"/>
        <v>#N/A</v>
      </c>
      <c r="AB2251" s="74" t="e">
        <f t="shared" si="369"/>
        <v>#N/A</v>
      </c>
      <c r="AC2251" s="80" t="e">
        <f t="shared" si="368"/>
        <v>#N/A</v>
      </c>
      <c r="AD2251" s="80" t="e">
        <f t="shared" si="370"/>
        <v>#N/A</v>
      </c>
      <c r="AE2251" s="80" t="e">
        <f t="shared" si="371"/>
        <v>#N/A</v>
      </c>
      <c r="AF2251" s="80" t="e">
        <f t="shared" si="372"/>
        <v>#N/A</v>
      </c>
      <c r="AG2251" s="80" t="e">
        <f t="shared" si="373"/>
        <v>#N/A</v>
      </c>
      <c r="AH2251" s="80" t="e">
        <f t="shared" si="374"/>
        <v>#N/A</v>
      </c>
    </row>
    <row r="2252" spans="25:34" x14ac:dyDescent="0.35">
      <c r="Y2252" s="74">
        <f t="shared" si="365"/>
        <v>45655</v>
      </c>
      <c r="Z2252" s="74" t="e">
        <f t="shared" ca="1" si="366"/>
        <v>#N/A</v>
      </c>
      <c r="AA2252" s="80" t="e">
        <f t="shared" ca="1" si="367"/>
        <v>#N/A</v>
      </c>
      <c r="AB2252" s="74" t="e">
        <f t="shared" si="369"/>
        <v>#N/A</v>
      </c>
      <c r="AC2252" s="80" t="e">
        <f t="shared" si="368"/>
        <v>#N/A</v>
      </c>
      <c r="AD2252" s="80" t="e">
        <f t="shared" si="370"/>
        <v>#N/A</v>
      </c>
      <c r="AE2252" s="80" t="e">
        <f t="shared" si="371"/>
        <v>#N/A</v>
      </c>
      <c r="AF2252" s="80" t="e">
        <f t="shared" si="372"/>
        <v>#N/A</v>
      </c>
      <c r="AG2252" s="80" t="e">
        <f t="shared" si="373"/>
        <v>#N/A</v>
      </c>
      <c r="AH2252" s="80" t="e">
        <f t="shared" si="374"/>
        <v>#N/A</v>
      </c>
    </row>
    <row r="2253" spans="25:34" x14ac:dyDescent="0.35">
      <c r="Y2253" s="74">
        <f t="shared" si="365"/>
        <v>45656</v>
      </c>
      <c r="Z2253" s="74" t="e">
        <f t="shared" ca="1" si="366"/>
        <v>#N/A</v>
      </c>
      <c r="AA2253" s="80" t="e">
        <f t="shared" ca="1" si="367"/>
        <v>#N/A</v>
      </c>
      <c r="AB2253" s="74" t="e">
        <f t="shared" si="369"/>
        <v>#N/A</v>
      </c>
      <c r="AC2253" s="80" t="e">
        <f t="shared" si="368"/>
        <v>#N/A</v>
      </c>
      <c r="AD2253" s="80" t="e">
        <f t="shared" si="370"/>
        <v>#N/A</v>
      </c>
      <c r="AE2253" s="80" t="e">
        <f t="shared" si="371"/>
        <v>#N/A</v>
      </c>
      <c r="AF2253" s="80" t="e">
        <f t="shared" si="372"/>
        <v>#N/A</v>
      </c>
      <c r="AG2253" s="80" t="e">
        <f t="shared" si="373"/>
        <v>#N/A</v>
      </c>
      <c r="AH2253" s="80" t="e">
        <f t="shared" si="374"/>
        <v>#N/A</v>
      </c>
    </row>
    <row r="2254" spans="25:34" x14ac:dyDescent="0.35">
      <c r="Y2254" s="74">
        <f t="shared" si="365"/>
        <v>45657</v>
      </c>
      <c r="Z2254" s="74" t="e">
        <f t="shared" ca="1" si="366"/>
        <v>#N/A</v>
      </c>
      <c r="AA2254" s="80" t="e">
        <f t="shared" ca="1" si="367"/>
        <v>#N/A</v>
      </c>
      <c r="AB2254" s="74" t="e">
        <f t="shared" si="369"/>
        <v>#N/A</v>
      </c>
      <c r="AC2254" s="80" t="e">
        <f t="shared" si="368"/>
        <v>#N/A</v>
      </c>
      <c r="AD2254" s="80" t="e">
        <f t="shared" si="370"/>
        <v>#N/A</v>
      </c>
      <c r="AE2254" s="80" t="e">
        <f t="shared" si="371"/>
        <v>#N/A</v>
      </c>
      <c r="AF2254" s="80" t="e">
        <f t="shared" si="372"/>
        <v>#N/A</v>
      </c>
      <c r="AG2254" s="80" t="e">
        <f t="shared" si="373"/>
        <v>#N/A</v>
      </c>
      <c r="AH2254" s="80" t="e">
        <f t="shared" si="374"/>
        <v>#N/A</v>
      </c>
    </row>
    <row r="2255" spans="25:34" x14ac:dyDescent="0.35">
      <c r="AA2255" s="80"/>
      <c r="AB2255" s="74"/>
      <c r="AC2255" s="80"/>
      <c r="AD2255" s="80"/>
      <c r="AE2255" s="80"/>
      <c r="AF2255" s="80"/>
      <c r="AG2255" s="80"/>
      <c r="AH2255" s="80"/>
    </row>
    <row r="2256" spans="25:34" x14ac:dyDescent="0.35">
      <c r="AA2256" s="80"/>
      <c r="AB2256" s="74"/>
      <c r="AC2256" s="80"/>
      <c r="AD2256" s="80"/>
      <c r="AE2256" s="80"/>
      <c r="AF2256" s="80"/>
      <c r="AG2256" s="80"/>
      <c r="AH2256" s="80"/>
    </row>
    <row r="2257" spans="27:34" x14ac:dyDescent="0.35">
      <c r="AA2257" s="80"/>
      <c r="AB2257" s="74"/>
      <c r="AC2257" s="80"/>
      <c r="AD2257" s="80"/>
      <c r="AE2257" s="80"/>
      <c r="AF2257" s="80"/>
      <c r="AG2257" s="80"/>
      <c r="AH2257" s="80"/>
    </row>
    <row r="2258" spans="27:34" x14ac:dyDescent="0.35">
      <c r="AA2258" s="80"/>
      <c r="AB2258" s="74"/>
      <c r="AC2258" s="80"/>
      <c r="AD2258" s="80"/>
      <c r="AE2258" s="80"/>
      <c r="AF2258" s="80"/>
      <c r="AG2258" s="80"/>
      <c r="AH2258" s="80"/>
    </row>
    <row r="2259" spans="27:34" x14ac:dyDescent="0.35">
      <c r="AA2259" s="80"/>
      <c r="AB2259" s="74"/>
      <c r="AC2259" s="80"/>
      <c r="AD2259" s="80"/>
      <c r="AE2259" s="80"/>
      <c r="AF2259" s="80"/>
      <c r="AG2259" s="80"/>
      <c r="AH2259" s="80"/>
    </row>
    <row r="2260" spans="27:34" x14ac:dyDescent="0.35">
      <c r="AA2260" s="80"/>
      <c r="AB2260" s="74"/>
      <c r="AC2260" s="80"/>
      <c r="AD2260" s="80"/>
      <c r="AE2260" s="80"/>
      <c r="AF2260" s="80"/>
      <c r="AG2260" s="80"/>
      <c r="AH2260" s="80"/>
    </row>
    <row r="2261" spans="27:34" x14ac:dyDescent="0.35">
      <c r="AA2261" s="80"/>
      <c r="AB2261" s="74"/>
      <c r="AC2261" s="80"/>
      <c r="AD2261" s="80"/>
      <c r="AE2261" s="80"/>
      <c r="AF2261" s="80"/>
      <c r="AG2261" s="80"/>
      <c r="AH2261" s="80"/>
    </row>
    <row r="2262" spans="27:34" x14ac:dyDescent="0.35">
      <c r="AA2262" s="80"/>
      <c r="AB2262" s="74"/>
      <c r="AC2262" s="80"/>
      <c r="AD2262" s="80"/>
      <c r="AE2262" s="80"/>
      <c r="AF2262" s="80"/>
      <c r="AG2262" s="80"/>
      <c r="AH2262" s="80"/>
    </row>
    <row r="2263" spans="27:34" x14ac:dyDescent="0.35">
      <c r="AA2263" s="80"/>
      <c r="AB2263" s="74"/>
      <c r="AC2263" s="80"/>
      <c r="AD2263" s="80"/>
      <c r="AE2263" s="80"/>
      <c r="AF2263" s="80"/>
      <c r="AG2263" s="80"/>
      <c r="AH2263" s="80"/>
    </row>
    <row r="2264" spans="27:34" x14ac:dyDescent="0.35">
      <c r="AA2264" s="80"/>
      <c r="AB2264" s="74"/>
      <c r="AC2264" s="80"/>
      <c r="AD2264" s="80"/>
      <c r="AE2264" s="80"/>
      <c r="AF2264" s="80"/>
      <c r="AG2264" s="80"/>
      <c r="AH2264" s="80"/>
    </row>
    <row r="2265" spans="27:34" x14ac:dyDescent="0.35">
      <c r="AA2265" s="80"/>
      <c r="AB2265" s="74"/>
      <c r="AC2265" s="80"/>
      <c r="AD2265" s="80"/>
      <c r="AE2265" s="80"/>
      <c r="AF2265" s="80"/>
      <c r="AG2265" s="80"/>
      <c r="AH2265" s="80"/>
    </row>
    <row r="2266" spans="27:34" x14ac:dyDescent="0.35">
      <c r="AA2266" s="80"/>
      <c r="AB2266" s="74"/>
      <c r="AC2266" s="80"/>
      <c r="AD2266" s="80"/>
      <c r="AE2266" s="80"/>
      <c r="AF2266" s="80"/>
      <c r="AG2266" s="80"/>
      <c r="AH2266" s="80"/>
    </row>
    <row r="2267" spans="27:34" x14ac:dyDescent="0.35">
      <c r="AA2267" s="80"/>
      <c r="AB2267" s="74"/>
      <c r="AC2267" s="80"/>
      <c r="AD2267" s="80"/>
      <c r="AE2267" s="80"/>
      <c r="AF2267" s="80"/>
      <c r="AG2267" s="80"/>
      <c r="AH2267" s="80"/>
    </row>
    <row r="2268" spans="27:34" x14ac:dyDescent="0.35">
      <c r="AA2268" s="80"/>
      <c r="AB2268" s="74"/>
      <c r="AC2268" s="80"/>
      <c r="AD2268" s="80"/>
      <c r="AE2268" s="80"/>
      <c r="AF2268" s="80"/>
      <c r="AG2268" s="80"/>
      <c r="AH2268" s="80"/>
    </row>
    <row r="2269" spans="27:34" x14ac:dyDescent="0.35">
      <c r="AA2269" s="80"/>
      <c r="AB2269" s="74"/>
      <c r="AC2269" s="80"/>
      <c r="AD2269" s="80"/>
      <c r="AE2269" s="80"/>
      <c r="AF2269" s="80"/>
      <c r="AG2269" s="80"/>
      <c r="AH2269" s="80"/>
    </row>
    <row r="2270" spans="27:34" x14ac:dyDescent="0.35">
      <c r="AA2270" s="80"/>
      <c r="AB2270" s="74"/>
      <c r="AC2270" s="80"/>
      <c r="AD2270" s="80"/>
      <c r="AE2270" s="80"/>
      <c r="AF2270" s="80"/>
      <c r="AG2270" s="80"/>
      <c r="AH2270" s="80"/>
    </row>
  </sheetData>
  <mergeCells count="2">
    <mergeCell ref="F1:L1"/>
    <mergeCell ref="N1:T1"/>
  </mergeCells>
  <pageMargins left="0.7" right="0.7" top="0.75" bottom="0.75" header="0.3" footer="0.3"/>
  <pageSetup orientation="portrait" r:id="rId1"/>
  <headerFooter>
    <oddHeader>&amp;C&amp;"Aptos"&amp;10&amp;K008000 Classification: AramcoTrading-US  General Use&amp;1#_x000D_</oddHeader>
    <oddFooter>&amp;C&amp;"Calibri"&amp;11&amp;K000000_x000D_&amp;1#&amp;"Aptos"&amp;10&amp;K008000 This content is classified as AramcoTrading-US General Use by Cantafio, Alberto (ATA) on 2026-02-17T19:47:42.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67B8-9842-49CB-A444-AC079B475FFF}">
  <sheetPr codeName="Sheet9"/>
  <dimension ref="B5:W23"/>
  <sheetViews>
    <sheetView showGridLines="0" workbookViewId="0">
      <selection activeCell="U25" sqref="U25"/>
    </sheetView>
  </sheetViews>
  <sheetFormatPr defaultRowHeight="14.5" x14ac:dyDescent="0.35"/>
  <cols>
    <col min="7" max="7" width="31.453125" bestFit="1" customWidth="1"/>
    <col min="8" max="8" width="4.453125" customWidth="1"/>
    <col min="22" max="22" width="16.1796875" customWidth="1"/>
    <col min="23" max="23" width="22.453125" bestFit="1" customWidth="1"/>
  </cols>
  <sheetData>
    <row r="5" spans="2:23" x14ac:dyDescent="0.35">
      <c r="G5" s="91" t="s">
        <v>407</v>
      </c>
      <c r="I5" t="s">
        <v>135</v>
      </c>
      <c r="J5" t="s">
        <v>165</v>
      </c>
      <c r="K5" t="s">
        <v>167</v>
      </c>
    </row>
    <row r="6" spans="2:23" x14ac:dyDescent="0.35">
      <c r="E6" t="s">
        <v>408</v>
      </c>
      <c r="G6" t="s">
        <v>409</v>
      </c>
      <c r="I6" s="480">
        <v>0.95</v>
      </c>
      <c r="J6" s="480">
        <v>0.75</v>
      </c>
      <c r="K6" s="480">
        <v>0.8</v>
      </c>
    </row>
    <row r="7" spans="2:23" x14ac:dyDescent="0.35">
      <c r="E7" t="s">
        <v>410</v>
      </c>
      <c r="G7" t="s">
        <v>411</v>
      </c>
      <c r="I7" s="484">
        <v>1.3079000000000001</v>
      </c>
      <c r="J7" s="484">
        <v>1.3079000000000001</v>
      </c>
      <c r="K7" s="484">
        <v>1.3079000000000001</v>
      </c>
    </row>
    <row r="8" spans="2:23" x14ac:dyDescent="0.35">
      <c r="B8">
        <v>1.002</v>
      </c>
      <c r="G8" t="s">
        <v>412</v>
      </c>
      <c r="I8" s="484">
        <f>I7*$B$8</f>
        <v>1.3105158000000001</v>
      </c>
      <c r="J8" s="484">
        <f t="shared" ref="J8:K8" si="0">J7*$B$8</f>
        <v>1.3105158000000001</v>
      </c>
      <c r="K8" s="484">
        <f t="shared" si="0"/>
        <v>1.3105158000000001</v>
      </c>
    </row>
    <row r="9" spans="2:23" x14ac:dyDescent="0.35">
      <c r="G9" t="s">
        <v>413</v>
      </c>
      <c r="I9" s="480">
        <f>I6+I8</f>
        <v>2.2605158000000003</v>
      </c>
      <c r="J9" s="480">
        <f t="shared" ref="J9:K9" si="1">J6+J8</f>
        <v>2.0605158000000001</v>
      </c>
      <c r="K9" s="480">
        <f t="shared" si="1"/>
        <v>2.1105157999999999</v>
      </c>
    </row>
    <row r="10" spans="2:23" x14ac:dyDescent="0.35">
      <c r="G10" t="s">
        <v>414</v>
      </c>
      <c r="I10" s="480">
        <v>1.3</v>
      </c>
      <c r="J10" s="480">
        <v>1.1499999999999999</v>
      </c>
      <c r="K10" s="480">
        <v>1.1499999999999999</v>
      </c>
    </row>
    <row r="11" spans="2:23" ht="7.5" customHeight="1" x14ac:dyDescent="0.35"/>
    <row r="12" spans="2:23" x14ac:dyDescent="0.35">
      <c r="G12" t="s">
        <v>415</v>
      </c>
      <c r="I12" s="201">
        <f>I9-I10</f>
        <v>0.96051580000000025</v>
      </c>
      <c r="J12" s="201">
        <f t="shared" ref="J12:K12" si="2">J9-J10</f>
        <v>0.91051580000000021</v>
      </c>
      <c r="K12" s="201">
        <f t="shared" si="2"/>
        <v>0.96051580000000003</v>
      </c>
      <c r="M12" s="483">
        <f>AVERAGE(I12:K12)</f>
        <v>0.94384913333333353</v>
      </c>
    </row>
    <row r="14" spans="2:23" x14ac:dyDescent="0.35">
      <c r="G14" s="91" t="s">
        <v>416</v>
      </c>
      <c r="I14" t="s">
        <v>135</v>
      </c>
      <c r="J14" t="s">
        <v>165</v>
      </c>
      <c r="K14" t="s">
        <v>167</v>
      </c>
      <c r="Q14" s="97" t="s">
        <v>452</v>
      </c>
      <c r="R14" s="97" t="s">
        <v>149</v>
      </c>
      <c r="S14" s="97" t="s">
        <v>446</v>
      </c>
      <c r="T14" s="97" t="s">
        <v>447</v>
      </c>
      <c r="U14" s="97" t="s">
        <v>448</v>
      </c>
      <c r="V14" s="97" t="s">
        <v>449</v>
      </c>
      <c r="W14" s="512" t="s">
        <v>453</v>
      </c>
    </row>
    <row r="15" spans="2:23" x14ac:dyDescent="0.35">
      <c r="G15" t="s">
        <v>417</v>
      </c>
      <c r="I15" s="480">
        <v>1.25</v>
      </c>
      <c r="J15" s="480">
        <v>1.2</v>
      </c>
      <c r="K15" s="480">
        <v>1.25</v>
      </c>
      <c r="Q15" s="420">
        <v>2022</v>
      </c>
      <c r="R15" s="528">
        <v>17</v>
      </c>
      <c r="S15" s="526">
        <v>1.5</v>
      </c>
      <c r="T15" s="530">
        <f>R15/S15</f>
        <v>11.333333333333334</v>
      </c>
      <c r="U15" s="526">
        <v>-3</v>
      </c>
      <c r="V15" s="524">
        <f>10/12</f>
        <v>0.83333333333333337</v>
      </c>
      <c r="W15" s="419" t="s">
        <v>450</v>
      </c>
    </row>
    <row r="16" spans="2:23" ht="15.5" x14ac:dyDescent="0.35">
      <c r="C16" s="481">
        <v>0.95</v>
      </c>
      <c r="D16" s="481">
        <v>0.75</v>
      </c>
      <c r="E16" s="481">
        <v>0.8</v>
      </c>
      <c r="F16" s="482"/>
      <c r="G16" t="s">
        <v>418</v>
      </c>
      <c r="I16" s="480">
        <v>1.05</v>
      </c>
      <c r="J16" s="480">
        <f t="shared" ref="J16:K16" si="3">I16</f>
        <v>1.05</v>
      </c>
      <c r="K16" s="480">
        <f t="shared" si="3"/>
        <v>1.05</v>
      </c>
      <c r="Q16" s="420">
        <v>2023</v>
      </c>
      <c r="R16" s="528">
        <v>21</v>
      </c>
      <c r="S16" s="526">
        <v>1.5</v>
      </c>
      <c r="T16" s="530">
        <f t="shared" ref="T16:T19" si="4">R16/S16</f>
        <v>14</v>
      </c>
      <c r="U16" s="526">
        <v>-3.75</v>
      </c>
      <c r="V16" s="524">
        <f>11/12</f>
        <v>0.91666666666666663</v>
      </c>
      <c r="W16" s="419" t="s">
        <v>450</v>
      </c>
    </row>
    <row r="17" spans="3:23" ht="15.5" x14ac:dyDescent="0.35">
      <c r="C17" s="481">
        <v>1.25</v>
      </c>
      <c r="D17" s="481">
        <v>1.2</v>
      </c>
      <c r="E17" s="481">
        <v>1.25</v>
      </c>
      <c r="F17" s="482"/>
      <c r="G17" t="str">
        <f>G8</f>
        <v>1.002 adjustment (TVM, Linefill)</v>
      </c>
      <c r="I17" s="484">
        <f>I16*$B$8</f>
        <v>1.0521</v>
      </c>
      <c r="J17" s="484">
        <f t="shared" ref="J17" si="5">J16*$B$8</f>
        <v>1.0521</v>
      </c>
      <c r="K17" s="484">
        <f t="shared" ref="K17" si="6">K16*$B$8</f>
        <v>1.0521</v>
      </c>
      <c r="Q17" s="420">
        <v>2024</v>
      </c>
      <c r="R17" s="528">
        <v>24</v>
      </c>
      <c r="S17" s="526">
        <v>2</v>
      </c>
      <c r="T17" s="530">
        <f t="shared" si="4"/>
        <v>12</v>
      </c>
      <c r="U17" s="526">
        <v>-4.75</v>
      </c>
      <c r="V17" s="524">
        <f>9/12</f>
        <v>0.75</v>
      </c>
      <c r="W17" s="419" t="s">
        <v>451</v>
      </c>
    </row>
    <row r="18" spans="3:23" ht="15.5" x14ac:dyDescent="0.35">
      <c r="C18" s="481">
        <v>1.3</v>
      </c>
      <c r="D18" s="481">
        <v>1.1499999999999999</v>
      </c>
      <c r="E18" s="481">
        <v>1.1499999999999999</v>
      </c>
      <c r="F18" s="482"/>
      <c r="G18" t="s">
        <v>419</v>
      </c>
      <c r="I18" s="480">
        <f>I15+I17</f>
        <v>2.3021000000000003</v>
      </c>
      <c r="J18" s="480">
        <f t="shared" ref="J18" si="7">J15+J17</f>
        <v>2.2521</v>
      </c>
      <c r="K18" s="480">
        <f t="shared" ref="K18" si="8">K15+K17</f>
        <v>2.3021000000000003</v>
      </c>
      <c r="Q18" s="420">
        <v>2025</v>
      </c>
      <c r="R18" s="528">
        <v>32</v>
      </c>
      <c r="S18" s="526">
        <v>2.5</v>
      </c>
      <c r="T18" s="530">
        <f t="shared" si="4"/>
        <v>12.8</v>
      </c>
      <c r="U18" s="526">
        <v>-5.25</v>
      </c>
      <c r="V18" s="524">
        <f>11/12</f>
        <v>0.91666666666666663</v>
      </c>
      <c r="W18" s="419" t="s">
        <v>451</v>
      </c>
    </row>
    <row r="19" spans="3:23" x14ac:dyDescent="0.35">
      <c r="G19" t="s">
        <v>414</v>
      </c>
      <c r="I19" s="480">
        <v>1.3</v>
      </c>
      <c r="J19" s="480">
        <v>1.1499999999999999</v>
      </c>
      <c r="K19" s="480">
        <v>1.1499999999999999</v>
      </c>
      <c r="Q19" s="513">
        <v>2026</v>
      </c>
      <c r="R19" s="529">
        <v>70</v>
      </c>
      <c r="S19" s="527">
        <v>3.5</v>
      </c>
      <c r="T19" s="531">
        <f t="shared" si="4"/>
        <v>20</v>
      </c>
      <c r="U19" s="527">
        <v>-11.5</v>
      </c>
      <c r="V19" s="525">
        <f>6/6</f>
        <v>1</v>
      </c>
      <c r="W19" s="514" t="str">
        <f>W18</f>
        <v>5-25 days</v>
      </c>
    </row>
    <row r="21" spans="3:23" x14ac:dyDescent="0.35">
      <c r="G21" t="s">
        <v>415</v>
      </c>
      <c r="I21" s="201">
        <f>I18-I19</f>
        <v>1.0021000000000002</v>
      </c>
      <c r="J21" s="201">
        <f t="shared" ref="J21:K21" si="9">J18-J19</f>
        <v>1.1021000000000001</v>
      </c>
      <c r="K21" s="201">
        <f t="shared" si="9"/>
        <v>1.1521000000000003</v>
      </c>
      <c r="M21" s="483">
        <f>AVERAGE(I21:K21)</f>
        <v>1.0854333333333337</v>
      </c>
    </row>
    <row r="22" spans="3:23" ht="8.9" customHeight="1" x14ac:dyDescent="0.35"/>
    <row r="23" spans="3:23" x14ac:dyDescent="0.35">
      <c r="G23" t="s">
        <v>420</v>
      </c>
      <c r="I23" s="201">
        <f>AVERAGE(I21,I12)</f>
        <v>0.98130790000000023</v>
      </c>
      <c r="J23" s="201">
        <f t="shared" ref="J23:K23" si="10">AVERAGE(J21,J12)</f>
        <v>1.0063079000000001</v>
      </c>
      <c r="K23" s="201">
        <f t="shared" si="10"/>
        <v>1.0563079000000002</v>
      </c>
      <c r="M23" s="483">
        <f>AVERAGE(I23:K23)</f>
        <v>1.0146412333333334</v>
      </c>
    </row>
  </sheetData>
  <pageMargins left="0.7" right="0.7" top="0.75" bottom="0.75" header="0.3" footer="0.3"/>
  <headerFooter>
    <oddHeader>&amp;C&amp;"Aptos"&amp;10&amp;K008000 Classification: AramcoTrading-US  General Use&amp;1#_x000D_</oddHeader>
    <oddFooter>&amp;C_x000D_&amp;1#&amp;"Aptos"&amp;10&amp;K008000 This content is classified as AramcoTrading-US General Use by Cantafio, Alberto (ATA) on 2026-02-17T19:47:42.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BFE6-BB49-4D06-8E84-F520CFF744E1}">
  <dimension ref="A1:L75"/>
  <sheetViews>
    <sheetView workbookViewId="0">
      <pane ySplit="1" topLeftCell="A39" activePane="bottomLeft" state="frozen"/>
      <selection pane="bottomLeft" activeCell="A50" sqref="A50"/>
    </sheetView>
  </sheetViews>
  <sheetFormatPr defaultRowHeight="14.5" x14ac:dyDescent="0.35"/>
  <cols>
    <col min="1" max="1" width="13.1796875" bestFit="1" customWidth="1"/>
    <col min="2" max="2" width="11" bestFit="1" customWidth="1"/>
    <col min="3" max="3" width="8.81640625" bestFit="1" customWidth="1"/>
    <col min="4" max="4" width="5" bestFit="1" customWidth="1"/>
    <col min="5" max="5" width="9.26953125" bestFit="1" customWidth="1"/>
    <col min="6" max="6" width="5" bestFit="1" customWidth="1"/>
    <col min="7" max="7" width="15.81640625" bestFit="1" customWidth="1"/>
    <col min="8" max="8" width="6.81640625" bestFit="1" customWidth="1"/>
    <col min="9" max="10" width="12.453125" bestFit="1" customWidth="1"/>
    <col min="11" max="11" width="8.54296875" bestFit="1" customWidth="1"/>
    <col min="12" max="12" width="65.453125" customWidth="1"/>
    <col min="13" max="13" width="13.1796875" bestFit="1" customWidth="1"/>
    <col min="14" max="14" width="8.453125" bestFit="1" customWidth="1"/>
    <col min="15" max="15" width="11.81640625" bestFit="1" customWidth="1"/>
    <col min="16" max="16" width="10.1796875" bestFit="1" customWidth="1"/>
    <col min="17" max="17" width="25.26953125" bestFit="1" customWidth="1"/>
    <col min="18" max="18" width="13.1796875" bestFit="1" customWidth="1"/>
  </cols>
  <sheetData>
    <row r="1" spans="1:12" x14ac:dyDescent="0.35">
      <c r="A1" s="532" t="s">
        <v>454</v>
      </c>
      <c r="B1" s="532" t="s">
        <v>148</v>
      </c>
      <c r="C1" s="532" t="s">
        <v>455</v>
      </c>
      <c r="D1" s="532" t="s">
        <v>10</v>
      </c>
      <c r="E1" s="532" t="s">
        <v>177</v>
      </c>
      <c r="F1" s="532" t="s">
        <v>178</v>
      </c>
      <c r="G1" s="532" t="s">
        <v>179</v>
      </c>
      <c r="H1" s="532" t="s">
        <v>435</v>
      </c>
      <c r="I1" s="532" t="s">
        <v>181</v>
      </c>
      <c r="J1" s="532" t="s">
        <v>185</v>
      </c>
    </row>
    <row r="2" spans="1:12" ht="30" customHeight="1" x14ac:dyDescent="0.35">
      <c r="A2" s="87">
        <v>46196</v>
      </c>
      <c r="B2" s="86">
        <v>46234</v>
      </c>
      <c r="C2">
        <v>4</v>
      </c>
      <c r="D2" s="88">
        <v>-0.45</v>
      </c>
      <c r="E2" s="88">
        <v>0.67000000000000204</v>
      </c>
      <c r="F2" s="88">
        <v>-4.25999999999999</v>
      </c>
      <c r="G2" s="88">
        <v>-3.1899999999999902</v>
      </c>
      <c r="H2" s="88">
        <v>0</v>
      </c>
      <c r="I2" s="88">
        <v>1.4442900000000101</v>
      </c>
      <c r="J2" s="88" t="e">
        <v>#N/A</v>
      </c>
      <c r="L2" s="91" t="s">
        <v>456</v>
      </c>
    </row>
    <row r="3" spans="1:12" x14ac:dyDescent="0.35">
      <c r="A3" s="87">
        <v>46196</v>
      </c>
      <c r="B3" s="86">
        <v>46265</v>
      </c>
      <c r="C3">
        <v>5</v>
      </c>
      <c r="D3" s="88">
        <v>0.5</v>
      </c>
      <c r="E3" s="88">
        <v>1.3200000000000101</v>
      </c>
      <c r="F3" s="88">
        <v>-4.5</v>
      </c>
      <c r="G3" s="88">
        <v>-2.6799999999999899</v>
      </c>
      <c r="H3" s="88">
        <v>-3.3121999999999998</v>
      </c>
      <c r="I3" s="88">
        <v>1.4691450000000099</v>
      </c>
      <c r="J3" s="88">
        <v>1.6371500000000001</v>
      </c>
      <c r="L3" s="533" t="s">
        <v>457</v>
      </c>
    </row>
    <row r="4" spans="1:12" x14ac:dyDescent="0.35">
      <c r="A4" s="87">
        <v>46196</v>
      </c>
      <c r="B4" s="86">
        <v>46295</v>
      </c>
      <c r="C4">
        <v>6</v>
      </c>
      <c r="D4" s="88">
        <v>0.8</v>
      </c>
      <c r="E4" s="88">
        <v>1.24000000000001</v>
      </c>
      <c r="F4" s="88">
        <v>-4.6399999999999997</v>
      </c>
      <c r="G4" s="88">
        <v>-2.5999999999999899</v>
      </c>
      <c r="H4" s="88">
        <v>-3.2270999999999899</v>
      </c>
      <c r="I4" s="88">
        <v>1.4140000000000099</v>
      </c>
      <c r="J4" s="88">
        <v>1.70225178571429</v>
      </c>
      <c r="L4" s="533" t="s">
        <v>458</v>
      </c>
    </row>
    <row r="5" spans="1:12" x14ac:dyDescent="0.35">
      <c r="A5" s="87">
        <v>46196</v>
      </c>
      <c r="B5" s="86">
        <v>46326</v>
      </c>
      <c r="C5">
        <v>7</v>
      </c>
      <c r="D5" s="88">
        <v>1.1000000000000001</v>
      </c>
      <c r="E5" s="88">
        <v>1.1599999999999999</v>
      </c>
      <c r="F5" s="88">
        <v>-4.75</v>
      </c>
      <c r="G5" s="88">
        <v>-2.4900000000000002</v>
      </c>
      <c r="H5" s="88">
        <v>-3.0991</v>
      </c>
      <c r="I5" s="88">
        <v>1.6013500000000001</v>
      </c>
      <c r="J5" s="88">
        <v>1.8569464285714301</v>
      </c>
      <c r="L5" s="533" t="s">
        <v>459</v>
      </c>
    </row>
    <row r="6" spans="1:12" x14ac:dyDescent="0.35">
      <c r="A6" s="87">
        <v>46196</v>
      </c>
      <c r="B6" s="86">
        <v>46356</v>
      </c>
      <c r="C6">
        <v>8</v>
      </c>
      <c r="D6" s="88">
        <v>1.1000000000000001</v>
      </c>
      <c r="E6" s="88">
        <v>1.0999999999999901</v>
      </c>
      <c r="F6" s="88">
        <v>-4.8199999999999896</v>
      </c>
      <c r="G6" s="88">
        <v>-2.62</v>
      </c>
      <c r="H6" s="88">
        <v>-3.2690999999999999</v>
      </c>
      <c r="I6" s="88">
        <v>1.6792125</v>
      </c>
      <c r="J6" s="88">
        <v>1.97674285714286</v>
      </c>
      <c r="L6" s="533" t="s">
        <v>460</v>
      </c>
    </row>
    <row r="7" spans="1:12" x14ac:dyDescent="0.35">
      <c r="A7" s="87">
        <v>46196</v>
      </c>
      <c r="B7" s="86">
        <v>46387</v>
      </c>
      <c r="C7">
        <v>9</v>
      </c>
      <c r="D7" s="88">
        <v>1.1000000000000001</v>
      </c>
      <c r="E7" s="88">
        <v>0.99000000000000898</v>
      </c>
      <c r="F7" s="88">
        <v>-4.8300000000000098</v>
      </c>
      <c r="G7" s="88">
        <v>-2.74</v>
      </c>
      <c r="H7" s="88">
        <v>-3.2985999999999902</v>
      </c>
      <c r="I7" s="88">
        <v>1.7402375000000001</v>
      </c>
      <c r="J7" s="88">
        <v>2.0765392857142801</v>
      </c>
      <c r="L7" s="533" t="s">
        <v>461</v>
      </c>
    </row>
    <row r="8" spans="1:12" x14ac:dyDescent="0.35">
      <c r="A8" s="87">
        <v>46196</v>
      </c>
      <c r="B8" s="86">
        <v>46418</v>
      </c>
      <c r="C8">
        <v>10</v>
      </c>
      <c r="D8" s="88">
        <v>1.3</v>
      </c>
      <c r="E8" s="88">
        <v>0.84000000000000297</v>
      </c>
      <c r="F8" s="88">
        <v>-4.7900000000000098</v>
      </c>
      <c r="G8" s="88">
        <v>-2.65</v>
      </c>
      <c r="H8" s="88">
        <v>-3.1818000000000102</v>
      </c>
      <c r="I8" s="88">
        <v>1.58471103046168</v>
      </c>
      <c r="J8" s="88">
        <v>1.77101678183612</v>
      </c>
      <c r="L8" s="533" t="s">
        <v>462</v>
      </c>
    </row>
    <row r="9" spans="1:12" x14ac:dyDescent="0.35">
      <c r="A9" s="87">
        <v>46196</v>
      </c>
      <c r="B9" s="86">
        <v>46446</v>
      </c>
      <c r="C9">
        <v>11</v>
      </c>
      <c r="D9" s="88">
        <v>1.35</v>
      </c>
      <c r="E9" s="88">
        <v>0.70999999999999397</v>
      </c>
      <c r="F9" s="88">
        <v>-4.7399999999999904</v>
      </c>
      <c r="G9" s="88">
        <v>-2.68</v>
      </c>
      <c r="H9" s="88">
        <v>-3.1809999999999898</v>
      </c>
      <c r="I9" s="88">
        <v>1.2286720609233699</v>
      </c>
      <c r="J9" s="88">
        <v>1.7210167818361399</v>
      </c>
    </row>
    <row r="10" spans="1:12" x14ac:dyDescent="0.35">
      <c r="A10" s="87">
        <v>46196</v>
      </c>
      <c r="B10" s="86">
        <v>46477</v>
      </c>
      <c r="C10">
        <v>12</v>
      </c>
      <c r="D10" s="88">
        <v>1.4</v>
      </c>
      <c r="E10" s="88">
        <v>0.56999999999999296</v>
      </c>
      <c r="F10" s="88">
        <v>-4.63</v>
      </c>
      <c r="G10" s="88">
        <v>-2.66</v>
      </c>
      <c r="H10" s="88">
        <v>-3.0624999999999898</v>
      </c>
      <c r="I10" s="88">
        <v>1.2786720609233699</v>
      </c>
      <c r="J10" s="88">
        <v>1.6810167818361299</v>
      </c>
    </row>
    <row r="11" spans="1:12" x14ac:dyDescent="0.35">
      <c r="A11" s="87">
        <v>46196</v>
      </c>
      <c r="B11" s="86">
        <v>46507</v>
      </c>
      <c r="C11">
        <v>13</v>
      </c>
      <c r="D11" s="88">
        <v>1.5</v>
      </c>
      <c r="E11" s="88">
        <v>0.45999999999999402</v>
      </c>
      <c r="F11" s="88">
        <v>-4.5199999999999996</v>
      </c>
      <c r="G11" s="88">
        <v>-2.56</v>
      </c>
      <c r="H11" s="88">
        <v>-2.9449999999999901</v>
      </c>
      <c r="I11" s="88">
        <v>0.79575440266539399</v>
      </c>
      <c r="J11" s="88">
        <v>1.5623727259906901</v>
      </c>
    </row>
    <row r="12" spans="1:12" x14ac:dyDescent="0.35">
      <c r="A12" s="87">
        <v>46196</v>
      </c>
      <c r="B12" s="86">
        <v>46538</v>
      </c>
      <c r="C12">
        <v>14</v>
      </c>
      <c r="D12" s="88">
        <v>1.55</v>
      </c>
      <c r="E12" s="88">
        <v>0.43000000000000699</v>
      </c>
      <c r="F12" s="88">
        <v>-4.4300000000000104</v>
      </c>
      <c r="G12" s="88">
        <v>-2.4500000000000002</v>
      </c>
      <c r="H12" s="88">
        <v>-2.8163999999999998</v>
      </c>
      <c r="I12" s="88">
        <v>0.935754402665396</v>
      </c>
      <c r="J12" s="88">
        <v>1.5423727259906901</v>
      </c>
    </row>
    <row r="13" spans="1:12" x14ac:dyDescent="0.35">
      <c r="A13" s="87">
        <v>46196</v>
      </c>
      <c r="B13" s="86">
        <v>46568</v>
      </c>
      <c r="C13">
        <v>15</v>
      </c>
      <c r="D13" s="88">
        <v>1.6</v>
      </c>
      <c r="E13" s="88">
        <v>0.40000000000000602</v>
      </c>
      <c r="F13" s="88">
        <v>-4.3600000000000003</v>
      </c>
      <c r="G13" s="88">
        <v>-2.3599999999999901</v>
      </c>
      <c r="H13" s="88">
        <v>-2.65519999999999</v>
      </c>
      <c r="I13" s="88">
        <v>1.0657544026654</v>
      </c>
      <c r="J13" s="88">
        <v>1.5123727259906901</v>
      </c>
    </row>
    <row r="14" spans="1:12" x14ac:dyDescent="0.35">
      <c r="A14" s="87">
        <v>46196</v>
      </c>
      <c r="B14" s="86">
        <v>46599</v>
      </c>
      <c r="C14">
        <v>16</v>
      </c>
      <c r="D14" s="88">
        <v>1.6</v>
      </c>
      <c r="E14" s="88">
        <v>0.39000000000000101</v>
      </c>
      <c r="F14" s="88">
        <v>-4.33</v>
      </c>
      <c r="G14" s="88">
        <v>-2.34</v>
      </c>
      <c r="H14" s="88">
        <v>-2.6094999999999899</v>
      </c>
      <c r="I14" s="88">
        <v>0.52772727272727504</v>
      </c>
      <c r="J14" s="88">
        <v>1.4303218868988901</v>
      </c>
    </row>
    <row r="15" spans="1:12" x14ac:dyDescent="0.35">
      <c r="A15" s="87">
        <v>46196</v>
      </c>
      <c r="B15" s="86">
        <v>46630</v>
      </c>
      <c r="C15">
        <v>17</v>
      </c>
      <c r="D15" s="88">
        <v>1.55</v>
      </c>
      <c r="E15" s="88">
        <v>0.39000000000000101</v>
      </c>
      <c r="F15" s="88">
        <v>-4.3099999999999996</v>
      </c>
      <c r="G15" s="88">
        <v>-2.37</v>
      </c>
      <c r="H15" s="88">
        <v>-2.6504999999999899</v>
      </c>
      <c r="I15" s="88">
        <v>0.52772727272727105</v>
      </c>
      <c r="J15" s="88">
        <v>1.4103218868988801</v>
      </c>
    </row>
    <row r="16" spans="1:12" x14ac:dyDescent="0.35">
      <c r="A16" s="87">
        <v>46196</v>
      </c>
      <c r="B16" s="86">
        <v>46660</v>
      </c>
      <c r="C16">
        <v>18</v>
      </c>
      <c r="D16" s="88">
        <v>1.55</v>
      </c>
      <c r="E16" s="88">
        <v>0.34000000000000302</v>
      </c>
      <c r="F16" s="88">
        <v>-4.28</v>
      </c>
      <c r="G16" s="88">
        <v>-2.39</v>
      </c>
      <c r="H16" s="88">
        <v>-2.6217999999999999</v>
      </c>
      <c r="I16" s="88">
        <v>0.52772727272727504</v>
      </c>
      <c r="J16" s="88">
        <v>1.38032188689889</v>
      </c>
    </row>
    <row r="17" spans="1:10" x14ac:dyDescent="0.35">
      <c r="A17" s="87">
        <v>46196</v>
      </c>
      <c r="B17" s="86">
        <v>46691</v>
      </c>
      <c r="C17">
        <v>19</v>
      </c>
      <c r="D17" s="88">
        <v>1.65</v>
      </c>
      <c r="E17" s="88">
        <v>0.26999999999999602</v>
      </c>
      <c r="F17" s="88">
        <v>-4.2299999999999898</v>
      </c>
      <c r="G17" s="88">
        <v>-2.3099999999999898</v>
      </c>
      <c r="H17" s="88">
        <v>-2.5222999999999902</v>
      </c>
      <c r="I17" s="88">
        <v>1.3121775345073801</v>
      </c>
      <c r="J17" s="88">
        <v>1.4323727259907</v>
      </c>
    </row>
    <row r="18" spans="1:10" x14ac:dyDescent="0.35">
      <c r="A18" s="87">
        <v>46196</v>
      </c>
      <c r="B18" s="86">
        <v>46721</v>
      </c>
      <c r="C18">
        <v>20</v>
      </c>
      <c r="D18" s="88">
        <v>1.65</v>
      </c>
      <c r="E18" s="88">
        <v>0.26999999999999602</v>
      </c>
      <c r="F18" s="88">
        <v>-4.2</v>
      </c>
      <c r="G18" s="88">
        <v>-2.28000000000001</v>
      </c>
      <c r="H18" s="88">
        <v>-2.4913999999999898</v>
      </c>
      <c r="I18" s="88">
        <v>1.3521775345073701</v>
      </c>
      <c r="J18" s="88">
        <v>1.44237272599069</v>
      </c>
    </row>
    <row r="19" spans="1:10" x14ac:dyDescent="0.35">
      <c r="A19" s="87">
        <v>46196</v>
      </c>
      <c r="B19" s="86">
        <v>46752</v>
      </c>
      <c r="C19">
        <v>21</v>
      </c>
      <c r="D19" s="88">
        <v>1.65</v>
      </c>
      <c r="E19" s="88">
        <v>0.29999999999999699</v>
      </c>
      <c r="F19" s="88">
        <v>-4.2099999999999902</v>
      </c>
      <c r="G19" s="88">
        <v>-2.2599999999999998</v>
      </c>
      <c r="H19" s="88">
        <v>-2.4336000000000002</v>
      </c>
      <c r="I19" s="88">
        <v>1.3821775345073799</v>
      </c>
      <c r="J19" s="88">
        <v>1.42237272599069</v>
      </c>
    </row>
    <row r="20" spans="1:10" x14ac:dyDescent="0.35">
      <c r="A20" s="87">
        <v>46196</v>
      </c>
      <c r="B20" s="86">
        <v>46783</v>
      </c>
      <c r="C20">
        <v>22</v>
      </c>
      <c r="D20" s="88">
        <v>1.7170000000000001</v>
      </c>
      <c r="E20" s="88">
        <v>0.28999999999999199</v>
      </c>
      <c r="F20" s="88">
        <v>-4.25</v>
      </c>
      <c r="G20" s="88">
        <v>-2.2430000000000101</v>
      </c>
      <c r="H20" s="88">
        <v>-2.3835000000000002</v>
      </c>
      <c r="I20" s="88">
        <v>1.18947025226082</v>
      </c>
      <c r="J20" s="88">
        <v>1.5030676209279299</v>
      </c>
    </row>
    <row r="21" spans="1:10" x14ac:dyDescent="0.35">
      <c r="A21" s="87">
        <v>46196</v>
      </c>
      <c r="B21" s="86">
        <v>46812</v>
      </c>
      <c r="C21">
        <v>23</v>
      </c>
      <c r="D21" s="88">
        <v>1.7170000000000001</v>
      </c>
      <c r="E21" s="88">
        <v>0.260000000000005</v>
      </c>
      <c r="F21" s="88">
        <v>-4.28</v>
      </c>
      <c r="G21" s="88">
        <v>-2.3029999999999999</v>
      </c>
      <c r="H21" s="88">
        <v>-2.4387000000000101</v>
      </c>
      <c r="I21" s="88">
        <v>1.12947025226083</v>
      </c>
      <c r="J21" s="88">
        <v>1.4530676209279301</v>
      </c>
    </row>
    <row r="22" spans="1:10" x14ac:dyDescent="0.35">
      <c r="A22" s="87">
        <v>46196</v>
      </c>
      <c r="B22" s="86">
        <v>46843</v>
      </c>
      <c r="C22">
        <v>24</v>
      </c>
      <c r="D22" s="88">
        <v>1.72</v>
      </c>
      <c r="E22" s="88">
        <v>0.22000000000001299</v>
      </c>
      <c r="F22" s="88">
        <v>-4.3000000000000096</v>
      </c>
      <c r="G22" s="88">
        <v>-2.36</v>
      </c>
      <c r="H22" s="88">
        <v>-2.4662000000000002</v>
      </c>
      <c r="I22" s="88">
        <v>1.07247025226083</v>
      </c>
      <c r="J22" s="88">
        <v>1.43306762092794</v>
      </c>
    </row>
    <row r="23" spans="1:10" x14ac:dyDescent="0.35">
      <c r="A23" s="87">
        <v>46196</v>
      </c>
      <c r="B23" s="86">
        <v>46873</v>
      </c>
      <c r="C23">
        <v>25</v>
      </c>
      <c r="D23" s="88">
        <v>1.72</v>
      </c>
      <c r="E23" s="88">
        <v>0.20000000000000301</v>
      </c>
      <c r="F23" s="88">
        <v>-4.3099999999999996</v>
      </c>
      <c r="G23" s="88">
        <v>-2.39</v>
      </c>
      <c r="H23" s="88">
        <v>-2.5061</v>
      </c>
      <c r="I23" s="88">
        <v>0.84809138505473602</v>
      </c>
      <c r="J23" s="88">
        <v>1.2657795092370601</v>
      </c>
    </row>
    <row r="24" spans="1:10" x14ac:dyDescent="0.35">
      <c r="A24" s="87">
        <v>46196</v>
      </c>
      <c r="B24" s="86">
        <v>46904</v>
      </c>
      <c r="C24">
        <v>26</v>
      </c>
      <c r="D24" s="88">
        <v>1.72</v>
      </c>
      <c r="E24" s="88">
        <v>0.22999999999998999</v>
      </c>
      <c r="F24" s="88">
        <v>-4.34</v>
      </c>
      <c r="G24" s="88">
        <v>-2.3900000000000099</v>
      </c>
      <c r="H24" s="88">
        <v>-2.5146999999999902</v>
      </c>
      <c r="I24" s="88">
        <v>0.84809138505472204</v>
      </c>
      <c r="J24" s="88">
        <v>1.2857795092370601</v>
      </c>
    </row>
    <row r="25" spans="1:10" x14ac:dyDescent="0.35">
      <c r="A25" s="87">
        <v>46196</v>
      </c>
      <c r="B25" s="86">
        <v>46934</v>
      </c>
      <c r="C25">
        <v>27</v>
      </c>
      <c r="D25" s="88">
        <v>1.72</v>
      </c>
      <c r="E25" s="88">
        <v>0.25</v>
      </c>
      <c r="F25" s="88">
        <v>-4.3600000000000003</v>
      </c>
      <c r="G25" s="88">
        <v>-2.39</v>
      </c>
      <c r="H25" s="88">
        <v>-2.5256999999999898</v>
      </c>
      <c r="I25" s="88">
        <v>0.84809138505473602</v>
      </c>
      <c r="J25" s="88">
        <v>1.2957795092370601</v>
      </c>
    </row>
    <row r="26" spans="1:10" x14ac:dyDescent="0.35">
      <c r="A26" s="87">
        <v>46196</v>
      </c>
      <c r="B26" s="86">
        <v>46965</v>
      </c>
      <c r="C26">
        <v>28</v>
      </c>
      <c r="D26" s="88">
        <v>1.72</v>
      </c>
      <c r="E26" s="88">
        <v>0.219999999999999</v>
      </c>
      <c r="F26" s="88">
        <v>-4.3600000000000003</v>
      </c>
      <c r="G26" s="88">
        <v>-2.42</v>
      </c>
      <c r="H26" s="88">
        <v>-2.5655000000000001</v>
      </c>
      <c r="I26" s="88">
        <v>0.88809138505473495</v>
      </c>
      <c r="J26" s="88">
        <v>1.3657795092370599</v>
      </c>
    </row>
    <row r="27" spans="1:10" x14ac:dyDescent="0.35">
      <c r="A27" s="87">
        <v>46196</v>
      </c>
      <c r="B27" s="86">
        <v>46996</v>
      </c>
      <c r="C27">
        <v>29</v>
      </c>
      <c r="D27" s="88">
        <v>1.72</v>
      </c>
      <c r="E27" s="88">
        <v>0.189999999999998</v>
      </c>
      <c r="F27" s="88">
        <v>-4.3600000000000003</v>
      </c>
      <c r="G27" s="88">
        <v>-2.4500000000000002</v>
      </c>
      <c r="H27" s="88">
        <v>-2.5657000000000099</v>
      </c>
      <c r="I27" s="88">
        <v>0.85809138505473403</v>
      </c>
      <c r="J27" s="88">
        <v>1.3557795092370599</v>
      </c>
    </row>
    <row r="28" spans="1:10" x14ac:dyDescent="0.35">
      <c r="A28" s="87">
        <v>46196</v>
      </c>
      <c r="B28" s="86">
        <v>47026</v>
      </c>
      <c r="C28">
        <v>30</v>
      </c>
      <c r="D28" s="88">
        <v>1.72</v>
      </c>
      <c r="E28" s="88">
        <v>0.14000000000000101</v>
      </c>
      <c r="F28" s="88">
        <v>-4.33</v>
      </c>
      <c r="G28" s="88">
        <v>-2.4700000000000002</v>
      </c>
      <c r="H28" s="88">
        <v>-2.57649999999999</v>
      </c>
      <c r="I28" s="88">
        <v>0.83809138505473801</v>
      </c>
      <c r="J28" s="88">
        <v>1.3357795092370599</v>
      </c>
    </row>
    <row r="29" spans="1:10" x14ac:dyDescent="0.35">
      <c r="A29" s="87">
        <v>46196</v>
      </c>
      <c r="B29" s="86">
        <v>47057</v>
      </c>
      <c r="C29">
        <v>31</v>
      </c>
      <c r="D29" s="88">
        <v>1.72</v>
      </c>
      <c r="E29" s="88">
        <v>0.12000000000000501</v>
      </c>
      <c r="F29" s="88">
        <v>-4.33</v>
      </c>
      <c r="G29" s="88">
        <v>-2.48999999999999</v>
      </c>
      <c r="H29" s="88">
        <v>-2.57669999999999</v>
      </c>
      <c r="I29" s="88">
        <v>0.81809138505474199</v>
      </c>
      <c r="J29" s="88">
        <v>1.3157795092370701</v>
      </c>
    </row>
    <row r="30" spans="1:10" x14ac:dyDescent="0.35">
      <c r="A30" s="87">
        <v>46196</v>
      </c>
      <c r="B30" s="86">
        <v>47087</v>
      </c>
      <c r="C30">
        <v>32</v>
      </c>
      <c r="D30" s="88">
        <v>1.72</v>
      </c>
      <c r="E30" s="88">
        <v>0.189999999999998</v>
      </c>
      <c r="F30" s="88">
        <v>-4.3600000000000003</v>
      </c>
      <c r="G30" s="88">
        <v>-2.4500000000000002</v>
      </c>
      <c r="H30" s="88">
        <v>-2.5559000000000101</v>
      </c>
      <c r="I30" s="88">
        <v>0.85809138505473403</v>
      </c>
      <c r="J30" s="88">
        <v>1.3257795092370599</v>
      </c>
    </row>
    <row r="31" spans="1:10" x14ac:dyDescent="0.35">
      <c r="A31" s="87">
        <v>46196</v>
      </c>
      <c r="B31" s="86">
        <v>47118</v>
      </c>
      <c r="C31">
        <v>33</v>
      </c>
      <c r="D31" s="88">
        <v>1.72</v>
      </c>
      <c r="E31" s="88">
        <v>0.239999999999995</v>
      </c>
      <c r="F31" s="88">
        <v>-4.42</v>
      </c>
      <c r="G31" s="88">
        <v>-2.4600000000000102</v>
      </c>
      <c r="H31" s="88">
        <v>-2.5573000000000001</v>
      </c>
      <c r="I31" s="88">
        <v>0.84809138505472803</v>
      </c>
      <c r="J31" s="88">
        <v>1.3157795092370499</v>
      </c>
    </row>
    <row r="32" spans="1:10" x14ac:dyDescent="0.35">
      <c r="A32" s="87">
        <v>46196</v>
      </c>
      <c r="B32" s="86">
        <v>47149</v>
      </c>
      <c r="C32">
        <v>34</v>
      </c>
      <c r="D32" s="88">
        <v>1.72</v>
      </c>
      <c r="E32" s="88">
        <v>0.21000000000000801</v>
      </c>
      <c r="F32" s="88">
        <v>-4.4800000000000004</v>
      </c>
      <c r="G32" s="88">
        <v>-2.5499999999999998</v>
      </c>
      <c r="H32" s="88">
        <v>-2.617</v>
      </c>
      <c r="I32" s="88">
        <v>0.74809138505473904</v>
      </c>
      <c r="J32" s="88">
        <v>1.24577950923706</v>
      </c>
    </row>
    <row r="33" spans="1:10" x14ac:dyDescent="0.35">
      <c r="A33" s="87">
        <v>46196</v>
      </c>
      <c r="B33" s="86">
        <v>47177</v>
      </c>
      <c r="C33">
        <v>35</v>
      </c>
      <c r="D33" s="88">
        <v>1.72</v>
      </c>
      <c r="E33" s="88">
        <v>0.18000000000000699</v>
      </c>
      <c r="F33" s="88">
        <v>-4.5400000000000098</v>
      </c>
      <c r="G33" s="88">
        <v>-2.64</v>
      </c>
      <c r="H33" s="88">
        <v>-2.6985999999999999</v>
      </c>
      <c r="I33" s="88">
        <v>0.65809138505473597</v>
      </c>
      <c r="J33" s="88">
        <v>1.21577950923706</v>
      </c>
    </row>
    <row r="34" spans="1:10" x14ac:dyDescent="0.35">
      <c r="A34" s="87">
        <v>46196</v>
      </c>
      <c r="B34" s="86">
        <v>47208</v>
      </c>
      <c r="C34">
        <v>36</v>
      </c>
      <c r="D34" s="88">
        <v>1.82</v>
      </c>
      <c r="E34" s="88">
        <v>0.149999999999991</v>
      </c>
      <c r="F34" s="88">
        <v>-4.5699999999999896</v>
      </c>
      <c r="G34" s="88">
        <v>-2.6</v>
      </c>
      <c r="H34" s="88">
        <v>-2.6585000000000001</v>
      </c>
      <c r="I34" s="88">
        <v>0.54480723465016501</v>
      </c>
      <c r="J34" s="88">
        <v>1.19466087598884</v>
      </c>
    </row>
    <row r="35" spans="1:10" x14ac:dyDescent="0.35">
      <c r="A35" s="87">
        <v>46196</v>
      </c>
      <c r="B35" s="86">
        <v>47238</v>
      </c>
      <c r="C35">
        <v>37</v>
      </c>
      <c r="D35" s="88">
        <v>1.82</v>
      </c>
      <c r="E35" s="88">
        <v>0.12999999999999501</v>
      </c>
      <c r="F35" s="88">
        <v>-4.6100000000000003</v>
      </c>
      <c r="G35" s="88">
        <v>-2.66</v>
      </c>
      <c r="H35" s="88">
        <v>-2.7086000000000001</v>
      </c>
      <c r="I35" s="88">
        <v>0.48480723465016301</v>
      </c>
      <c r="J35" s="88">
        <v>1.19466087598884</v>
      </c>
    </row>
    <row r="36" spans="1:10" x14ac:dyDescent="0.35">
      <c r="A36" s="87">
        <v>46196</v>
      </c>
      <c r="B36" s="86">
        <v>47269</v>
      </c>
      <c r="C36">
        <v>38</v>
      </c>
      <c r="D36" s="88">
        <v>1.82</v>
      </c>
      <c r="E36" s="88">
        <v>0.19000000000001199</v>
      </c>
      <c r="F36" s="88">
        <v>-4.67</v>
      </c>
      <c r="G36" s="88">
        <v>-2.6599999999999899</v>
      </c>
      <c r="H36" s="88">
        <v>-2.7371000000000101</v>
      </c>
      <c r="I36" s="88">
        <v>0.484807234650177</v>
      </c>
      <c r="J36" s="88">
        <v>1.22466087598885</v>
      </c>
    </row>
    <row r="37" spans="1:10" x14ac:dyDescent="0.35">
      <c r="A37" s="87">
        <v>46196</v>
      </c>
      <c r="B37" s="86">
        <v>47299</v>
      </c>
      <c r="C37">
        <v>39</v>
      </c>
      <c r="D37" s="88">
        <v>1.82</v>
      </c>
      <c r="E37" s="88">
        <v>0.239999999999995</v>
      </c>
      <c r="F37" s="88">
        <v>-4.72</v>
      </c>
      <c r="G37" s="88">
        <v>-2.66</v>
      </c>
      <c r="H37" s="88">
        <v>-2.7570000000000001</v>
      </c>
      <c r="I37" s="88">
        <v>0.48480723465016301</v>
      </c>
      <c r="J37" s="88" t="e">
        <v>#N/A</v>
      </c>
    </row>
    <row r="38" spans="1:10" x14ac:dyDescent="0.35">
      <c r="A38" s="87">
        <v>46196</v>
      </c>
      <c r="B38" s="86">
        <v>47330</v>
      </c>
      <c r="C38">
        <v>40</v>
      </c>
      <c r="D38" s="88">
        <v>1.82</v>
      </c>
      <c r="E38" s="88">
        <v>0.209999999999994</v>
      </c>
      <c r="F38" s="88">
        <v>-4.7399999999999904</v>
      </c>
      <c r="G38" s="88">
        <v>-2.71</v>
      </c>
      <c r="H38" s="88">
        <v>-2.8166999999999902</v>
      </c>
      <c r="I38" s="88">
        <v>0.43480723465016602</v>
      </c>
      <c r="J38" s="88" t="e">
        <v>#N/A</v>
      </c>
    </row>
    <row r="39" spans="1:10" x14ac:dyDescent="0.35">
      <c r="A39" s="87">
        <v>46197</v>
      </c>
      <c r="B39" s="86">
        <f>FWD!E4</f>
        <v>46326</v>
      </c>
      <c r="C39">
        <v>4</v>
      </c>
      <c r="D39" s="88">
        <f>FWD!F4</f>
        <v>0.75</v>
      </c>
      <c r="E39" s="88">
        <f>FWD!G4</f>
        <v>2</v>
      </c>
      <c r="F39" s="88">
        <f>FWD!H4</f>
        <v>-9.61</v>
      </c>
      <c r="G39" s="88">
        <f>FWD!J4</f>
        <v>-3.8599999999999994</v>
      </c>
      <c r="H39" s="88">
        <f>FWD!K4</f>
        <v>0</v>
      </c>
      <c r="I39" s="88">
        <f>FWD!P4</f>
        <v>4.3186500000000034</v>
      </c>
      <c r="J39" s="88" t="e">
        <f>FWD!U4</f>
        <v>#N/A</v>
      </c>
    </row>
    <row r="40" spans="1:10" x14ac:dyDescent="0.35">
      <c r="A40" s="87">
        <v>46197</v>
      </c>
      <c r="B40" s="86">
        <f>FWD!E5</f>
        <v>46356</v>
      </c>
      <c r="C40">
        <v>5</v>
      </c>
      <c r="D40" s="88">
        <f>FWD!F5</f>
        <v>1.35</v>
      </c>
      <c r="E40" s="88">
        <f>FWD!G5</f>
        <v>3.6899999999999977</v>
      </c>
      <c r="F40" s="88">
        <f>FWD!H5</f>
        <v>-8.36</v>
      </c>
      <c r="G40" s="88">
        <f>FWD!J5</f>
        <v>-3.3200000000000021</v>
      </c>
      <c r="H40" s="88">
        <f>FWD!K5</f>
        <v>-5.6333000000000002</v>
      </c>
      <c r="I40" s="88">
        <f>FWD!P5</f>
        <v>10.055574999999997</v>
      </c>
      <c r="J40" s="88" t="e">
        <f>FWD!U5</f>
        <v>#N/A</v>
      </c>
    </row>
    <row r="41" spans="1:10" x14ac:dyDescent="0.35">
      <c r="A41" s="87">
        <v>46197</v>
      </c>
      <c r="B41" s="86">
        <f>FWD!E6</f>
        <v>46387</v>
      </c>
      <c r="C41">
        <v>6</v>
      </c>
      <c r="D41" s="88">
        <f>FWD!F6</f>
        <v>1</v>
      </c>
      <c r="E41" s="88">
        <f>FWD!G6</f>
        <v>3.3100000000000023</v>
      </c>
      <c r="F41" s="88">
        <f>FWD!H6</f>
        <v>-7.7400000000000091</v>
      </c>
      <c r="G41" s="88">
        <f>FWD!J6</f>
        <v>-3.4300000000000068</v>
      </c>
      <c r="H41" s="88">
        <f>FWD!K6</f>
        <v>-5.4854999999999876</v>
      </c>
      <c r="I41" s="88">
        <f>FWD!P6</f>
        <v>8.464899999999993</v>
      </c>
      <c r="J41" s="88">
        <f>FWD!U6</f>
        <v>5.2938928571428505</v>
      </c>
    </row>
    <row r="42" spans="1:10" x14ac:dyDescent="0.35">
      <c r="A42" s="87">
        <v>46197</v>
      </c>
      <c r="B42" s="86">
        <f>FWD!E7</f>
        <v>46418</v>
      </c>
      <c r="C42">
        <v>7</v>
      </c>
      <c r="D42" s="88">
        <f>FWD!F7</f>
        <v>1.2</v>
      </c>
      <c r="E42" s="88">
        <f>FWD!G7</f>
        <v>3.019999999999996</v>
      </c>
      <c r="F42" s="88">
        <f>FWD!H7</f>
        <v>-7.4399999999999977</v>
      </c>
      <c r="G42" s="88">
        <f>FWD!J7</f>
        <v>-3.2200000000000015</v>
      </c>
      <c r="H42" s="88">
        <f>FWD!K7</f>
        <v>-5.2859999999999898</v>
      </c>
      <c r="I42" s="88">
        <f>FWD!P7</f>
        <v>5.3167747025226042</v>
      </c>
      <c r="J42" s="88">
        <f>FWD!U7</f>
        <v>3.845847200676912</v>
      </c>
    </row>
    <row r="43" spans="1:10" x14ac:dyDescent="0.35">
      <c r="A43" s="87">
        <v>46197</v>
      </c>
      <c r="B43" s="86">
        <f>FWD!E8</f>
        <v>46446</v>
      </c>
      <c r="C43">
        <v>8</v>
      </c>
      <c r="D43" s="88">
        <f>FWD!F8</f>
        <v>1.4</v>
      </c>
      <c r="E43" s="88">
        <f>FWD!G8</f>
        <v>2.6599999999999966</v>
      </c>
      <c r="F43" s="88">
        <f>FWD!H8</f>
        <v>-7.2199999999999989</v>
      </c>
      <c r="G43" s="88">
        <f>FWD!J8</f>
        <v>-3.1600000000000019</v>
      </c>
      <c r="H43" s="88">
        <f>FWD!K8</f>
        <v>-4.7634999999999987</v>
      </c>
      <c r="I43" s="88">
        <f>FWD!P8</f>
        <v>3.1829652546406435</v>
      </c>
      <c r="J43" s="88">
        <f>FWD!U8</f>
        <v>3.2215251727542022</v>
      </c>
    </row>
    <row r="44" spans="1:10" x14ac:dyDescent="0.35">
      <c r="A44" s="87">
        <v>46197</v>
      </c>
      <c r="B44" s="86">
        <f>FWD!E9</f>
        <v>46477</v>
      </c>
      <c r="C44">
        <v>9</v>
      </c>
      <c r="D44" s="88">
        <f>FWD!F9</f>
        <v>1.55</v>
      </c>
      <c r="E44" s="88">
        <f>FWD!G9</f>
        <v>2.3900000000000006</v>
      </c>
      <c r="F44" s="88">
        <f>FWD!H9</f>
        <v>-7.019999999999996</v>
      </c>
      <c r="G44" s="88">
        <f>FWD!J9</f>
        <v>-3.0799999999999956</v>
      </c>
      <c r="H44" s="88">
        <f>FWD!K9</f>
        <v>-4.5931999999999933</v>
      </c>
      <c r="I44" s="88">
        <f>FWD!P9</f>
        <v>3.0963969538315146</v>
      </c>
      <c r="J44" s="88">
        <f>FWD!U9</f>
        <v>2.9472031448314793</v>
      </c>
    </row>
    <row r="45" spans="1:10" x14ac:dyDescent="0.35">
      <c r="A45" s="87">
        <v>46197</v>
      </c>
      <c r="B45" s="86">
        <f>FWD!E10</f>
        <v>46507</v>
      </c>
      <c r="C45">
        <v>10</v>
      </c>
      <c r="D45" s="88">
        <f>FWD!F10</f>
        <v>1.75</v>
      </c>
      <c r="E45" s="88">
        <f>FWD!G10</f>
        <v>2.1700000000000017</v>
      </c>
      <c r="F45" s="88">
        <f>FWD!H10</f>
        <v>-6.8100000000000023</v>
      </c>
      <c r="G45" s="88">
        <f>FWD!J10</f>
        <v>-2.8900000000000006</v>
      </c>
      <c r="H45" s="88">
        <f>FWD!K10</f>
        <v>-4.3464000000000027</v>
      </c>
      <c r="I45" s="88">
        <f>FWD!P10</f>
        <v>2.818807710613993</v>
      </c>
      <c r="J45" s="88">
        <f>FWD!U10</f>
        <v>2.5269489493724429</v>
      </c>
    </row>
    <row r="46" spans="1:10" x14ac:dyDescent="0.35">
      <c r="A46" s="87">
        <v>46197</v>
      </c>
      <c r="B46" s="86">
        <f>FWD!E11</f>
        <v>46538</v>
      </c>
      <c r="C46">
        <v>11</v>
      </c>
      <c r="D46" s="88">
        <f>FWD!F11</f>
        <v>1.8</v>
      </c>
      <c r="E46" s="88">
        <f>FWD!G11</f>
        <v>2.0100000000000051</v>
      </c>
      <c r="F46" s="88">
        <f>FWD!H11</f>
        <v>-6.5999999999999943</v>
      </c>
      <c r="G46" s="88">
        <f>FWD!J11</f>
        <v>-2.7899999999999894</v>
      </c>
      <c r="H46" s="88">
        <f>FWD!K11</f>
        <v>-4.0152000000000045</v>
      </c>
      <c r="I46" s="88">
        <f>FWD!P11</f>
        <v>2.3279343169919193</v>
      </c>
      <c r="J46" s="88">
        <f>FWD!U11</f>
        <v>2.5269489493724508</v>
      </c>
    </row>
    <row r="47" spans="1:10" x14ac:dyDescent="0.35">
      <c r="A47" s="87">
        <v>46197</v>
      </c>
      <c r="B47" s="86">
        <f>FWD!E12</f>
        <v>46568</v>
      </c>
      <c r="C47">
        <v>12</v>
      </c>
      <c r="D47" s="88">
        <f>FWD!F12</f>
        <v>1.85</v>
      </c>
      <c r="E47" s="88">
        <f>FWD!G12</f>
        <v>1.8799999999999955</v>
      </c>
      <c r="F47" s="88">
        <f>FWD!H12</f>
        <v>-6.4099999999999966</v>
      </c>
      <c r="G47" s="88">
        <f>FWD!J12</f>
        <v>-2.680000000000001</v>
      </c>
      <c r="H47" s="88">
        <f>FWD!K12</f>
        <v>-3.8635999999999995</v>
      </c>
      <c r="I47" s="88">
        <f>FWD!P12</f>
        <v>2.5579343169919078</v>
      </c>
      <c r="J47" s="88">
        <f>FWD!U12</f>
        <v>2.4969489493724453</v>
      </c>
    </row>
    <row r="48" spans="1:10" x14ac:dyDescent="0.35">
      <c r="A48" s="87">
        <v>46197</v>
      </c>
      <c r="B48" s="86">
        <f>FWD!E13</f>
        <v>46599</v>
      </c>
      <c r="C48">
        <v>13</v>
      </c>
      <c r="D48" s="88">
        <f>FWD!F13</f>
        <v>1.85</v>
      </c>
      <c r="E48" s="88">
        <f>FWD!G13</f>
        <v>1.7600000000000051</v>
      </c>
      <c r="F48" s="88">
        <f>FWD!H13</f>
        <v>-6.2400000000000091</v>
      </c>
      <c r="G48" s="88">
        <f>FWD!J13</f>
        <v>-2.6300000000000039</v>
      </c>
      <c r="H48" s="88">
        <f>FWD!K13</f>
        <v>-3.8176999999999963</v>
      </c>
      <c r="I48" s="88">
        <f>FWD!P13</f>
        <v>1.62494526415992</v>
      </c>
      <c r="J48" s="88">
        <f>FWD!U13</f>
        <v>2.3383048935269963</v>
      </c>
    </row>
    <row r="49" spans="1:10" x14ac:dyDescent="0.35">
      <c r="A49" s="87">
        <v>46197</v>
      </c>
      <c r="B49" s="86">
        <f>FWD!E14</f>
        <v>46630</v>
      </c>
      <c r="C49">
        <v>14</v>
      </c>
      <c r="D49" s="88">
        <f>FWD!F14</f>
        <v>1.85</v>
      </c>
      <c r="E49" s="88">
        <f>FWD!G14</f>
        <v>1.6200000000000045</v>
      </c>
      <c r="F49" s="88">
        <f>FWD!H14</f>
        <v>-6.0799999999999983</v>
      </c>
      <c r="G49" s="88">
        <f>FWD!J14</f>
        <v>-2.6099999999999937</v>
      </c>
      <c r="H49" s="88">
        <f>FWD!K14</f>
        <v>-3.6622999999999961</v>
      </c>
      <c r="I49" s="88">
        <f>FWD!P14</f>
        <v>1.7349452641599303</v>
      </c>
      <c r="J49" s="88">
        <f>FWD!U14</f>
        <v>2.2583048935270087</v>
      </c>
    </row>
    <row r="50" spans="1:10" x14ac:dyDescent="0.35">
      <c r="A50" s="87">
        <v>46197</v>
      </c>
      <c r="B50" s="86">
        <f>FWD!E15</f>
        <v>46660</v>
      </c>
      <c r="C50">
        <v>15</v>
      </c>
      <c r="D50" s="88">
        <f>FWD!F15</f>
        <v>1.85</v>
      </c>
      <c r="E50" s="88">
        <f>FWD!G15</f>
        <v>1.4499999999999886</v>
      </c>
      <c r="F50" s="88">
        <f>FWD!H15</f>
        <v>-5.9299999999999926</v>
      </c>
      <c r="G50" s="88">
        <f>FWD!J15</f>
        <v>-2.6300000000000039</v>
      </c>
      <c r="H50" s="88">
        <f>FWD!K15</f>
        <v>-3.5945000000000049</v>
      </c>
      <c r="I50" s="88">
        <f>FWD!P15</f>
        <v>1.79494526415992</v>
      </c>
      <c r="J50" s="88">
        <f>FWD!U15</f>
        <v>2.148304893527011</v>
      </c>
    </row>
    <row r="51" spans="1:10" x14ac:dyDescent="0.35">
      <c r="A51" s="87">
        <v>46197</v>
      </c>
      <c r="B51" s="86">
        <f>FWD!E16</f>
        <v>46691</v>
      </c>
      <c r="C51">
        <v>16</v>
      </c>
      <c r="D51" s="88">
        <f>FWD!F16</f>
        <v>1.85</v>
      </c>
      <c r="E51" s="88">
        <f>FWD!G16</f>
        <v>1.3400000000000034</v>
      </c>
      <c r="F51" s="88">
        <f>FWD!H16</f>
        <v>-5.8100000000000023</v>
      </c>
      <c r="G51" s="88">
        <f>FWD!J16</f>
        <v>-2.6199999999999988</v>
      </c>
      <c r="H51" s="88">
        <f>FWD!K16</f>
        <v>-3.4848000000000012</v>
      </c>
      <c r="I51" s="88">
        <f>FWD!P16</f>
        <v>2.0282294145644943</v>
      </c>
      <c r="J51" s="88">
        <f>FWD!U16</f>
        <v>2.2455930052178807</v>
      </c>
    </row>
    <row r="52" spans="1:10" x14ac:dyDescent="0.35">
      <c r="A52" s="87">
        <v>46197</v>
      </c>
      <c r="B52" s="86">
        <f>FWD!E17</f>
        <v>46721</v>
      </c>
      <c r="C52">
        <v>17</v>
      </c>
      <c r="D52" s="88">
        <f>FWD!F17</f>
        <v>1.8</v>
      </c>
      <c r="E52" s="88">
        <f>FWD!G17</f>
        <v>1.2600000000000051</v>
      </c>
      <c r="F52" s="88">
        <f>FWD!H17</f>
        <v>-5.6700000000000017</v>
      </c>
      <c r="G52" s="88">
        <f>FWD!J17</f>
        <v>-2.6099999999999968</v>
      </c>
      <c r="H52" s="88">
        <f>FWD!K17</f>
        <v>-3.4086000000000043</v>
      </c>
      <c r="I52" s="88">
        <f>FWD!P17</f>
        <v>2.098229414564496</v>
      </c>
      <c r="J52" s="88">
        <f>FWD!U17</f>
        <v>2.2155930052178774</v>
      </c>
    </row>
    <row r="53" spans="1:10" x14ac:dyDescent="0.35">
      <c r="A53" s="87">
        <v>46197</v>
      </c>
      <c r="B53" s="86">
        <f>FWD!E18</f>
        <v>46752</v>
      </c>
      <c r="C53">
        <v>18</v>
      </c>
      <c r="D53" s="88">
        <f>FWD!F18</f>
        <v>1.8</v>
      </c>
      <c r="E53" s="88">
        <f>FWD!G18</f>
        <v>1.1700000000000017</v>
      </c>
      <c r="F53" s="88">
        <f>FWD!H18</f>
        <v>-5.5500000000000114</v>
      </c>
      <c r="G53" s="88">
        <f>FWD!J18</f>
        <v>-2.5800000000000098</v>
      </c>
      <c r="H53" s="88">
        <f>FWD!K18</f>
        <v>-3.3329000000000066</v>
      </c>
      <c r="I53" s="88">
        <f>FWD!P18</f>
        <v>2.1882294145644829</v>
      </c>
      <c r="J53" s="88">
        <f>FWD!U18</f>
        <v>2.185593005217874</v>
      </c>
    </row>
    <row r="54" spans="1:10" x14ac:dyDescent="0.35">
      <c r="A54" s="87">
        <v>46197</v>
      </c>
      <c r="B54" s="86">
        <f>FWD!E19</f>
        <v>46783</v>
      </c>
      <c r="C54">
        <v>19</v>
      </c>
      <c r="D54" s="88">
        <f>FWD!F19</f>
        <v>1.85</v>
      </c>
      <c r="E54" s="88">
        <f>FWD!G19</f>
        <v>1.0799999999999983</v>
      </c>
      <c r="F54" s="88">
        <f>FWD!H19</f>
        <v>-5.4599999999999937</v>
      </c>
      <c r="G54" s="88">
        <f>FWD!J19</f>
        <v>-2.5299999999999954</v>
      </c>
      <c r="H54" s="88">
        <f>FWD!K19</f>
        <v>-3.2547999999999973</v>
      </c>
      <c r="I54" s="88">
        <f>FWD!P19</f>
        <v>1.3174297953355589</v>
      </c>
      <c r="J54" s="88">
        <f>FWD!U19</f>
        <v>1.9626269214497314</v>
      </c>
    </row>
    <row r="55" spans="1:10" x14ac:dyDescent="0.35">
      <c r="A55" s="87">
        <v>46197</v>
      </c>
      <c r="B55" s="86">
        <f>FWD!E20</f>
        <v>46812</v>
      </c>
      <c r="C55">
        <v>20</v>
      </c>
      <c r="D55" s="88">
        <f>FWD!F20</f>
        <v>1.85</v>
      </c>
      <c r="E55" s="88">
        <f>FWD!G20</f>
        <v>0.97999999999998977</v>
      </c>
      <c r="F55" s="88">
        <f>FWD!H20</f>
        <v>-5.3999999999999915</v>
      </c>
      <c r="G55" s="88">
        <f>FWD!J20</f>
        <v>-2.5700000000000016</v>
      </c>
      <c r="H55" s="88">
        <f>FWD!K20</f>
        <v>-3.1775999999999924</v>
      </c>
      <c r="I55" s="88">
        <f>FWD!P20</f>
        <v>1.3374297953355525</v>
      </c>
      <c r="J55" s="88">
        <f>FWD!U20</f>
        <v>1.8626269214497346</v>
      </c>
    </row>
    <row r="56" spans="1:10" x14ac:dyDescent="0.35">
      <c r="A56" s="87">
        <v>46197</v>
      </c>
      <c r="B56" s="86">
        <f>FWD!E21</f>
        <v>46843</v>
      </c>
      <c r="C56">
        <v>21</v>
      </c>
      <c r="D56" s="88">
        <f>FWD!F21</f>
        <v>1.85</v>
      </c>
      <c r="E56" s="88">
        <f>FWD!G21</f>
        <v>0.89000000000000057</v>
      </c>
      <c r="F56" s="88">
        <f>FWD!H21</f>
        <v>-5.3499999999999943</v>
      </c>
      <c r="G56" s="88">
        <f>FWD!J21</f>
        <v>-2.6099999999999937</v>
      </c>
      <c r="H56" s="88">
        <f>FWD!K21</f>
        <v>-3.2109000000000036</v>
      </c>
      <c r="I56" s="88">
        <f>FWD!P21</f>
        <v>1.3374297953355605</v>
      </c>
      <c r="J56" s="88">
        <f>FWD!U21</f>
        <v>1.772626921449725</v>
      </c>
    </row>
    <row r="57" spans="1:10" x14ac:dyDescent="0.35">
      <c r="A57" s="87">
        <v>46197</v>
      </c>
      <c r="B57" s="86">
        <f>FWD!E22</f>
        <v>46873</v>
      </c>
      <c r="C57">
        <v>22</v>
      </c>
      <c r="D57" s="88">
        <f>FWD!F22</f>
        <v>1.9</v>
      </c>
      <c r="E57" s="88">
        <f>FWD!G22</f>
        <v>0.82999999999999829</v>
      </c>
      <c r="F57" s="88">
        <f>FWD!H22</f>
        <v>-5.3199999999999932</v>
      </c>
      <c r="G57" s="88">
        <f>FWD!J22</f>
        <v>-2.589999999999995</v>
      </c>
      <c r="H57" s="88">
        <f>FWD!K22</f>
        <v>-3.1168000000000036</v>
      </c>
      <c r="I57" s="88">
        <f>FWD!P22</f>
        <v>1.1930509281294661</v>
      </c>
      <c r="J57" s="88">
        <f>FWD!U22</f>
        <v>1.5453388097588454</v>
      </c>
    </row>
    <row r="58" spans="1:10" x14ac:dyDescent="0.35">
      <c r="A58" s="87">
        <v>46197</v>
      </c>
      <c r="B58" s="86">
        <f>FWD!E23</f>
        <v>46904</v>
      </c>
      <c r="C58">
        <v>23</v>
      </c>
      <c r="D58" s="88">
        <f>FWD!F23</f>
        <v>1.9</v>
      </c>
      <c r="E58" s="88">
        <f>FWD!G23</f>
        <v>0.84000000000000341</v>
      </c>
      <c r="F58" s="88">
        <f>FWD!H23</f>
        <v>-5.3100000000000023</v>
      </c>
      <c r="G58" s="88">
        <f>FWD!J23</f>
        <v>-2.569999999999999</v>
      </c>
      <c r="H58" s="88">
        <f>FWD!K23</f>
        <v>-3.0804000000000031</v>
      </c>
      <c r="I58" s="88">
        <f>FWD!P23</f>
        <v>1.2530509281294622</v>
      </c>
      <c r="J58" s="88">
        <f>FWD!U23</f>
        <v>1.5553388097588443</v>
      </c>
    </row>
    <row r="59" spans="1:10" x14ac:dyDescent="0.35">
      <c r="A59" s="87">
        <v>46197</v>
      </c>
      <c r="B59" s="86">
        <f>FWD!E24</f>
        <v>46934</v>
      </c>
      <c r="C59">
        <v>24</v>
      </c>
      <c r="D59" s="88">
        <f>FWD!F24</f>
        <v>1.98</v>
      </c>
      <c r="E59" s="88">
        <f>FWD!G24</f>
        <v>0.84000000000000341</v>
      </c>
      <c r="F59" s="88">
        <f>FWD!H24</f>
        <v>-5.269999999999996</v>
      </c>
      <c r="G59" s="88">
        <f>FWD!J24</f>
        <v>-2.4499999999999926</v>
      </c>
      <c r="H59" s="88">
        <f>FWD!K24</f>
        <v>-3.0205000000000024</v>
      </c>
      <c r="I59" s="88">
        <f>FWD!P24</f>
        <v>1.4130509281294685</v>
      </c>
      <c r="J59" s="88">
        <f>FWD!U24</f>
        <v>1.6053388097588495</v>
      </c>
    </row>
    <row r="60" spans="1:10" x14ac:dyDescent="0.35">
      <c r="A60" s="87">
        <v>46197</v>
      </c>
      <c r="B60" s="86">
        <f>FWD!E25</f>
        <v>46965</v>
      </c>
      <c r="C60">
        <v>25</v>
      </c>
      <c r="D60" s="88">
        <f>FWD!F25</f>
        <v>1.98</v>
      </c>
      <c r="E60" s="88">
        <f>FWD!G25</f>
        <v>0.79000000000000625</v>
      </c>
      <c r="F60" s="88">
        <f>FWD!H25</f>
        <v>-5.2200000000000131</v>
      </c>
      <c r="G60" s="88">
        <f>FWD!J25</f>
        <v>-2.4500000000000068</v>
      </c>
      <c r="H60" s="88">
        <f>FWD!K25</f>
        <v>-2.9695000000000005</v>
      </c>
      <c r="I60" s="88">
        <f>FWD!P25</f>
        <v>1.4630509281294544</v>
      </c>
      <c r="J60" s="88">
        <f>FWD!U25</f>
        <v>1.6453388097588444</v>
      </c>
    </row>
    <row r="61" spans="1:10" x14ac:dyDescent="0.35">
      <c r="A61" s="87">
        <v>46197</v>
      </c>
      <c r="B61" s="86">
        <f>FWD!E26</f>
        <v>46996</v>
      </c>
      <c r="C61">
        <v>26</v>
      </c>
      <c r="D61" s="88">
        <f>FWD!F26</f>
        <v>1.98</v>
      </c>
      <c r="E61" s="88">
        <f>FWD!G26</f>
        <v>0.76000000000000512</v>
      </c>
      <c r="F61" s="88">
        <f>FWD!H26</f>
        <v>-5.1700000000000017</v>
      </c>
      <c r="G61" s="88">
        <f>FWD!J26</f>
        <v>-2.4299999999999966</v>
      </c>
      <c r="H61" s="88">
        <f>FWD!K26</f>
        <v>-2.9126000000000016</v>
      </c>
      <c r="I61" s="88">
        <f>FWD!P26</f>
        <v>1.4930509281294646</v>
      </c>
      <c r="J61" s="88">
        <f>FWD!U26</f>
        <v>1.6353388097588484</v>
      </c>
    </row>
    <row r="62" spans="1:10" x14ac:dyDescent="0.35">
      <c r="A62" s="87">
        <v>46197</v>
      </c>
      <c r="B62" s="86">
        <f>FWD!E27</f>
        <v>47026</v>
      </c>
      <c r="C62">
        <v>27</v>
      </c>
      <c r="D62" s="88">
        <f>FWD!F27</f>
        <v>1.98</v>
      </c>
      <c r="E62" s="88">
        <f>FWD!G27</f>
        <v>0.69999999999998863</v>
      </c>
      <c r="F62" s="88">
        <f>FWD!H27</f>
        <v>-5.0899999999999892</v>
      </c>
      <c r="G62" s="88">
        <f>FWD!J27</f>
        <v>-2.4100000000000006</v>
      </c>
      <c r="H62" s="88">
        <f>FWD!K27</f>
        <v>-2.8837999999999977</v>
      </c>
      <c r="I62" s="88">
        <f>FWD!P27</f>
        <v>1.5130509281294606</v>
      </c>
      <c r="J62" s="88">
        <f>FWD!U27</f>
        <v>1.6053388097588615</v>
      </c>
    </row>
    <row r="63" spans="1:10" x14ac:dyDescent="0.35">
      <c r="A63" s="87">
        <v>46197</v>
      </c>
      <c r="B63" s="86">
        <f>FWD!E28</f>
        <v>47057</v>
      </c>
      <c r="C63">
        <v>28</v>
      </c>
      <c r="D63" s="88">
        <f>FWD!F28</f>
        <v>1.98</v>
      </c>
      <c r="E63" s="88">
        <f>FWD!G28</f>
        <v>0.62000000000000455</v>
      </c>
      <c r="F63" s="88">
        <f>FWD!H28</f>
        <v>-5.0500000000000114</v>
      </c>
      <c r="G63" s="88">
        <f>FWD!J28</f>
        <v>-2.4500000000000068</v>
      </c>
      <c r="H63" s="88">
        <f>FWD!K28</f>
        <v>-2.8541000000000065</v>
      </c>
      <c r="I63" s="88">
        <f>FWD!P28</f>
        <v>1.4830509281294544</v>
      </c>
      <c r="J63" s="88">
        <f>FWD!U28</f>
        <v>1.5253388097588438</v>
      </c>
    </row>
    <row r="64" spans="1:10" x14ac:dyDescent="0.35">
      <c r="A64" s="87">
        <v>46197</v>
      </c>
      <c r="B64" s="86">
        <f>FWD!E29</f>
        <v>47087</v>
      </c>
      <c r="C64">
        <v>29</v>
      </c>
      <c r="D64" s="88">
        <f>FWD!F29</f>
        <v>1.98</v>
      </c>
      <c r="E64" s="88">
        <f>FWD!G29</f>
        <v>0.63000000000000966</v>
      </c>
      <c r="F64" s="88">
        <f>FWD!H29</f>
        <v>-5.0300000000000011</v>
      </c>
      <c r="G64" s="88">
        <f>FWD!J29</f>
        <v>-2.4199999999999915</v>
      </c>
      <c r="H64" s="88">
        <f>FWD!K29</f>
        <v>-2.8150000000000017</v>
      </c>
      <c r="I64" s="88">
        <f>FWD!P29</f>
        <v>1.5130509281294697</v>
      </c>
      <c r="J64" s="88">
        <f>FWD!U29</f>
        <v>1.4753388097588467</v>
      </c>
    </row>
    <row r="65" spans="1:10" x14ac:dyDescent="0.35">
      <c r="A65" s="87">
        <v>46197</v>
      </c>
      <c r="B65" s="86">
        <f>FWD!E30</f>
        <v>47118</v>
      </c>
      <c r="C65">
        <v>30</v>
      </c>
      <c r="D65" s="88">
        <f>FWD!F30</f>
        <v>1.98</v>
      </c>
      <c r="E65" s="88">
        <f>FWD!G30</f>
        <v>0.68999999999999773</v>
      </c>
      <c r="F65" s="88">
        <f>FWD!H30</f>
        <v>-5.0600000000000023</v>
      </c>
      <c r="G65" s="88">
        <f>FWD!J30</f>
        <v>-2.3900000000000046</v>
      </c>
      <c r="H65" s="88">
        <f>FWD!K30</f>
        <v>-2.8240000000000021</v>
      </c>
      <c r="I65" s="88">
        <f>FWD!P30</f>
        <v>1.5430509281294567</v>
      </c>
      <c r="J65" s="88">
        <f>FWD!U30</f>
        <v>1.465338809758856</v>
      </c>
    </row>
    <row r="66" spans="1:10" x14ac:dyDescent="0.35">
      <c r="A66" s="87">
        <v>46197</v>
      </c>
      <c r="B66" s="86">
        <f>FWD!E31</f>
        <v>47149</v>
      </c>
      <c r="C66">
        <v>31</v>
      </c>
      <c r="D66" s="88">
        <f>FWD!F31</f>
        <v>1.98</v>
      </c>
      <c r="E66" s="88">
        <f>FWD!G31</f>
        <v>0.68999999999999773</v>
      </c>
      <c r="F66" s="88">
        <f>FWD!H31</f>
        <v>-5.1300000000000097</v>
      </c>
      <c r="G66" s="88">
        <f>FWD!J31</f>
        <v>-2.460000000000012</v>
      </c>
      <c r="H66" s="88">
        <f>FWD!K31</f>
        <v>-2.9182000000000028</v>
      </c>
      <c r="I66" s="88">
        <f>FWD!P31</f>
        <v>1.4630509281294493</v>
      </c>
      <c r="J66" s="88">
        <f>FWD!U31</f>
        <v>1.3653388097588384</v>
      </c>
    </row>
    <row r="67" spans="1:10" x14ac:dyDescent="0.35">
      <c r="A67" s="87">
        <v>46197</v>
      </c>
      <c r="B67" s="86">
        <f>FWD!E32</f>
        <v>47177</v>
      </c>
      <c r="C67">
        <v>32</v>
      </c>
      <c r="D67" s="88">
        <f>FWD!F32</f>
        <v>1.98</v>
      </c>
      <c r="E67" s="88">
        <f>FWD!G32</f>
        <v>0.64999999999999147</v>
      </c>
      <c r="F67" s="88">
        <f>FWD!H32</f>
        <v>-5.1899999999999977</v>
      </c>
      <c r="G67" s="88">
        <f>FWD!J32</f>
        <v>-2.5600000000000063</v>
      </c>
      <c r="H67" s="88">
        <f>FWD!K32</f>
        <v>-2.9764999999999913</v>
      </c>
      <c r="I67" s="88">
        <f>FWD!P32</f>
        <v>1.373050928129455</v>
      </c>
      <c r="J67" s="88">
        <f>FWD!U32</f>
        <v>1.3053388097588452</v>
      </c>
    </row>
    <row r="68" spans="1:10" x14ac:dyDescent="0.35">
      <c r="A68" s="87">
        <v>46197</v>
      </c>
      <c r="B68" s="86">
        <f>FWD!E33</f>
        <v>47208</v>
      </c>
      <c r="C68">
        <v>33</v>
      </c>
      <c r="D68" s="88">
        <f>FWD!F33</f>
        <v>1.98</v>
      </c>
      <c r="E68" s="88">
        <f>FWD!G33</f>
        <v>0.61999999999999034</v>
      </c>
      <c r="F68" s="88">
        <f>FWD!H33</f>
        <v>-5.2199999999999989</v>
      </c>
      <c r="G68" s="88">
        <f>FWD!J33</f>
        <v>-2.6200000000000085</v>
      </c>
      <c r="H68" s="88">
        <f>FWD!K33</f>
        <v>-3.0267000000000093</v>
      </c>
      <c r="I68" s="88">
        <f>FWD!P33</f>
        <v>1.3130509281294527</v>
      </c>
      <c r="J68" s="88">
        <f>FWD!U33</f>
        <v>1.3153388097588503</v>
      </c>
    </row>
    <row r="69" spans="1:10" x14ac:dyDescent="0.35">
      <c r="A69" s="87">
        <v>46197</v>
      </c>
      <c r="B69" s="86">
        <f>FWD!E34</f>
        <v>47238</v>
      </c>
      <c r="C69">
        <v>34</v>
      </c>
      <c r="D69" s="88">
        <f>FWD!F34</f>
        <v>1.98</v>
      </c>
      <c r="E69" s="88">
        <f>FWD!G34</f>
        <v>0.63000000000000966</v>
      </c>
      <c r="F69" s="88">
        <f>FWD!H34</f>
        <v>-5.2700000000000102</v>
      </c>
      <c r="G69" s="88">
        <f>FWD!J34</f>
        <v>-2.6600000000000006</v>
      </c>
      <c r="H69" s="88">
        <f>FWD!K34</f>
        <v>-3.0356999999999954</v>
      </c>
      <c r="I69" s="88">
        <f>FWD!P34</f>
        <v>1.2730509281294606</v>
      </c>
      <c r="J69" s="88">
        <f>FWD!U34</f>
        <v>1.3353388097588463</v>
      </c>
    </row>
    <row r="70" spans="1:10" x14ac:dyDescent="0.35">
      <c r="A70" s="87">
        <v>46197</v>
      </c>
      <c r="B70" s="86">
        <f>FWD!E35</f>
        <v>47269</v>
      </c>
      <c r="C70">
        <v>35</v>
      </c>
      <c r="D70" s="88">
        <f>FWD!F35</f>
        <v>1.98</v>
      </c>
      <c r="E70" s="88">
        <f>FWD!G35</f>
        <v>0.69000000000001194</v>
      </c>
      <c r="F70" s="88">
        <f>FWD!H35</f>
        <v>-5.3299999999999983</v>
      </c>
      <c r="G70" s="88">
        <f>FWD!J35</f>
        <v>-2.6599999999999864</v>
      </c>
      <c r="H70" s="88">
        <f>FWD!K35</f>
        <v>-3.0783000000000027</v>
      </c>
      <c r="I70" s="88">
        <f>FWD!P35</f>
        <v>1.2730509281294748</v>
      </c>
      <c r="J70" s="88">
        <f>FWD!U35</f>
        <v>1.3653388097588617</v>
      </c>
    </row>
    <row r="71" spans="1:10" x14ac:dyDescent="0.35">
      <c r="A71" s="87">
        <v>46197</v>
      </c>
      <c r="B71" s="86">
        <f>FWD!E36</f>
        <v>47299</v>
      </c>
      <c r="C71">
        <v>36</v>
      </c>
      <c r="D71" s="88">
        <f>FWD!F36</f>
        <v>2.0299999999999998</v>
      </c>
      <c r="E71" s="88">
        <f>FWD!G36</f>
        <v>0.65999999999999659</v>
      </c>
      <c r="F71" s="88">
        <f>FWD!H36</f>
        <v>-5.3599999999999994</v>
      </c>
      <c r="G71" s="88">
        <f>FWD!J36</f>
        <v>-2.670000000000003</v>
      </c>
      <c r="H71" s="88">
        <f>FWD!K36</f>
        <v>-3.1166999999999958</v>
      </c>
      <c r="I71" s="88">
        <f>FWD!P36</f>
        <v>0.39444074250356631</v>
      </c>
      <c r="J71" s="88">
        <f>FWD!U36</f>
        <v>1.3342201765106372</v>
      </c>
    </row>
    <row r="72" spans="1:10" x14ac:dyDescent="0.35">
      <c r="A72" s="87">
        <v>46197</v>
      </c>
      <c r="B72" s="86">
        <f>FWD!E37</f>
        <v>47330</v>
      </c>
      <c r="C72">
        <v>37</v>
      </c>
      <c r="D72" s="88">
        <f>FWD!F37</f>
        <v>2.0299999999999998</v>
      </c>
      <c r="E72" s="88">
        <f>FWD!G37</f>
        <v>0.60999999999999943</v>
      </c>
      <c r="F72" s="88">
        <f>FWD!H37</f>
        <v>-5.3900000000000006</v>
      </c>
      <c r="G72" s="88">
        <f>FWD!J37</f>
        <v>-2.7500000000000013</v>
      </c>
      <c r="H72" s="88">
        <f>FWD!K37</f>
        <v>-3.1376999999999966</v>
      </c>
      <c r="I72" s="88">
        <f>FWD!P37</f>
        <v>0.31444074250356802</v>
      </c>
      <c r="J72" s="88">
        <f>FWD!U37</f>
        <v>1.3142201765106269</v>
      </c>
    </row>
    <row r="73" spans="1:10" x14ac:dyDescent="0.35">
      <c r="A73" s="87">
        <v>46197</v>
      </c>
      <c r="B73" s="86">
        <f>FWD!E38</f>
        <v>47361</v>
      </c>
      <c r="C73">
        <v>38</v>
      </c>
      <c r="D73" s="88">
        <f>FWD!F38</f>
        <v>2.0299999999999998</v>
      </c>
      <c r="E73" s="88">
        <f>FWD!G38</f>
        <v>0.60999999999999943</v>
      </c>
      <c r="F73" s="88">
        <f>FWD!H38</f>
        <v>-5.4200000000000017</v>
      </c>
      <c r="G73" s="88">
        <f>FWD!J38</f>
        <v>-2.7800000000000025</v>
      </c>
      <c r="H73" s="88">
        <f>FWD!K38</f>
        <v>-3.1769999999999938</v>
      </c>
      <c r="I73" s="88">
        <f>FWD!P38</f>
        <v>0.28444074250356688</v>
      </c>
      <c r="J73" s="88">
        <f>FWD!U38</f>
        <v>1.3142201765106269</v>
      </c>
    </row>
    <row r="74" spans="1:10" x14ac:dyDescent="0.35">
      <c r="A74" s="87">
        <v>46197</v>
      </c>
      <c r="B74" s="86">
        <f>FWD!E39</f>
        <v>47391</v>
      </c>
      <c r="C74">
        <v>39</v>
      </c>
      <c r="D74" s="88">
        <f>FWD!F39</f>
        <v>2.0299999999999998</v>
      </c>
      <c r="E74" s="88">
        <f>FWD!G39</f>
        <v>0.57999999999999829</v>
      </c>
      <c r="F74" s="88">
        <f>FWD!H39</f>
        <v>-5.4000000000000057</v>
      </c>
      <c r="G74" s="88">
        <f>FWD!J39</f>
        <v>-2.7900000000000076</v>
      </c>
      <c r="H74" s="88">
        <f>FWD!K39</f>
        <v>-3.1659999999999981</v>
      </c>
      <c r="I74" s="88">
        <f>FWD!P39</f>
        <v>0.27444074250356176</v>
      </c>
      <c r="J74" s="88" t="e">
        <f>FWD!U39</f>
        <v>#N/A</v>
      </c>
    </row>
    <row r="75" spans="1:10" x14ac:dyDescent="0.35">
      <c r="A75" s="87">
        <v>46197</v>
      </c>
      <c r="B75" s="86">
        <f>FWD!E40</f>
        <v>47422</v>
      </c>
      <c r="C75">
        <v>40</v>
      </c>
      <c r="D75" s="88">
        <f>FWD!F40</f>
        <v>2.0299999999999998</v>
      </c>
      <c r="E75" s="88">
        <f>FWD!G40</f>
        <v>0.57999999999999829</v>
      </c>
      <c r="F75" s="88">
        <f>FWD!H40</f>
        <v>-5.4200000000000017</v>
      </c>
      <c r="G75" s="88">
        <f>FWD!J40</f>
        <v>-2.8100000000000036</v>
      </c>
      <c r="H75" s="88">
        <f>FWD!K40</f>
        <v>-3.1670000000000029</v>
      </c>
      <c r="I75" s="88">
        <f>FWD!P40</f>
        <v>0.25444074250356574</v>
      </c>
      <c r="J75" s="88" t="e">
        <f>FWD!U40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EFE506D3CBA4888E7D62ED5724875" ma:contentTypeVersion="6" ma:contentTypeDescription="Create a new document." ma:contentTypeScope="" ma:versionID="f23482f79c036affb5bd5c62e09982f3">
  <xsd:schema xmlns:xsd="http://www.w3.org/2001/XMLSchema" xmlns:xs="http://www.w3.org/2001/XMLSchema" xmlns:p="http://schemas.microsoft.com/office/2006/metadata/properties" xmlns:ns2="36e14a8e-c74d-4f08-b1bc-6b2bb7fbf0dd" xmlns:ns3="dcf2f03c-c908-42e4-94cb-de5a81d32c85" targetNamespace="http://schemas.microsoft.com/office/2006/metadata/properties" ma:root="true" ma:fieldsID="4a822a9222c7691a00206b520a5efcde" ns2:_="" ns3:_="">
    <xsd:import namespace="36e14a8e-c74d-4f08-b1bc-6b2bb7fbf0dd"/>
    <xsd:import namespace="dcf2f03c-c908-42e4-94cb-de5a81d32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14a8e-c74d-4f08-b1bc-6b2bb7fbf0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2f03c-c908-42e4-94cb-de5a81d32c8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5560B2-1DB9-4881-9530-2F89BABB88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14a8e-c74d-4f08-b1bc-6b2bb7fbf0dd"/>
    <ds:schemaRef ds:uri="dcf2f03c-c908-42e4-94cb-de5a81d32c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8D12D0-F410-415E-9236-0FFAA8B39E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D501BD-F5A6-4820-80A0-2C42D34627E8}">
  <ds:schemaRefs>
    <ds:schemaRef ds:uri="dcf2f03c-c908-42e4-94cb-de5a81d32c85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36e14a8e-c74d-4f08-b1bc-6b2bb7fbf0dd"/>
  </ds:schemaRefs>
</ds:datastoreItem>
</file>

<file path=docMetadata/LabelInfo.xml><?xml version="1.0" encoding="utf-8"?>
<clbl:labelList xmlns:clbl="http://schemas.microsoft.com/office/2020/mipLabelMetadata">
  <clbl:label id="{90688344-d8b2-44fd-b45c-df5b89a4ff6b}" enabled="1" method="Privileged" siteId="{38ca91a6-87a7-4ff5-8448-258e723a7d4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USG</vt:lpstr>
      <vt:lpstr>FWD</vt:lpstr>
      <vt:lpstr>EFPs</vt:lpstr>
      <vt:lpstr>Freight</vt:lpstr>
      <vt:lpstr>Cash</vt:lpstr>
      <vt:lpstr>BBG</vt:lpstr>
      <vt:lpstr>FFAs</vt:lpstr>
      <vt:lpstr>CALENDAR</vt:lpstr>
      <vt:lpstr>Sheet2</vt:lpstr>
      <vt:lpstr>FWD_History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Broker Support</dc:creator>
  <cp:keywords/>
  <dc:description/>
  <cp:lastModifiedBy>Cantafio, Alberto (ATA)</cp:lastModifiedBy>
  <cp:revision/>
  <dcterms:created xsi:type="dcterms:W3CDTF">2019-07-15T20:39:39Z</dcterms:created>
  <dcterms:modified xsi:type="dcterms:W3CDTF">2026-10-01T19:25:55Z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WorkbookVersion">
    <vt:i4>5</vt:i4>
  </property>
  <property fmtid="{D5CDD505-2E9C-101B-9397-08002B2CF9AE}" pid="3" name="SpreadsheetBuilder_1">
    <vt:lpwstr>eyIwIjoiRGF0YSIsIjEiOjAsIjIiOjEsIjMiOjEsIjQiOjEsIjUiOjEsIjYiOjEsIjciOjEsIjgiOjEsIjkiOjEsIjEwIjowLCIxMSI6MCwiMTIiOjB9</vt:lpwstr>
  </property>
  <property fmtid="{D5CDD505-2E9C-101B-9397-08002B2CF9AE}" pid="4" name="SpreadsheetBuilder_2">
    <vt:lpwstr>eyIwIjoiRGF0YSIsIjEiOjAsIjIiOjEsIjMiOjEsIjQiOjEsIjUiOjEsIjYiOjEsIjciOjEsIjgiOjEsIjkiOjEsIjEwIjowLCIxMSI6MCwiMTIiOjB9</vt:lpwstr>
  </property>
  <property fmtid="{D5CDD505-2E9C-101B-9397-08002B2CF9AE}" pid="5" name="SpreadsheetBuilder_3">
    <vt:lpwstr>eyIwIjoiRGF0YSIsIjEiOjAsIjIiOjEsIjMiOjEsIjQiOjEsIjUiOjEsIjYiOjEsIjciOjEsIjgiOjEsIjkiOjEsIjEwIjowLCIxMSI6MCwiMTIiOjB9</vt:lpwstr>
  </property>
  <property fmtid="{D5CDD505-2E9C-101B-9397-08002B2CF9AE}" pid="6" name="SpreadsheetBuilder_4">
    <vt:lpwstr>eyIwIjoiRGF0YSIsIjEiOjAsIjIiOjEsIjMiOjEsIjQiOjEsIjUiOjEsIjYiOjEsIjciOjEsIjgiOjEsIjkiOjEsIjEwIjowLCIxMSI6MCwiMTIiOjB9</vt:lpwstr>
  </property>
  <property fmtid="{D5CDD505-2E9C-101B-9397-08002B2CF9AE}" pid="7" name="SpreadsheetBuilder_5">
    <vt:lpwstr>eyIwIjoiRGF0YSIsIjEiOjAsIjIiOjEsIjMiOjEsIjQiOjEsIjUiOjEsIjYiOjEsIjciOjEsIjgiOjEsIjkiOjEsIjEwIjowLCIxMSI6MCwiMTIiOjB9</vt:lpwstr>
  </property>
  <property fmtid="{D5CDD505-2E9C-101B-9397-08002B2CF9AE}" pid="8" name="SpreadsheetBuilder_6">
    <vt:lpwstr>eyIwIjoiSGlzdG9yeSIsIjEiOjAsIjIiOjEsIjMiOjEsIjQiOjEsIjUiOjEsIjYiOjEsIjciOjEsIjgiOjAsIjkiOjEsIjEwIjoxLCIxMSI6MCwiMTIiOjB9</vt:lpwstr>
  </property>
  <property fmtid="{D5CDD505-2E9C-101B-9397-08002B2CF9AE}" pid="9" name="ContentTypeId">
    <vt:lpwstr>0x010100872EFE506D3CBA4888E7D62ED5724875</vt:lpwstr>
  </property>
  <property fmtid="{D5CDD505-2E9C-101B-9397-08002B2CF9AE}" pid="10" name="MSIP_Label_90688344-d8b2-44fd-b45c-df5b89a4ff6b_Enabled">
    <vt:lpwstr>true</vt:lpwstr>
  </property>
  <property fmtid="{D5CDD505-2E9C-101B-9397-08002B2CF9AE}" pid="11" name="MSIP_Label_90688344-d8b2-44fd-b45c-df5b89a4ff6b_SetDate">
    <vt:lpwstr>2023-03-27T15:53:08Z</vt:lpwstr>
  </property>
  <property fmtid="{D5CDD505-2E9C-101B-9397-08002B2CF9AE}" pid="12" name="MSIP_Label_90688344-d8b2-44fd-b45c-df5b89a4ff6b_Method">
    <vt:lpwstr>Privileged</vt:lpwstr>
  </property>
  <property fmtid="{D5CDD505-2E9C-101B-9397-08002B2CF9AE}" pid="13" name="MSIP_Label_90688344-d8b2-44fd-b45c-df5b89a4ff6b_Name">
    <vt:lpwstr>General Use</vt:lpwstr>
  </property>
  <property fmtid="{D5CDD505-2E9C-101B-9397-08002B2CF9AE}" pid="14" name="MSIP_Label_90688344-d8b2-44fd-b45c-df5b89a4ff6b_SiteId">
    <vt:lpwstr>38ca91a6-87a7-4ff5-8448-258e723a7d40</vt:lpwstr>
  </property>
  <property fmtid="{D5CDD505-2E9C-101B-9397-08002B2CF9AE}" pid="15" name="MSIP_Label_90688344-d8b2-44fd-b45c-df5b89a4ff6b_ActionId">
    <vt:lpwstr>e9fb9973-dfb2-4cbb-a9a3-a481078bf889</vt:lpwstr>
  </property>
  <property fmtid="{D5CDD505-2E9C-101B-9397-08002B2CF9AE}" pid="16" name="MSIP_Label_90688344-d8b2-44fd-b45c-df5b89a4ff6b_ContentBits">
    <vt:lpwstr>3</vt:lpwstr>
  </property>
  <property fmtid="{D5CDD505-2E9C-101B-9397-08002B2CF9AE}" pid="17" name="MSIP_Label_f51d28bb-673a-4440-99ce-97b78d6ebe05_Enabled">
    <vt:lpwstr>true</vt:lpwstr>
  </property>
  <property fmtid="{D5CDD505-2E9C-101B-9397-08002B2CF9AE}" pid="18" name="MSIP_Label_f51d28bb-673a-4440-99ce-97b78d6ebe05_SetDate">
    <vt:lpwstr>2024-09-04T15:16:46Z</vt:lpwstr>
  </property>
  <property fmtid="{D5CDD505-2E9C-101B-9397-08002B2CF9AE}" pid="19" name="MSIP_Label_f51d28bb-673a-4440-99ce-97b78d6ebe05_Method">
    <vt:lpwstr>Standard</vt:lpwstr>
  </property>
  <property fmtid="{D5CDD505-2E9C-101B-9397-08002B2CF9AE}" pid="20" name="MSIP_Label_f51d28bb-673a-4440-99ce-97b78d6ebe05_Name">
    <vt:lpwstr>G-CGU</vt:lpwstr>
  </property>
  <property fmtid="{D5CDD505-2E9C-101B-9397-08002B2CF9AE}" pid="21" name="MSIP_Label_f51d28bb-673a-4440-99ce-97b78d6ebe05_SiteId">
    <vt:lpwstr>1ba96001-94f4-4b33-87f4-2213d364791f</vt:lpwstr>
  </property>
  <property fmtid="{D5CDD505-2E9C-101B-9397-08002B2CF9AE}" pid="22" name="MSIP_Label_f51d28bb-673a-4440-99ce-97b78d6ebe05_ActionId">
    <vt:lpwstr>21917bc6-ede2-42f1-86f0-656f62eb42ae</vt:lpwstr>
  </property>
  <property fmtid="{D5CDD505-2E9C-101B-9397-08002B2CF9AE}" pid="23" name="MSIP_Label_f51d28bb-673a-4440-99ce-97b78d6ebe05_ContentBits">
    <vt:lpwstr>2</vt:lpwstr>
  </property>
  <property fmtid="{D5CDD505-2E9C-101B-9397-08002B2CF9AE}" pid="24" name="Classification">
    <vt:lpwstr>Company General Use</vt:lpwstr>
  </property>
  <property fmtid="{D5CDD505-2E9C-101B-9397-08002B2CF9AE}" pid="25" name="SSR_MIGRATION_STATUS">
    <vt:lpwstr>2</vt:lpwstr>
  </property>
</Properties>
</file>